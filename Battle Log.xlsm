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60E50715-2B42-42C6-809D-F8F4D126245C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Inn and Cafe" sheetId="31" r:id="rId4"/>
    <sheet name="Weapon Shop" sheetId="32" r:id="rId5"/>
    <sheet name="Tool Shop" sheetId="33" r:id="rId6"/>
    <sheet name="Butcher Shop" sheetId="35" r:id="rId7"/>
    <sheet name="Dojo" sheetId="36" r:id="rId8"/>
  </sheets>
  <externalReferences>
    <externalReference r:id="rId9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1" l="1"/>
  <c r="L3" i="31"/>
  <c r="K4" i="31"/>
  <c r="L4" i="31"/>
  <c r="K5" i="31"/>
  <c r="L5" i="31"/>
  <c r="K6" i="31"/>
  <c r="L6" i="31"/>
  <c r="K7" i="31"/>
  <c r="L7" i="31"/>
  <c r="K8" i="31"/>
  <c r="L8" i="31"/>
  <c r="K3" i="32"/>
  <c r="L3" i="32"/>
  <c r="K4" i="32"/>
  <c r="L4" i="32"/>
  <c r="K5" i="32"/>
  <c r="L5" i="32"/>
  <c r="K6" i="32"/>
  <c r="L6" i="32"/>
  <c r="K7" i="32"/>
  <c r="L7" i="32"/>
  <c r="K3" i="33"/>
  <c r="L3" i="33"/>
  <c r="K4" i="33"/>
  <c r="L4" i="33"/>
  <c r="K5" i="33"/>
  <c r="L5" i="33"/>
  <c r="K6" i="33"/>
  <c r="L6" i="33"/>
  <c r="K7" i="33"/>
  <c r="L7" i="33"/>
  <c r="K8" i="33"/>
  <c r="L8" i="33"/>
  <c r="K3" i="35"/>
  <c r="L3" i="35"/>
  <c r="K4" i="35"/>
  <c r="L4" i="35"/>
  <c r="K5" i="35"/>
  <c r="L5" i="35"/>
  <c r="K6" i="35"/>
  <c r="L6" i="35"/>
  <c r="K7" i="35"/>
  <c r="L7" i="35"/>
  <c r="L5" i="36"/>
  <c r="L6" i="36"/>
  <c r="K5" i="36"/>
  <c r="K6" i="36"/>
  <c r="K2" i="31"/>
  <c r="L2" i="31"/>
  <c r="S3" i="30" l="1"/>
  <c r="S4" i="30"/>
  <c r="S5" i="30"/>
  <c r="S6" i="30"/>
  <c r="S7" i="30"/>
  <c r="S9" i="30"/>
  <c r="S10" i="30"/>
  <c r="S11" i="30"/>
  <c r="S12" i="30"/>
  <c r="S13" i="30"/>
  <c r="S14" i="30"/>
  <c r="S15" i="30"/>
  <c r="S16" i="30"/>
  <c r="S17" i="30"/>
  <c r="L4" i="36"/>
  <c r="K4" i="36"/>
  <c r="L3" i="36"/>
  <c r="K3" i="36"/>
  <c r="L2" i="36"/>
  <c r="K2" i="36"/>
  <c r="L2" i="35"/>
  <c r="K2" i="35"/>
  <c r="R30" i="30"/>
  <c r="R29" i="30"/>
  <c r="S8" i="30" l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H16" i="16" l="1"/>
  <c r="M13" i="30"/>
  <c r="M9" i="30"/>
  <c r="M10" i="30"/>
  <c r="M5" i="30"/>
  <c r="M6" i="30"/>
  <c r="M17" i="30"/>
  <c r="M14" i="30"/>
  <c r="M11" i="30"/>
  <c r="M12" i="30"/>
  <c r="M8" i="30"/>
  <c r="M7" i="30"/>
  <c r="M3" i="30"/>
  <c r="M15" i="30"/>
  <c r="M4" i="30"/>
  <c r="M16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H7" i="16" l="1"/>
  <c r="I7" i="16" s="1"/>
  <c r="L16" i="16"/>
  <c r="J16" i="16"/>
  <c r="I16" i="16"/>
  <c r="L11" i="16"/>
  <c r="M11" i="16" s="1"/>
  <c r="L12" i="16"/>
  <c r="M12" i="16" s="1"/>
  <c r="L2" i="33" l="1"/>
  <c r="K2" i="33"/>
  <c r="K2" i="32"/>
  <c r="L2" i="32"/>
  <c r="R26" i="30"/>
  <c r="R32" i="30"/>
  <c r="R28" i="30"/>
  <c r="R33" i="30"/>
  <c r="R34" i="30"/>
  <c r="R31" i="30"/>
  <c r="R27" i="30"/>
  <c r="B4" i="30" l="1"/>
  <c r="B3" i="30" l="1"/>
  <c r="U4" i="30"/>
  <c r="U5" i="30"/>
  <c r="U6" i="30"/>
  <c r="U7" i="30"/>
  <c r="U8" i="30"/>
  <c r="U9" i="30"/>
  <c r="U10" i="30"/>
  <c r="U11" i="30"/>
  <c r="U12" i="30"/>
  <c r="U13" i="30"/>
  <c r="U14" i="30"/>
  <c r="U15" i="30"/>
  <c r="U16" i="30"/>
  <c r="U17" i="30"/>
  <c r="U3" i="30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G7" i="30" s="1"/>
  <c r="H7" i="30" s="1"/>
  <c r="I7" i="30" s="1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C3" i="30" s="1"/>
  <c r="I3" i="30" s="1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<sst xmlns="http://schemas.openxmlformats.org/spreadsheetml/2006/main" count="581" uniqueCount="184">
  <si>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</si>
  <si>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</si>
  <si>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</si>
  <si>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</si>
  <si>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</si>
  <si>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</si>
  <si>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</si>
  <si>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</si>
  <si>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</si>
  <si>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</si>
  <si>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</si>
  <si>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</si>
  <si>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</si>
  <si>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</si>
  <si>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</si>
  <si>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</si>
  <si>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</si>
  <si>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</si>
  <si>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</si>
  <si>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</si>
  <si>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</si>
  <si>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</si>
  <si>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</si>
  <si>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</si>
  <si>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</si>
  <si>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</si>
  <si>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</si>
  <si>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</si>
  <si>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</si>
  <si>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</si>
  <si>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</si>
  <si>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</si>
  <si>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</si>
  <si>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</si>
  <si>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</si>
  <si>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</si>
  <si>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</si>
  <si>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</si>
  <si>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</si>
  <si>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</si>
  <si>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</si>
  <si>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</si>
  <si>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</si>
  <si>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</si>
  <si>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</si>
  <si>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</si>
  <si>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</si>
  <si>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</si>
  <si>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</si>
  <si>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</si>
  <si>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</si>
  <si>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</si>
  <si>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</si>
  <si>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</si>
  <si>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</si>
  <si>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</si>
  <si>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</si>
  <si>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</si>
  <si>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</si>
  <si>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</si>
  <si>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</si>
  <si>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</si>
  <si>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</si>
  <si>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</si>
  <si>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</si>
  <si>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</si>
  <si>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</si>
  <si>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</si>
  <si>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</si>
  <si>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</si>
  <si>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</si>
  <si>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</si>
  <si>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</si>
  <si>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</si>
  <si>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</si>
  <si>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</si>
  <si>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</si>
  <si>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</si>
  <si>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</si>
  <si>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</si>
  <si>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</si>
  <si>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</si>
  <si>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</si>
  <si>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</si>
  <si>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</si>
  <si>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</si>
  <si>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</si>
  <si>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</si>
  <si>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</si>
  <si>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</si>
  <si>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</si>
  <si>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</si>
  <si>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</si>
  <si>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</si>
  <si>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</si>
  <si>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</si>
  <si>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</si>
  <si>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</si>
  <si>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</si>
  <si>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</si>
  <si>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</si>
  <si>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</si>
  <si>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</si>
  <si>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</si>
  <si>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</si>
  <si>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</si>
  <si>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</si>
  <si>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</si>
  <si>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</si>
  <si>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</si>
  <si>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</si>
  <si>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</si>
  <si>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</si>
  <si>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</si>
  <si>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</si>
  <si>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</si>
  <si>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</si>
  <si>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</si>
  <si>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</si>
  <si>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</si>
  <si>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</si>
  <si>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</si>
  <si>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</si>
  <si>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</si>
  <si>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</si>
  <si>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</si>
  <si>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</si>
  <si>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</si>
  <si>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</si>
  <si>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</si>
  <si>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</si>
  <si>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</si>
  <si>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</si>
  <si>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</si>
  <si>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</si>
  <si>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</si>
  <si>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</si>
  <si>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</si>
  <si>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</si>
  <si>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</si>
  <si>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</si>
  <si>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</si>
  <si>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</si>
  <si>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</si>
  <si>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</si>
  <si>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</si>
  <si>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</si>
  <si>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</si>
  <si>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</si>
  <si>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</si>
  <si>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</si>
  <si>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</si>
  <si>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</si>
  <si>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</si>
  <si>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</si>
  <si>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</si>
  <si>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</si>
  <si>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</si>
  <si>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Bronze Shield - 50</t>
  </si>
  <si>
    <t>Hammer - 50</t>
  </si>
  <si>
    <t>Silver</t>
  </si>
  <si>
    <t>Breath</t>
  </si>
  <si>
    <t>Jaguar</t>
  </si>
  <si>
    <t>Spider</t>
  </si>
  <si>
    <t>Skelton</t>
  </si>
  <si>
    <t>Gang</t>
  </si>
  <si>
    <t>Asigaru</t>
  </si>
  <si>
    <t>Odd Eye</t>
  </si>
  <si>
    <t>Butcher Shop</t>
  </si>
  <si>
    <t>Dojo</t>
  </si>
  <si>
    <t>Tool Shop</t>
  </si>
  <si>
    <t>Weapon Shop</t>
  </si>
  <si>
    <t>Inn and Cafe</t>
  </si>
  <si>
    <t>Mana</t>
  </si>
  <si>
    <t>Str</t>
  </si>
  <si>
    <t>n</t>
  </si>
  <si>
    <t>y</t>
  </si>
  <si>
    <t>Agl</t>
  </si>
  <si>
    <t>Sword</t>
  </si>
  <si>
    <t>Mix</t>
  </si>
  <si>
    <t>Web</t>
  </si>
  <si>
    <t>Gaze</t>
  </si>
  <si>
    <t>Def</t>
  </si>
  <si>
    <t>Kick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</si>
</sst>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2" fillId="0" borderId="0"/>
  </cellStyleXfs>
  <cellXfs count="106">
    <xf numFmtId="0" fontId="0" fillId="0" borderId="0" xfId="0"/>
    <xf numFmtId="0" fontId="32" fillId="0" borderId="0" xfId="1"/>
    <xf numFmtId="0" fontId="32" fillId="2" borderId="0" xfId="1" applyFill="1"/>
    <xf numFmtId="0" fontId="32" fillId="0" borderId="1" xfId="1" applyBorder="1"/>
    <xf numFmtId="0" fontId="32" fillId="0" borderId="0" xfId="1" applyBorder="1"/>
    <xf numFmtId="0" fontId="32" fillId="2" borderId="5" xfId="1" applyFill="1" applyBorder="1"/>
    <xf numFmtId="0" fontId="32" fillId="0" borderId="0" xfId="1" applyAlignment="1">
      <alignment horizontal="center"/>
    </xf>
    <xf numFmtId="0" fontId="26" fillId="0" borderId="0" xfId="1" applyFont="1" applyAlignment="1">
      <alignment horizontal="center"/>
    </xf>
    <xf numFmtId="0" fontId="23" fillId="0" borderId="0" xfId="1" applyFont="1"/>
    <xf numFmtId="0" fontId="0" fillId="3" borderId="0" xfId="0" applyFill="1"/>
    <xf numFmtId="0" fontId="22" fillId="0" borderId="0" xfId="1" applyFont="1"/>
    <xf numFmtId="0" fontId="32" fillId="0" borderId="0" xfId="1" applyAlignment="1">
      <alignment horizontal="center" textRotation="90"/>
    </xf>
    <xf numFmtId="0" fontId="32" fillId="0" borderId="2" xfId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32" fillId="2" borderId="2" xfId="1" applyFill="1" applyBorder="1" applyAlignment="1">
      <alignment horizontal="center" textRotation="90" wrapText="1"/>
    </xf>
    <xf numFmtId="0" fontId="30" fillId="0" borderId="3" xfId="1" applyFont="1" applyBorder="1" applyAlignment="1">
      <alignment horizontal="center" textRotation="90" wrapText="1"/>
    </xf>
    <xf numFmtId="0" fontId="32" fillId="2" borderId="4" xfId="1" applyFill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25" fillId="0" borderId="0" xfId="1" applyFont="1" applyAlignment="1">
      <alignment horizontal="center" textRotation="90" wrapText="1"/>
    </xf>
    <xf numFmtId="0" fontId="32" fillId="0" borderId="0" xfId="1" applyAlignment="1">
      <alignment horizontal="center" textRotation="90" wrapText="1"/>
    </xf>
    <xf numFmtId="0" fontId="32" fillId="5" borderId="3" xfId="1" applyFill="1" applyBorder="1" applyAlignment="1">
      <alignment horizontal="center" textRotation="90" wrapText="1"/>
    </xf>
    <xf numFmtId="0" fontId="32" fillId="5" borderId="1" xfId="1" applyFill="1" applyBorder="1"/>
    <xf numFmtId="0" fontId="24" fillId="5" borderId="1" xfId="1" applyFont="1" applyFill="1" applyBorder="1"/>
    <xf numFmtId="0" fontId="22" fillId="5" borderId="1" xfId="1" applyFont="1" applyFill="1" applyBorder="1"/>
    <xf numFmtId="0" fontId="30" fillId="5" borderId="3" xfId="1" applyFont="1" applyFill="1" applyBorder="1" applyAlignment="1">
      <alignment horizontal="center" textRotation="90" wrapText="1"/>
    </xf>
    <xf numFmtId="0" fontId="30" fillId="5" borderId="1" xfId="1" applyFont="1" applyFill="1" applyBorder="1"/>
    <xf numFmtId="0" fontId="27" fillId="0" borderId="4" xfId="1" applyFont="1" applyBorder="1" applyAlignment="1">
      <alignment horizontal="center" textRotation="90" wrapText="1"/>
    </xf>
    <xf numFmtId="0" fontId="32" fillId="0" borderId="5" xfId="1" applyBorder="1" applyAlignment="1">
      <alignment horizontal="center"/>
    </xf>
    <xf numFmtId="0" fontId="21" fillId="0" borderId="0" xfId="1" applyFont="1"/>
    <xf numFmtId="0" fontId="21" fillId="0" borderId="0" xfId="1" applyFont="1" applyFill="1"/>
    <xf numFmtId="0" fontId="21" fillId="5" borderId="3" xfId="1" applyFont="1" applyFill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21" fillId="5" borderId="1" xfId="1" applyFont="1" applyFill="1" applyBorder="1"/>
    <xf numFmtId="0" fontId="20" fillId="5" borderId="1" xfId="1" applyFont="1" applyFill="1" applyBorder="1"/>
    <xf numFmtId="0" fontId="19" fillId="5" borderId="1" xfId="1" applyFont="1" applyFill="1" applyBorder="1"/>
    <xf numFmtId="0" fontId="19" fillId="0" borderId="0" xfId="1" applyFont="1"/>
    <xf numFmtId="0" fontId="18" fillId="0" borderId="0" xfId="1" applyFont="1" applyFill="1"/>
    <xf numFmtId="0" fontId="18" fillId="0" borderId="0" xfId="1" applyFont="1"/>
    <xf numFmtId="0" fontId="18" fillId="5" borderId="1" xfId="1" applyFont="1" applyFill="1" applyBorder="1"/>
    <xf numFmtId="0" fontId="17" fillId="0" borderId="0" xfId="1" applyFont="1" applyFill="1"/>
    <xf numFmtId="0" fontId="17" fillId="0" borderId="0" xfId="1" applyFont="1"/>
    <xf numFmtId="0" fontId="17" fillId="5" borderId="1" xfId="1" applyFont="1" applyFill="1" applyBorder="1"/>
    <xf numFmtId="0" fontId="16" fillId="5" borderId="1" xfId="1" applyFont="1" applyFill="1" applyBorder="1"/>
    <xf numFmtId="0" fontId="16" fillId="0" borderId="0" xfId="1" applyFont="1" applyFill="1"/>
    <xf numFmtId="0" fontId="35" fillId="2" borderId="5" xfId="1" applyFont="1" applyFill="1" applyBorder="1"/>
    <xf numFmtId="0" fontId="15" fillId="0" borderId="0" xfId="1" applyFont="1" applyFill="1"/>
    <xf numFmtId="0" fontId="0" fillId="0" borderId="11" xfId="0" applyBorder="1"/>
    <xf numFmtId="0" fontId="0" fillId="0" borderId="9" xfId="0" applyBorder="1"/>
    <xf numFmtId="0" fontId="18" fillId="0" borderId="9" xfId="1" applyFont="1" applyFill="1" applyBorder="1"/>
    <xf numFmtId="0" fontId="17" fillId="0" borderId="9" xfId="1" applyFont="1" applyFill="1" applyBorder="1"/>
    <xf numFmtId="0" fontId="15" fillId="0" borderId="9" xfId="1" applyFont="1" applyFill="1" applyBorder="1"/>
    <xf numFmtId="0" fontId="37" fillId="0" borderId="9" xfId="0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7" fillId="3" borderId="6" xfId="0" applyFont="1" applyFill="1" applyBorder="1"/>
    <xf numFmtId="0" fontId="37" fillId="0" borderId="7" xfId="0" applyFont="1" applyBorder="1"/>
    <xf numFmtId="0" fontId="37" fillId="3" borderId="7" xfId="0" applyFont="1" applyFill="1" applyBorder="1"/>
    <xf numFmtId="0" fontId="37" fillId="4" borderId="8" xfId="0" applyFont="1" applyFill="1" applyBorder="1"/>
    <xf numFmtId="0" fontId="14" fillId="0" borderId="0" xfId="1" applyFont="1" applyFill="1"/>
    <xf numFmtId="0" fontId="34" fillId="0" borderId="0" xfId="1" applyFont="1" applyBorder="1"/>
    <xf numFmtId="0" fontId="13" fillId="0" borderId="0" xfId="1" applyFont="1"/>
    <xf numFmtId="0" fontId="32" fillId="6" borderId="0" xfId="1" applyFill="1"/>
    <xf numFmtId="0" fontId="0" fillId="0" borderId="0" xfId="0" applyBorder="1"/>
    <xf numFmtId="0" fontId="0" fillId="0" borderId="12" xfId="0" applyBorder="1"/>
    <xf numFmtId="0" fontId="12" fillId="0" borderId="0" xfId="1" applyFont="1"/>
    <xf numFmtId="0" fontId="12" fillId="5" borderId="1" xfId="1" applyFont="1" applyFill="1" applyBorder="1"/>
    <xf numFmtId="0" fontId="0" fillId="0" borderId="0" xfId="0" applyAlignment="1">
      <alignment horizontal="center"/>
    </xf>
    <xf numFmtId="0" fontId="18" fillId="7" borderId="0" xfId="1" applyFont="1" applyFill="1"/>
    <xf numFmtId="0" fontId="17" fillId="7" borderId="0" xfId="1" applyFont="1" applyFill="1"/>
    <xf numFmtId="0" fontId="17" fillId="8" borderId="0" xfId="1" applyFont="1" applyFill="1"/>
    <xf numFmtId="0" fontId="16" fillId="8" borderId="0" xfId="1" applyFont="1" applyFill="1"/>
    <xf numFmtId="0" fontId="14" fillId="8" borderId="0" xfId="1" applyFont="1" applyFill="1"/>
    <xf numFmtId="0" fontId="11" fillId="5" borderId="1" xfId="1" applyFont="1" applyFill="1" applyBorder="1"/>
    <xf numFmtId="0" fontId="10" fillId="5" borderId="1" xfId="1" applyFont="1" applyFill="1" applyBorder="1"/>
    <xf numFmtId="0" fontId="34" fillId="0" borderId="1" xfId="1" applyFont="1" applyBorder="1"/>
    <xf numFmtId="0" fontId="9" fillId="5" borderId="1" xfId="1" applyFont="1" applyFill="1" applyBorder="1"/>
    <xf numFmtId="0" fontId="9" fillId="0" borderId="0" xfId="1" applyFont="1"/>
    <xf numFmtId="0" fontId="8" fillId="5" borderId="1" xfId="1" applyFont="1" applyFill="1" applyBorder="1"/>
    <xf numFmtId="0" fontId="16" fillId="0" borderId="17" xfId="1" applyFont="1" applyBorder="1"/>
    <xf numFmtId="0" fontId="7" fillId="5" borderId="1" xfId="1" applyFont="1" applyFill="1" applyBorder="1"/>
    <xf numFmtId="0" fontId="6" fillId="0" borderId="0" xfId="1" applyFont="1"/>
    <xf numFmtId="0" fontId="5" fillId="5" borderId="1" xfId="1" applyFont="1" applyFill="1" applyBorder="1"/>
    <xf numFmtId="0" fontId="4" fillId="5" borderId="1" xfId="1" applyFont="1" applyFill="1" applyBorder="1"/>
    <xf numFmtId="0" fontId="0" fillId="0" borderId="10" xfId="0" applyBorder="1"/>
    <xf numFmtId="0" fontId="0" fillId="0" borderId="13" xfId="0" applyBorder="1"/>
    <xf numFmtId="0" fontId="37" fillId="0" borderId="9" xfId="0" applyFont="1" applyBorder="1"/>
    <xf numFmtId="0" fontId="37" fillId="0" borderId="0" xfId="0" applyFont="1" applyBorder="1"/>
    <xf numFmtId="0" fontId="37" fillId="0" borderId="10" xfId="0" applyFont="1" applyBorder="1"/>
    <xf numFmtId="0" fontId="3" fillId="5" borderId="1" xfId="1" applyFont="1" applyFill="1" applyBorder="1"/>
    <xf numFmtId="0" fontId="3" fillId="0" borderId="0" xfId="1" applyFont="1"/>
    <xf numFmtId="0" fontId="2" fillId="8" borderId="0" xfId="1" applyFont="1" applyFill="1"/>
    <xf numFmtId="0" fontId="2" fillId="0" borderId="0" xfId="1" applyFont="1" applyFill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36" fillId="0" borderId="16" xfId="0" applyFont="1" applyBorder="1" applyAlignment="1">
      <alignment horizontal="center"/>
    </xf>
    <xf numFmtId="0" fontId="1" fillId="0" borderId="0" xfId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5">
          <cell r="G285" t="str">
            <v>Uses</v>
          </cell>
        </row>
        <row r="286">
          <cell r="D286" t="str">
            <v>Strike</v>
          </cell>
          <cell r="G286">
            <v>60</v>
          </cell>
        </row>
        <row r="287">
          <cell r="D287" t="str">
            <v>M-Strike</v>
          </cell>
        </row>
        <row r="288">
          <cell r="D288" t="str">
            <v>Strike Base</v>
          </cell>
          <cell r="G288">
            <v>80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I12" sqref="AI12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4" bestFit="1" customWidth="1"/>
    <col min="17" max="18" width="3.7109375" style="6" bestFit="1" customWidth="1"/>
    <col min="19" max="19" width="14.85546875" style="24" bestFit="1" customWidth="1"/>
    <col min="20" max="21" width="3.7109375" style="6" bestFit="1" customWidth="1"/>
    <col min="22" max="22" width="13.7109375" style="24" bestFit="1" customWidth="1"/>
    <col min="23" max="24" width="3.7109375" style="6" bestFit="1" customWidth="1"/>
    <col min="25" max="25" width="14.140625" style="24" bestFit="1" customWidth="1"/>
    <col min="26" max="27" width="3.7109375" style="6" bestFit="1" customWidth="1"/>
    <col min="28" max="28" width="13.42578125" style="24" bestFit="1" customWidth="1"/>
    <col min="29" max="30" width="3.7109375" style="6" bestFit="1" customWidth="1"/>
    <col min="31" max="31" width="13.28515625" style="24" bestFit="1" customWidth="1"/>
    <col min="32" max="33" width="3.7109375" style="6" bestFit="1" customWidth="1"/>
    <col min="34" max="34" width="13.28515625" style="24" bestFit="1" customWidth="1"/>
    <col min="35" max="36" width="3.7109375" style="6" bestFit="1" customWidth="1"/>
    <col min="37" max="37" width="11.28515625" style="24" bestFit="1" customWidth="1"/>
    <col min="38" max="39" width="3.7109375" style="6" bestFit="1" customWidth="1"/>
    <col min="40" max="40" width="9.140625" style="24" bestFit="1" customWidth="1"/>
    <col min="41" max="41" width="3.7109375" style="6" bestFit="1" customWidth="1"/>
    <col min="42" max="42" width="3.7109375" style="30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2" customFormat="1" ht="75.75" customHeight="1" x14ac:dyDescent="0.2">
      <c r="A1" s="11" t="s">
        <v>18</v>
      </c>
      <c r="B1" s="12" t="s">
        <v>40</v>
      </c>
      <c r="C1" s="13" t="s">
        <v>71</v>
      </c>
      <c r="D1" s="12" t="s">
        <v>39</v>
      </c>
      <c r="E1" s="12" t="s">
        <v>38</v>
      </c>
      <c r="F1" s="13" t="s">
        <v>69</v>
      </c>
      <c r="G1" s="14" t="s">
        <v>37</v>
      </c>
      <c r="H1" s="15" t="s">
        <v>44</v>
      </c>
      <c r="I1" s="16" t="s">
        <v>36</v>
      </c>
      <c r="J1" s="17" t="s">
        <v>45</v>
      </c>
      <c r="K1" s="14" t="s">
        <v>35</v>
      </c>
      <c r="L1" s="15" t="s">
        <v>46</v>
      </c>
      <c r="M1" s="16" t="s">
        <v>34</v>
      </c>
      <c r="N1" s="17" t="s">
        <v>47</v>
      </c>
      <c r="O1" s="14" t="s">
        <v>33</v>
      </c>
      <c r="P1" s="23" t="s">
        <v>32</v>
      </c>
      <c r="Q1" s="18" t="s">
        <v>50</v>
      </c>
      <c r="R1" s="19" t="s">
        <v>61</v>
      </c>
      <c r="S1" s="23" t="s">
        <v>31</v>
      </c>
      <c r="T1" s="18" t="s">
        <v>52</v>
      </c>
      <c r="U1" s="19" t="s">
        <v>62</v>
      </c>
      <c r="V1" s="23" t="s">
        <v>30</v>
      </c>
      <c r="W1" s="18" t="s">
        <v>53</v>
      </c>
      <c r="X1" s="19" t="s">
        <v>63</v>
      </c>
      <c r="Y1" s="23" t="s">
        <v>29</v>
      </c>
      <c r="Z1" s="18" t="s">
        <v>54</v>
      </c>
      <c r="AA1" s="19" t="s">
        <v>64</v>
      </c>
      <c r="AB1" s="33" t="s">
        <v>28</v>
      </c>
      <c r="AC1" s="34" t="s">
        <v>55</v>
      </c>
      <c r="AD1" s="19" t="s">
        <v>65</v>
      </c>
      <c r="AE1" s="23" t="s">
        <v>27</v>
      </c>
      <c r="AF1" s="18" t="s">
        <v>56</v>
      </c>
      <c r="AG1" s="19" t="s">
        <v>66</v>
      </c>
      <c r="AH1" s="23" t="s">
        <v>26</v>
      </c>
      <c r="AI1" s="18" t="s">
        <v>57</v>
      </c>
      <c r="AJ1" s="19" t="s">
        <v>67</v>
      </c>
      <c r="AK1" s="23" t="s">
        <v>25</v>
      </c>
      <c r="AL1" s="18" t="s">
        <v>58</v>
      </c>
      <c r="AM1" s="19" t="s">
        <v>68</v>
      </c>
      <c r="AN1" s="27" t="s">
        <v>48</v>
      </c>
      <c r="AO1" s="18" t="s">
        <v>51</v>
      </c>
      <c r="AP1" s="29" t="s">
        <v>70</v>
      </c>
      <c r="AQ1" s="17" t="s">
        <v>49</v>
      </c>
      <c r="AR1" s="20" t="s">
        <v>43</v>
      </c>
      <c r="AS1" s="21" t="s">
        <v>72</v>
      </c>
      <c r="AT1" s="21" t="s">
        <v>73</v>
      </c>
    </row>
    <row r="2" spans="1:46" x14ac:dyDescent="0.25">
      <c r="A2" s="68" t="str">
        <f t="shared" ref="A2:A12" si="0">B2</f>
        <v>Rando</v>
      </c>
      <c r="B2" s="65" t="s">
        <v>92</v>
      </c>
      <c r="C2" s="105" t="s">
        <v>176</v>
      </c>
      <c r="D2" s="40" t="s">
        <v>75</v>
      </c>
      <c r="E2" s="87" t="s">
        <v>145</v>
      </c>
      <c r="F2">
        <v>59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5" t="str">
        <f>IF(ISBLANK(VLOOKUP($E2,[1]Monster!$A$2:$X$256,16,FALSE)),"",VLOOKUP($E2,[1]Monster!$A$2:$X$256,16,FALSE))</f>
        <v>Tusk</v>
      </c>
      <c r="Q2">
        <v>15</v>
      </c>
      <c r="R2" s="6">
        <f>_xlfn.IFNA(IF($E2="Robot",VLOOKUP(P2,[1]Weapon!$B$1:$G$351,6,FALSE)/2,VLOOKUP(P2,[1]Weapon!$B$1:$G$351,6,FALSE)),0)</f>
        <v>15</v>
      </c>
      <c r="S2" s="35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_xlfn.IFNA(IF($E2="Robot",VLOOKUP(S2,[1]Weapon!$B$1:$G$351,6,FALSE)/2,VLOOKUP(S2,[1]Weapon!$B$1:$G$351,6,FALSE)),0)</f>
        <v>15</v>
      </c>
      <c r="V2" s="35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_xlfn.IFNA(IF($E2="Robot",VLOOKUP(V2,[1]Weapon!$B$1:$G$351,6,FALSE)/2,VLOOKUP(V2,[1]Weapon!$B$1:$G$351,6,FALSE)),0)</f>
        <v>-2</v>
      </c>
      <c r="Y2" s="36"/>
      <c r="Z2">
        <v>0</v>
      </c>
      <c r="AA2" s="6">
        <f>_xlfn.IFNA(IF($E2="Robot",VLOOKUP(Y2,[1]Weapon!$B$1:$G$351,6,FALSE)/2,VLOOKUP(Y2,[1]Weapon!$B$1:$G$351,6,FALSE)),0)</f>
        <v>0</v>
      </c>
      <c r="AB2" s="35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5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5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35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_xlfn.IFNA(IF($E2="Robot",VLOOKUP(AK2,[1]Weapon!$B$1:$G$351,6,FALSE)/2,VLOOKUP(AK2,[1]Weapon!$B$1:$G$351,6,FALSE)),0)</f>
        <v>0</v>
      </c>
      <c r="AN2" s="28"/>
      <c r="AO2">
        <v>0</v>
      </c>
      <c r="AP2" s="6">
        <f>_xlfn.IFNA(IF($E2="Robot",VLOOKUP(AN2,[1]Weapon!$B$1:$G$351,6,FALSE)/2,VLOOKUP(AN2,[1]Weapon!$B$1:$G$351,6,FALSE)),0)</f>
        <v>0</v>
      </c>
      <c r="AQ2" s="85"/>
      <c r="AR2" s="71" t="s">
        <v>143</v>
      </c>
      <c r="AS2">
        <f>VLOOKUP(B2,Toolkit!$Q$3:$U$22,2,FALSE)</f>
        <v>331</v>
      </c>
    </row>
    <row r="3" spans="1:46" x14ac:dyDescent="0.25">
      <c r="A3" s="68" t="str">
        <f t="shared" si="0"/>
        <v>Grace</v>
      </c>
      <c r="B3" s="39" t="s">
        <v>93</v>
      </c>
      <c r="C3" s="105" t="s">
        <v>176</v>
      </c>
      <c r="D3" s="39" t="s">
        <v>94</v>
      </c>
      <c r="E3" s="74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1" t="s">
        <v>89</v>
      </c>
      <c r="Q3">
        <v>15</v>
      </c>
      <c r="R3" s="6">
        <f>_xlfn.IFNA(IF($E3="Robot",VLOOKUP(P3,[1]Weapon!$B$1:$G$351,6,FALSE)/2,VLOOKUP(P3,[1]Weapon!$B$1:$G$351,6,FALSE)),0)</f>
        <v>15</v>
      </c>
      <c r="S3" s="84" t="s">
        <v>140</v>
      </c>
      <c r="T3">
        <v>15</v>
      </c>
      <c r="U3" s="6">
        <f>_xlfn.IFNA(IF($E3="Robot",VLOOKUP(S3,[1]Weapon!$B$1:$G$351,6,FALSE)/2,VLOOKUP(S3,[1]Weapon!$B$1:$G$351,6,FALSE)),0)</f>
        <v>15</v>
      </c>
      <c r="V3" s="36"/>
      <c r="W3">
        <v>0</v>
      </c>
      <c r="X3" s="6">
        <f>_xlfn.IFNA(IF($E3="Robot",VLOOKUP(V3,[1]Weapon!$B$1:$G$351,6,FALSE)/2,VLOOKUP(V3,[1]Weapon!$B$1:$G$351,6,FALSE)),0)</f>
        <v>0</v>
      </c>
      <c r="Y3" s="36"/>
      <c r="Z3">
        <v>0</v>
      </c>
      <c r="AA3" s="6">
        <f>_xlfn.IFNA(IF($E3="Robot",VLOOKUP(Y3,[1]Weapon!$B$1:$G$351,6,FALSE)/2,VLOOKUP(Y3,[1]Weapon!$B$1:$G$351,6,FALSE)),0)</f>
        <v>0</v>
      </c>
      <c r="AB3" s="41" t="s">
        <v>95</v>
      </c>
      <c r="AC3">
        <v>50</v>
      </c>
      <c r="AD3" s="6">
        <f>_xlfn.IFNA(IF($E3="Robot",VLOOKUP(AB3,[1]Weapon!$B$1:$G$351,6,FALSE)/2,VLOOKUP(AB3,[1]Weapon!$B$1:$G$351,6,FALSE)),0)</f>
        <v>50</v>
      </c>
      <c r="AE3" s="41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35"/>
      <c r="AI3">
        <v>-1</v>
      </c>
      <c r="AJ3" s="6">
        <f>_xlfn.IFNA(IF($E3="Robot",VLOOKUP(AH3,[1]Weapon!$B$1:$G$351,6,FALSE)/2,VLOOKUP(AH3,[1]Weapon!$B$1:$G$351,6,FALSE)),0)</f>
        <v>0</v>
      </c>
      <c r="AK3" s="26"/>
      <c r="AL3">
        <v>-1</v>
      </c>
      <c r="AM3" s="6">
        <f>_xlfn.IFNA(IF($E3="Robot",VLOOKUP(AK3,[1]Weapon!$B$1:$G$351,6,FALSE)/2,VLOOKUP(AK3,[1]Weapon!$B$1:$G$351,6,FALSE)),0)</f>
        <v>0</v>
      </c>
      <c r="AN3" s="35"/>
      <c r="AO3">
        <v>0</v>
      </c>
      <c r="AP3" s="6">
        <f>_xlfn.IFNA(IF($E3="Robot",VLOOKUP(AN3,[1]Weapon!$B$1:$G$351,6,FALSE)/2,VLOOKUP(AN3,[1]Weapon!$B$1:$G$351,6,FALSE)),0)</f>
        <v>0</v>
      </c>
      <c r="AQ3" s="3"/>
      <c r="AS3">
        <f>VLOOKUP(B3,Toolkit!$Q$3:$U$22,2,FALSE)</f>
        <v>365</v>
      </c>
    </row>
    <row r="4" spans="1:46" x14ac:dyDescent="0.25">
      <c r="A4" s="68" t="str">
        <f t="shared" si="0"/>
        <v>Astrid</v>
      </c>
      <c r="B4" s="39" t="s">
        <v>97</v>
      </c>
      <c r="C4" s="105" t="s">
        <v>176</v>
      </c>
      <c r="D4" s="39" t="s">
        <v>78</v>
      </c>
      <c r="E4" s="74" t="s">
        <v>91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1" t="s">
        <v>88</v>
      </c>
      <c r="Q4">
        <v>15</v>
      </c>
      <c r="R4" s="6">
        <f>_xlfn.IFNA(IF($E4="Robot",VLOOKUP(P4,[1]Weapon!$B$1:$G$351,6,FALSE)/2,VLOOKUP(P4,[1]Weapon!$B$1:$G$351,6,FALSE)),0)</f>
        <v>15</v>
      </c>
      <c r="S4" s="79" t="s">
        <v>144</v>
      </c>
      <c r="T4">
        <v>-2</v>
      </c>
      <c r="U4" s="6">
        <f>_xlfn.IFNA(IF($E4="Robot",VLOOKUP(S4,[1]Weapon!$B$1:$G$351,6,FALSE)/2,VLOOKUP(S4,[1]Weapon!$B$1:$G$351,6,FALSE)),0)</f>
        <v>-2</v>
      </c>
      <c r="V4" s="86" t="s">
        <v>147</v>
      </c>
      <c r="W4">
        <v>-2</v>
      </c>
      <c r="X4" s="6">
        <f>_xlfn.IFNA(IF($E4="Robot",VLOOKUP(V4,[1]Weapon!$B$1:$G$351,6,FALSE)/2,VLOOKUP(V4,[1]Weapon!$B$1:$G$351,6,FALSE)),0)</f>
        <v>-2</v>
      </c>
      <c r="Y4" s="36"/>
      <c r="Z4">
        <v>0</v>
      </c>
      <c r="AA4" s="6">
        <f>_xlfn.IFNA(IF($E4="Robot",VLOOKUP(Y4,[1]Weapon!$B$1:$G$351,6,FALSE)/2,VLOOKUP(Y4,[1]Weapon!$B$1:$G$351,6,FALSE)),0)</f>
        <v>0</v>
      </c>
      <c r="AB4" s="41" t="s">
        <v>95</v>
      </c>
      <c r="AC4">
        <v>47</v>
      </c>
      <c r="AD4" s="6">
        <f>_xlfn.IFNA(IF($E4="Robot",VLOOKUP(AB4,[1]Weapon!$B$1:$G$351,6,FALSE)/2,VLOOKUP(AB4,[1]Weapon!$B$1:$G$351,6,FALSE)),0)</f>
        <v>50</v>
      </c>
      <c r="AE4" s="41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36"/>
      <c r="AI4">
        <v>-1</v>
      </c>
      <c r="AJ4" s="6">
        <f>_xlfn.IFNA(IF($E4="Robot",VLOOKUP(AH4,[1]Weapon!$B$1:$G$351,6,FALSE)/2,VLOOKUP(AH4,[1]Weapon!$B$1:$G$351,6,FALSE)),0)</f>
        <v>0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S4">
        <f>VLOOKUP(B4,Toolkit!$Q$3:$U$22,2,FALSE)</f>
        <v>343</v>
      </c>
    </row>
    <row r="5" spans="1:46" x14ac:dyDescent="0.25">
      <c r="A5" s="68" t="str">
        <f t="shared" si="0"/>
        <v>Cuthbert</v>
      </c>
      <c r="B5" s="39" t="s">
        <v>98</v>
      </c>
      <c r="C5" s="105" t="s">
        <v>176</v>
      </c>
      <c r="D5" s="39" t="s">
        <v>99</v>
      </c>
      <c r="E5" s="67" t="s">
        <v>139</v>
      </c>
      <c r="F5">
        <v>81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5" t="str">
        <f>IF(ISBLANK(VLOOKUP($E5,[1]Monster!$A$2:$X$256,16,FALSE)),"",VLOOKUP($E5,[1]Monster!$A$2:$X$256,16,FALSE))</f>
        <v>Beak</v>
      </c>
      <c r="Q5">
        <v>30</v>
      </c>
      <c r="R5" s="6">
        <f>_xlfn.IFNA(IF($E5="Robot",VLOOKUP(P5,[1]Weapon!$B$1:$G$351,6,FALSE)/2,VLOOKUP(P5,[1]Weapon!$B$1:$G$351,6,FALSE)),0)</f>
        <v>30</v>
      </c>
      <c r="S5" s="35" t="str">
        <f>IF(ISBLANK(VLOOKUP($E5,[1]Monster!$A$2:$X$256,17,FALSE)),"",VLOOKUP($E5,[1]Monster!$A$2:$X$256,17,FALSE))</f>
        <v>O-Quake</v>
      </c>
      <c r="T5">
        <v>-2</v>
      </c>
      <c r="U5" s="6">
        <f>_xlfn.IFNA(IF($E5="Robot",VLOOKUP(S5,[1]Weapon!$B$1:$G$351,6,FALSE)/2,VLOOKUP(S5,[1]Weapon!$B$1:$G$351,6,FALSE)),0)</f>
        <v>-2</v>
      </c>
      <c r="V5" s="80"/>
      <c r="W5">
        <v>0</v>
      </c>
      <c r="X5" s="6">
        <f>_xlfn.IFNA(IF($E5="Robot",VLOOKUP(V5,[1]Weapon!$B$1:$G$351,6,FALSE)/2,VLOOKUP(V5,[1]Weapon!$B$1:$G$351,6,FALSE)),0)</f>
        <v>0</v>
      </c>
      <c r="Y5" s="36"/>
      <c r="Z5">
        <v>0</v>
      </c>
      <c r="AA5" s="6">
        <f>_xlfn.IFNA(IF($E5="Robot",VLOOKUP(Y5,[1]Weapon!$B$1:$G$351,6,FALSE)/2,VLOOKUP(Y5,[1]Weapon!$B$1:$G$351,6,FALSE)),0)</f>
        <v>0</v>
      </c>
      <c r="AB5" s="35" t="str">
        <f>IF(ISBLANK(VLOOKUP($E5,[1]Monster!$A$2:$X$256,20,FALSE)),"",VLOOKUP($E5,[1]Monster!$A$2:$X$256,20,FALSE))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5" t="str">
        <f>IF(ISBLANK(VLOOKUP($E5,[1]Monster!$A$2:$X$256,21,FALSE)),"",VLOOKUP($E5,[1]Monster!$A$2:$X$256,21,FALSE))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5" t="str">
        <f>IF(ISBLANK(VLOOKUP($E5,[1]Monster!$A$2:$X$256,22,FALSE)),"",VLOOKUP($E5,[1]Monster!$A$2:$X$256,22,FALSE))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5" t="str">
        <f>IF(ISBLANK(VLOOKUP($E5,[1]Monster!$A$2:$X$256,23,FALSE)),"",VLOOKUP($E5,[1]Monster!$A$2:$X$256,23,FALSE))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S5">
        <f>VLOOKUP(B5,Toolkit!$Q$3:$U$22,2,FALSE)</f>
        <v>365</v>
      </c>
    </row>
    <row r="6" spans="1:46" x14ac:dyDescent="0.25">
      <c r="A6" s="68" t="str">
        <f t="shared" si="0"/>
        <v>Sandy</v>
      </c>
      <c r="B6" s="39" t="s">
        <v>76</v>
      </c>
      <c r="C6" s="105" t="s">
        <v>176</v>
      </c>
      <c r="D6" s="39" t="s">
        <v>77</v>
      </c>
      <c r="E6" s="74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5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5" t="s">
        <v>121</v>
      </c>
      <c r="Q6">
        <v>59</v>
      </c>
      <c r="R6" s="6">
        <f>_xlfn.IFNA(IF($E6="Robot",VLOOKUP(P6,[1]Weapon!$B$1:$G$351,6,FALSE)/2,VLOOKUP(P6,[1]Weapon!$B$1:$G$351,6,FALSE)),0)</f>
        <v>70</v>
      </c>
      <c r="S6" s="41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88" t="s">
        <v>41</v>
      </c>
      <c r="W6">
        <v>48</v>
      </c>
      <c r="X6" s="6">
        <f>_xlfn.IFNA(IF($E6="Robot",VLOOKUP(V6,[1]Weapon!$B$1:$G$351,6,FALSE)/2,VLOOKUP(V6,[1]Weapon!$B$1:$G$351,6,FALSE)),0)</f>
        <v>50</v>
      </c>
      <c r="Y6" s="95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35"/>
      <c r="AC6">
        <v>-1</v>
      </c>
      <c r="AD6" s="6">
        <f>_xlfn.IFNA(IF($E6="Robot",VLOOKUP(AB6,[1]Weapon!$B$1:$G$351,6,FALSE)/2,VLOOKUP(AB6,[1]Weapon!$B$1:$G$351,6,FALSE)),0)</f>
        <v>0</v>
      </c>
      <c r="AE6" s="35"/>
      <c r="AF6">
        <v>-1</v>
      </c>
      <c r="AG6" s="6">
        <f>_xlfn.IFNA(IF($E6="Robot",VLOOKUP(AE6,[1]Weapon!$B$1:$G$351,6,FALSE)/2,VLOOKUP(AE6,[1]Weapon!$B$1:$G$351,6,FALSE)),0)</f>
        <v>0</v>
      </c>
      <c r="AH6" s="35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83" t="s">
        <v>143</v>
      </c>
      <c r="AS6">
        <f>VLOOKUP(B6,Toolkit!$Q$3:$U$22,2,FALSE)</f>
        <v>309</v>
      </c>
    </row>
    <row r="7" spans="1:46" x14ac:dyDescent="0.25">
      <c r="A7" s="68" t="str">
        <f t="shared" si="0"/>
        <v>Roy</v>
      </c>
      <c r="B7" s="42" t="s">
        <v>101</v>
      </c>
      <c r="C7" s="105" t="s">
        <v>176</v>
      </c>
      <c r="D7" s="42" t="s">
        <v>102</v>
      </c>
      <c r="E7" s="76" t="s">
        <v>90</v>
      </c>
      <c r="F7">
        <v>69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81">
        <f>6</f>
        <v>6</v>
      </c>
      <c r="I7" s="47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44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44" t="s">
        <v>104</v>
      </c>
      <c r="T7">
        <v>25</v>
      </c>
      <c r="U7" s="6">
        <f>_xlfn.IFNA(IF($E7="Robot",VLOOKUP(S7,[1]Weapon!$B$1:$G$351,6,FALSE)/2,VLOOKUP(S7,[1]Weapon!$B$1:$G$351,6,FALSE)),0)</f>
        <v>25</v>
      </c>
      <c r="V7" s="82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37"/>
      <c r="Z7">
        <v>0</v>
      </c>
      <c r="AA7" s="6">
        <f>_xlfn.IFNA(IF($E7="Robot",VLOOKUP(Y7,[1]Weapon!$B$1:$G$351,6,FALSE)/2,VLOOKUP(Y7,[1]Weapon!$B$1:$G$351,6,FALSE)),0)</f>
        <v>0</v>
      </c>
      <c r="AB7" s="35"/>
      <c r="AC7">
        <v>0</v>
      </c>
      <c r="AD7" s="6">
        <f>_xlfn.IFNA(IF($E7="Robot",VLOOKUP(AB7,[1]Weapon!$B$1:$G$351,6,FALSE)/2,VLOOKUP(AB7,[1]Weapon!$B$1:$G$351,6,FALSE)),0)</f>
        <v>0</v>
      </c>
      <c r="AE7" s="35"/>
      <c r="AF7">
        <v>0</v>
      </c>
      <c r="AG7" s="6">
        <f>_xlfn.IFNA(IF($E7="Robot",VLOOKUP(AE7,[1]Weapon!$B$1:$G$351,6,FALSE)/2,VLOOKUP(AE7,[1]Weapon!$B$1:$G$351,6,FALSE)),0)</f>
        <v>0</v>
      </c>
      <c r="AH7" s="36"/>
      <c r="AI7">
        <v>0</v>
      </c>
      <c r="AJ7" s="6">
        <f>_xlfn.IFNA(IF($E7="Robot",VLOOKUP(AH7,[1]Weapon!$B$1:$G$351,6,FALSE)/2,VLOOKUP(AH7,[1]Weapon!$B$1:$G$351,6,FALSE)),0)</f>
        <v>0</v>
      </c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S7">
        <f>VLOOKUP(B7,Toolkit!$Q$3:$U$22,2,FALSE)</f>
        <v>343</v>
      </c>
    </row>
    <row r="8" spans="1:46" x14ac:dyDescent="0.25">
      <c r="A8" s="68" t="str">
        <f t="shared" si="0"/>
        <v>Saffron</v>
      </c>
      <c r="B8" s="42" t="s">
        <v>105</v>
      </c>
      <c r="C8" s="105" t="s">
        <v>176</v>
      </c>
      <c r="D8" s="42" t="s">
        <v>106</v>
      </c>
      <c r="E8" s="75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44" t="s">
        <v>41</v>
      </c>
      <c r="Q8">
        <v>41</v>
      </c>
      <c r="R8" s="6">
        <f>_xlfn.IFNA(IF($E8="Robot",VLOOKUP(P8,[1]Weapon!$B$1:$G$351,6,FALSE)/2,VLOOKUP(P8,[1]Weapon!$B$1:$G$351,6,FALSE)),0)</f>
        <v>50</v>
      </c>
      <c r="S8" s="44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95" t="s">
        <v>95</v>
      </c>
      <c r="W8">
        <v>46</v>
      </c>
      <c r="X8" s="6">
        <f>_xlfn.IFNA(IF($E8="Robot",VLOOKUP(V8,[1]Weapon!$B$1:$G$351,6,FALSE)/2,VLOOKUP(V8,[1]Weapon!$B$1:$G$351,6,FALSE)),0)</f>
        <v>50</v>
      </c>
      <c r="Y8" s="36"/>
      <c r="Z8">
        <v>-1</v>
      </c>
      <c r="AA8" s="6">
        <f>_xlfn.IFNA(IF($E8="Robot",VLOOKUP(Y8,[1]Weapon!$B$1:$G$351,6,FALSE)/2,VLOOKUP(Y8,[1]Weapon!$B$1:$G$351,6,FALSE)),0)</f>
        <v>0</v>
      </c>
      <c r="AB8" s="35"/>
      <c r="AC8">
        <v>-1</v>
      </c>
      <c r="AD8" s="6">
        <f>_xlfn.IFNA(IF($E8="Robot",VLOOKUP(AB8,[1]Weapon!$B$1:$G$351,6,FALSE)/2,VLOOKUP(AB8,[1]Weapon!$B$1:$G$351,6,FALSE)),0)</f>
        <v>0</v>
      </c>
      <c r="AE8" s="35"/>
      <c r="AF8">
        <v>-1</v>
      </c>
      <c r="AG8" s="6">
        <f>_xlfn.IFNA(IF($E8="Robot",VLOOKUP(AE8,[1]Weapon!$B$1:$G$351,6,FALSE)/2,VLOOKUP(AE8,[1]Weapon!$B$1:$G$351,6,FALSE)),0)</f>
        <v>0</v>
      </c>
      <c r="AH8" s="36"/>
      <c r="AI8">
        <v>-1</v>
      </c>
      <c r="AJ8" s="6">
        <f>_xlfn.IFNA(IF($E8="Robot",VLOOKUP(AH8,[1]Weapon!$B$1:$G$351,6,FALSE)/2,VLOOKUP(AH8,[1]Weapon!$B$1:$G$351,6,FALSE)),0)</f>
        <v>0</v>
      </c>
      <c r="AK8" s="82" t="s">
        <v>146</v>
      </c>
      <c r="AL8">
        <v>4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3"/>
      <c r="AS8">
        <f>VLOOKUP(B8,Toolkit!$Q$3:$U$22,2,FALSE)</f>
        <v>331</v>
      </c>
    </row>
    <row r="9" spans="1:46" x14ac:dyDescent="0.25">
      <c r="A9" s="68" t="str">
        <f t="shared" si="0"/>
        <v>Elishar</v>
      </c>
      <c r="B9" s="42" t="s">
        <v>107</v>
      </c>
      <c r="C9" s="105" t="s">
        <v>176</v>
      </c>
      <c r="D9" s="42" t="s">
        <v>108</v>
      </c>
      <c r="E9" s="76" t="s">
        <v>60</v>
      </c>
      <c r="F9">
        <v>62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44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44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82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35"/>
      <c r="Z9">
        <v>-1</v>
      </c>
      <c r="AA9" s="6">
        <f>_xlfn.IFNA(IF($E9="Robot",VLOOKUP(Y9,[1]Weapon!$B$1:$G$351,6,FALSE)/2,VLOOKUP(Y9,[1]Weapon!$B$1:$G$351,6,FALSE)),0)</f>
        <v>0</v>
      </c>
      <c r="AB9" s="35"/>
      <c r="AC9">
        <v>-1</v>
      </c>
      <c r="AD9" s="6">
        <f>_xlfn.IFNA(IF($E9="Robot",VLOOKUP(AB9,[1]Weapon!$B$1:$G$351,6,FALSE)/2,VLOOKUP(AB9,[1]Weapon!$B$1:$G$351,6,FALSE)),0)</f>
        <v>0</v>
      </c>
      <c r="AE9" s="35"/>
      <c r="AF9">
        <v>-1</v>
      </c>
      <c r="AG9" s="6">
        <f>_xlfn.IFNA(IF($E9="Robot",VLOOKUP(AE9,[1]Weapon!$B$1:$G$351,6,FALSE)/2,VLOOKUP(AE9,[1]Weapon!$B$1:$G$351,6,FALSE)),0)</f>
        <v>0</v>
      </c>
      <c r="AH9" s="35"/>
      <c r="AI9">
        <v>-1</v>
      </c>
      <c r="AJ9" s="6">
        <f>_xlfn.IFNA(IF($E9="Robot",VLOOKUP(AH9,[1]Weapon!$B$1:$G$351,6,FALSE)/2,VLOOKUP(AH9,[1]Weapon!$B$1:$G$351,6,FALSE)),0)</f>
        <v>0</v>
      </c>
      <c r="AK9" s="26"/>
      <c r="AL9">
        <v>-1</v>
      </c>
      <c r="AM9" s="6">
        <f>_xlfn.IFNA(IF($E9="Robot",VLOOKUP(AK9,[1]Weapon!$B$1:$G$351,6,FALSE)/2,VLOOKUP(AK9,[1]Weapon!$B$1:$G$351,6,FALSE)),0)</f>
        <v>0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S9">
        <f>VLOOKUP(B9,Toolkit!$Q$3:$U$22,2,FALSE)</f>
        <v>331</v>
      </c>
    </row>
    <row r="10" spans="1:46" x14ac:dyDescent="0.25">
      <c r="A10" s="68" t="str">
        <f t="shared" si="0"/>
        <v>Malli</v>
      </c>
      <c r="B10" s="42" t="s">
        <v>109</v>
      </c>
      <c r="C10" s="105" t="s">
        <v>176</v>
      </c>
      <c r="D10" s="42" t="s">
        <v>110</v>
      </c>
      <c r="E10" s="75" t="s">
        <v>91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44" t="s">
        <v>89</v>
      </c>
      <c r="Q10">
        <v>15</v>
      </c>
      <c r="R10" s="6">
        <f>_xlfn.IFNA(IF($E10="Robot",VLOOKUP(P10,[1]Weapon!$B$1:$G$351,6,FALSE)/2,VLOOKUP(P10,[1]Weapon!$B$1:$G$351,6,FALSE)),0)</f>
        <v>15</v>
      </c>
      <c r="S10" s="89" t="s">
        <v>144</v>
      </c>
      <c r="T10">
        <v>-2</v>
      </c>
      <c r="U10" s="6">
        <f>_xlfn.IFNA(IF($E10="Robot",VLOOKUP(S10,[1]Weapon!$B$1:$G$351,6,FALSE)/2,VLOOKUP(S10,[1]Weapon!$B$1:$G$351,6,FALSE)),0)</f>
        <v>-2</v>
      </c>
      <c r="V10" s="35"/>
      <c r="W10">
        <v>0</v>
      </c>
      <c r="X10" s="6">
        <f>_xlfn.IFNA(IF($E10="Robot",VLOOKUP(V10,[1]Weapon!$B$1:$G$351,6,FALSE)/2,VLOOKUP(V10,[1]Weapon!$B$1:$G$351,6,FALSE)),0)</f>
        <v>0</v>
      </c>
      <c r="Y10" s="36"/>
      <c r="Z10">
        <v>0</v>
      </c>
      <c r="AA10" s="6">
        <f>_xlfn.IFNA(IF($E10="Robot",VLOOKUP(Y10,[1]Weapon!$B$1:$G$351,6,FALSE)/2,VLOOKUP(Y10,[1]Weapon!$B$1:$G$351,6,FALSE)),0)</f>
        <v>0</v>
      </c>
      <c r="AB10" s="44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44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82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432</v>
      </c>
    </row>
    <row r="11" spans="1:46" x14ac:dyDescent="0.25">
      <c r="A11" s="68" t="str">
        <f t="shared" si="0"/>
        <v>Jaelyn</v>
      </c>
      <c r="B11" s="42" t="s">
        <v>74</v>
      </c>
      <c r="C11" s="105" t="s">
        <v>176</v>
      </c>
      <c r="D11" s="42" t="s">
        <v>112</v>
      </c>
      <c r="E11" s="75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81">
        <f>4+1</f>
        <v>5</v>
      </c>
      <c r="M11" s="47">
        <f>L11</f>
        <v>5</v>
      </c>
      <c r="N11" s="4">
        <v>8</v>
      </c>
      <c r="O11" s="2">
        <f t="shared" si="8"/>
        <v>8</v>
      </c>
      <c r="P11" s="44" t="s">
        <v>88</v>
      </c>
      <c r="Q11">
        <v>15</v>
      </c>
      <c r="R11" s="6">
        <f>_xlfn.IFNA(IF($E11="Robot",VLOOKUP(P11,[1]Weapon!$B$1:$G$351,6,FALSE)/2,VLOOKUP(P11,[1]Weapon!$B$1:$G$351,6,FALSE)),0)</f>
        <v>15</v>
      </c>
      <c r="S11" s="72" t="s">
        <v>140</v>
      </c>
      <c r="T11">
        <v>15</v>
      </c>
      <c r="U11" s="6">
        <f>_xlfn.IFNA(IF($E11="Robot",VLOOKUP(S11,[1]Weapon!$B$1:$G$351,6,FALSE)/2,VLOOKUP(S11,[1]Weapon!$B$1:$G$351,6,FALSE)),0)</f>
        <v>15</v>
      </c>
      <c r="V11" s="89" t="s">
        <v>153</v>
      </c>
      <c r="W11">
        <v>15</v>
      </c>
      <c r="X11" s="6">
        <f>_xlfn.IFNA(IF($E11="Robot",VLOOKUP(V11,[1]Weapon!$B$1:$G$351,6,FALSE)/2,VLOOKUP(V11,[1]Weapon!$B$1:$G$351,6,FALSE)),0)</f>
        <v>15</v>
      </c>
      <c r="Y11" s="36"/>
      <c r="Z11">
        <v>0</v>
      </c>
      <c r="AA11" s="6">
        <f>_xlfn.IFNA(IF($E11="Robot",VLOOKUP(Y11,[1]Weapon!$B$1:$G$351,6,FALSE)/2,VLOOKUP(Y11,[1]Weapon!$B$1:$G$351,6,FALSE)),0)</f>
        <v>0</v>
      </c>
      <c r="AB11" s="44" t="s">
        <v>111</v>
      </c>
      <c r="AC11">
        <v>49</v>
      </c>
      <c r="AD11" s="6">
        <f>_xlfn.IFNA(IF($E11="Robot",VLOOKUP(AB11,[1]Weapon!$B$1:$G$351,6,FALSE)/2,VLOOKUP(AB11,[1]Weapon!$B$1:$G$351,6,FALSE)),0)</f>
        <v>50</v>
      </c>
      <c r="AE11" s="44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95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L11">
        <v>-1</v>
      </c>
      <c r="AM11" s="6">
        <f>_xlfn.IFNA(IF($E11="Robot",VLOOKUP(AK11,[1]Weapon!$B$1:$G$351,6,FALSE)/2,VLOOKUP(AK11,[1]Weapon!$B$1:$G$351,6,FALSE)),0)</f>
        <v>0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96" t="s">
        <v>159</v>
      </c>
      <c r="AS11">
        <f>VLOOKUP(B11,Toolkit!$Q$3:$U$22,2,FALSE)</f>
        <v>331</v>
      </c>
    </row>
    <row r="12" spans="1:46" x14ac:dyDescent="0.25">
      <c r="A12" s="68" t="str">
        <f t="shared" si="0"/>
        <v>DAD-E</v>
      </c>
      <c r="B12" s="42" t="s">
        <v>114</v>
      </c>
      <c r="C12" s="105" t="s">
        <v>176</v>
      </c>
      <c r="D12" s="42" t="s">
        <v>115</v>
      </c>
      <c r="E12" s="76" t="s">
        <v>90</v>
      </c>
      <c r="F12">
        <v>87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81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81">
        <f>5+4</f>
        <v>9</v>
      </c>
      <c r="M12" s="47">
        <f>L12</f>
        <v>9</v>
      </c>
      <c r="N12" s="4">
        <v>0</v>
      </c>
      <c r="O12" s="2">
        <f t="shared" si="8"/>
        <v>0</v>
      </c>
      <c r="P12" s="44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44" t="s">
        <v>116</v>
      </c>
      <c r="T12">
        <v>20</v>
      </c>
      <c r="U12" s="6">
        <f>_xlfn.IFNA(IF($E12="Robot",VLOOKUP(S12,[1]Weapon!$B$1:$G$351,6,FALSE)/2,VLOOKUP(S12,[1]Weapon!$B$1:$G$351,6,FALSE)),0)</f>
        <v>20</v>
      </c>
      <c r="V12" s="82" t="s">
        <v>111</v>
      </c>
      <c r="W12">
        <v>25</v>
      </c>
      <c r="X12" s="6">
        <f>_xlfn.IFNA(IF($E12="Robot",VLOOKUP(V12,[1]Weapon!$B$1:$G$351,6,FALSE)/2,VLOOKUP(V12,[1]Weapon!$B$1:$G$351,6,FALSE)),0)</f>
        <v>25</v>
      </c>
      <c r="Y12" s="88" t="s">
        <v>41</v>
      </c>
      <c r="Z12">
        <v>25</v>
      </c>
      <c r="AA12" s="6">
        <f>_xlfn.IFNA(IF($E12="Robot",VLOOKUP(Y12,[1]Weapon!$B$1:$G$351,6,FALSE)/2,VLOOKUP(Y12,[1]Weapon!$B$1:$G$351,6,FALSE)),0)</f>
        <v>25</v>
      </c>
      <c r="AB12" s="35"/>
      <c r="AC12">
        <v>0</v>
      </c>
      <c r="AD12" s="6">
        <f>_xlfn.IFNA(IF($E12="Robot",VLOOKUP(AB12,[1]Weapon!$B$1:$G$351,6,FALSE)/2,VLOOKUP(AB12,[1]Weapon!$B$1:$G$351,6,FALSE)),0)</f>
        <v>0</v>
      </c>
      <c r="AE12" s="35"/>
      <c r="AF12">
        <v>0</v>
      </c>
      <c r="AG12" s="6">
        <f>_xlfn.IFNA(IF($E12="Robot",VLOOKUP(AE12,[1]Weapon!$B$1:$G$351,6,FALSE)/2,VLOOKUP(AE12,[1]Weapon!$B$1:$G$351,6,FALSE)),0)</f>
        <v>0</v>
      </c>
      <c r="AH12" s="36"/>
      <c r="AI12">
        <v>0</v>
      </c>
      <c r="AJ12" s="6">
        <f>_xlfn.IFNA(IF($E12="Robot",VLOOKUP(AH12,[1]Weapon!$B$1:$G$351,6,FALSE)/2,VLOOKUP(AH12,[1]Weapon!$B$1:$G$351,6,FALSE)),0)</f>
        <v>0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S12">
        <f>VLOOKUP(B12,Toolkit!$Q$3:$U$22,2,FALSE)</f>
        <v>365</v>
      </c>
    </row>
    <row r="13" spans="1:46" x14ac:dyDescent="0.25">
      <c r="A13" s="68" t="str">
        <f t="shared" ref="A13:A17" si="10">B13</f>
        <v>Tankbot</v>
      </c>
      <c r="B13" s="42" t="s">
        <v>117</v>
      </c>
      <c r="C13" s="105" t="s">
        <v>176</v>
      </c>
      <c r="D13" s="42" t="s">
        <v>118</v>
      </c>
      <c r="E13" s="43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47">
        <f>H13</f>
        <v>0</v>
      </c>
      <c r="J13" s="66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44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5" t="s">
        <v>124</v>
      </c>
      <c r="T13">
        <v>25</v>
      </c>
      <c r="U13" s="6">
        <f>_xlfn.IFNA(IF($E13="Robot",VLOOKUP(S13,[1]Weapon!$B$1:$G$351,6,FALSE)/2,VLOOKUP(S13,[1]Weapon!$B$1:$G$351,6,FALSE)),0)</f>
        <v>25</v>
      </c>
      <c r="V13" s="72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80"/>
      <c r="Z13">
        <v>0</v>
      </c>
      <c r="AA13" s="6">
        <f>_xlfn.IFNA(IF($E13="Robot",VLOOKUP(Y13,[1]Weapon!$B$1:$G$351,6,FALSE)/2,VLOOKUP(Y13,[1]Weapon!$B$1:$G$351,6,FALSE)),0)</f>
        <v>0</v>
      </c>
      <c r="AB13" s="35"/>
      <c r="AC13">
        <v>0</v>
      </c>
      <c r="AD13" s="6">
        <f>_xlfn.IFNA(IF($E13="Robot",VLOOKUP(AB13,[1]Weapon!$B$1:$G$351,6,FALSE)/2,VLOOKUP(AB13,[1]Weapon!$B$1:$G$351,6,FALSE)),0)</f>
        <v>0</v>
      </c>
      <c r="AE13" s="35"/>
      <c r="AF13">
        <v>0</v>
      </c>
      <c r="AG13" s="6">
        <f>_xlfn.IFNA(IF($E13="Robot",VLOOKUP(AE13,[1]Weapon!$B$1:$G$351,6,FALSE)/2,VLOOKUP(AE13,[1]Weapon!$B$1:$G$351,6,FALSE)),0)</f>
        <v>0</v>
      </c>
      <c r="AH13" s="35"/>
      <c r="AI13">
        <v>0</v>
      </c>
      <c r="AJ13" s="6">
        <f>_xlfn.IFNA(IF($E13="Robot",VLOOKUP(AH13,[1]Weapon!$B$1:$G$351,6,FALSE)/2,VLOOKUP(AH13,[1]Weapon!$B$1:$G$351,6,FALSE)),0)</f>
        <v>0</v>
      </c>
      <c r="AL13">
        <v>0</v>
      </c>
      <c r="AM13" s="6">
        <f>_xlfn.IFNA(IF($E13="Robot",VLOOKUP(AK13,[1]Weapon!$B$1:$G$351,6,FALSE)/2,VLOOKUP(AK13,[1]Weapon!$B$1:$G$351,6,FALSE)),0)</f>
        <v>0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10"/>
      <c r="AS13">
        <f>VLOOKUP(B13,Toolkit!$Q$3:$U$22,2,FALSE)</f>
        <v>320</v>
      </c>
    </row>
    <row r="14" spans="1:46" x14ac:dyDescent="0.25">
      <c r="A14" s="68" t="str">
        <f t="shared" si="10"/>
        <v>DM</v>
      </c>
      <c r="B14" s="42" t="s">
        <v>119</v>
      </c>
      <c r="C14" s="105" t="s">
        <v>176</v>
      </c>
      <c r="D14" s="42" t="s">
        <v>120</v>
      </c>
      <c r="E14" s="97" t="s">
        <v>160</v>
      </c>
      <c r="F14">
        <v>126</v>
      </c>
      <c r="G14" s="2">
        <f>IF(ISBLANK(VLOOKUP($E14,[1]Monster!$A$2:$X$256,10,FALSE)),"",VLOOKUP($E14,[1]Monster!$A$2:$X$256,10,FALSE))</f>
        <v>126</v>
      </c>
      <c r="H14" s="3">
        <v>0</v>
      </c>
      <c r="I14" s="5">
        <f>IF(ISBLANK(VLOOKUP($E14,[1]Monster!$A$2:$X$256,11,FALSE)),"",VLOOKUP($E14,[1]Monster!$A$2:$X$256,11,FALSE))+H14</f>
        <v>14</v>
      </c>
      <c r="J14" s="4">
        <v>0</v>
      </c>
      <c r="K14" s="2">
        <f>IF(ISBLANK(VLOOKUP($E14,[1]Monster!$A$2:$X$256,14,FALSE)),"",VLOOKUP($E14,[1]Monster!$A$2:$X$256,14,FALSE))+J14</f>
        <v>13</v>
      </c>
      <c r="L14" s="3">
        <v>0</v>
      </c>
      <c r="M14" s="5">
        <f>IF(ISBLANK(VLOOKUP($E14,[1]Monster!$A$2:$X$256,12,FALSE)),"",VLOOKUP($E14,[1]Monster!$A$2:$X$256,12,FALSE))+L14</f>
        <v>14</v>
      </c>
      <c r="N14" s="4">
        <v>0</v>
      </c>
      <c r="O14" s="2">
        <f>IF(ISBLANK(VLOOKUP($E14,[1]Monster!$A$2:$X$256,13,FALSE)),"",VLOOKUP($E14,[1]Monster!$A$2:$X$256,13,FALSE))+N14</f>
        <v>10</v>
      </c>
      <c r="P14" s="35" t="str">
        <f>IF(ISBLANK(VLOOKUP($E14,[1]Monster!$A$2:$X$256,16,FALSE)),"",VLOOKUP($E14,[1]Monster!$A$2:$X$256,16,FALSE))</f>
        <v>Kick</v>
      </c>
      <c r="Q14">
        <v>15</v>
      </c>
      <c r="R14" s="6">
        <f>_xlfn.IFNA(IF($E14="Robot",VLOOKUP(P14,[1]Weapon!$B$1:$G$351,6,FALSE)/2,VLOOKUP(P14,[1]Weapon!$B$1:$G$351,6,FALSE)),0)</f>
        <v>15</v>
      </c>
      <c r="S14" s="35" t="str">
        <f>IF(ISBLANK(VLOOKUP($E14,[1]Monster!$A$2:$X$256,17,FALSE)),"",VLOOKUP($E14,[1]Monster!$A$2:$X$256,17,FALSE))</f>
        <v>Breath</v>
      </c>
      <c r="T14">
        <v>20</v>
      </c>
      <c r="U14" s="6">
        <f>_xlfn.IFNA(IF($E14="Robot",VLOOKUP(S14,[1]Weapon!$B$1:$G$351,6,FALSE)/2,VLOOKUP(S14,[1]Weapon!$B$1:$G$351,6,FALSE)),0)</f>
        <v>20</v>
      </c>
      <c r="V14" s="36" t="str">
        <f>IF(ISBLANK(VLOOKUP($E14,[1]Monster!$A$2:$X$256,18,FALSE)),"",VLOOKUP($E14,[1]Monster!$A$2:$X$256,18,FALSE))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6"/>
      <c r="Z14">
        <v>0</v>
      </c>
      <c r="AA14" s="6">
        <f>_xlfn.IFNA(IF($E14="Robot",VLOOKUP(Y14,[1]Weapon!$B$1:$G$351,6,FALSE)/2,VLOOKUP(Y14,[1]Weapon!$B$1:$G$351,6,FALSE)),0)</f>
        <v>0</v>
      </c>
      <c r="AB14" s="35" t="str">
        <f>IF(ISBLANK(VLOOKUP($E14,[1]Monster!$A$2:$X$256,20,FALSE)),"",VLOOKUP($E14,[1]Monster!$A$2:$X$256,20,FALSE))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5" t="str">
        <f>IF(ISBLANK(VLOOKUP($E14,[1]Monster!$A$2:$X$256,21,FALSE)),"",VLOOKUP($E14,[1]Monster!$A$2:$X$256,21,FALSE))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6" t="str">
        <f>IF(ISBLANK(VLOOKUP($E14,[1]Monster!$A$2:$X$256,22,FALSE)),"",VLOOKUP($E14,[1]Monster!$A$2:$X$256,22,FALSE))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4" t="str">
        <f>IF(ISBLANK(VLOOKUP($E14,[1]Monster!$A$2:$X$256,23,FALSE)),"",VLOOKUP($E14,[1]Monster!$A$2:$X$256,23,FALSE))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3" t="s">
        <v>143</v>
      </c>
      <c r="AS14">
        <f>VLOOKUP(B14,Toolkit!$Q$3:$U$22,2,FALSE)</f>
        <v>409</v>
      </c>
    </row>
    <row r="15" spans="1:46" x14ac:dyDescent="0.25">
      <c r="A15" s="68" t="str">
        <f t="shared" si="10"/>
        <v>Lictus</v>
      </c>
      <c r="B15" s="48" t="s">
        <v>127</v>
      </c>
      <c r="C15" s="105" t="s">
        <v>176</v>
      </c>
      <c r="D15" s="46" t="s">
        <v>122</v>
      </c>
      <c r="E15" s="77" t="s">
        <v>60</v>
      </c>
      <c r="F15">
        <v>60</v>
      </c>
      <c r="G15" s="2">
        <v>60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45" t="s">
        <v>123</v>
      </c>
      <c r="Q15">
        <v>38</v>
      </c>
      <c r="R15" s="6">
        <f>_xlfn.IFNA(IF($E15="Robot",VLOOKUP(P15,[1]Weapon!$B$1:$G$351,6,FALSE)/2,VLOOKUP(P15,[1]Weapon!$B$1:$G$351,6,FALSE)),0)</f>
        <v>50</v>
      </c>
      <c r="S15" s="45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95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36"/>
      <c r="Z15">
        <v>-1</v>
      </c>
      <c r="AA15" s="6">
        <f>_xlfn.IFNA(IF($E15="Robot",VLOOKUP(Y15,[1]Weapon!$B$1:$G$351,6,FALSE)/2,VLOOKUP(Y15,[1]Weapon!$B$1:$G$351,6,FALSE)),0)</f>
        <v>0</v>
      </c>
      <c r="AB15" s="35"/>
      <c r="AC15">
        <v>-1</v>
      </c>
      <c r="AD15" s="6">
        <f>_xlfn.IFNA(IF($E15="Robot",VLOOKUP(AB15,[1]Weapon!$B$1:$G$351,6,FALSE)/2,VLOOKUP(AB15,[1]Weapon!$B$1:$G$351,6,FALSE)),0)</f>
        <v>0</v>
      </c>
      <c r="AE15" s="35"/>
      <c r="AF15">
        <v>-1</v>
      </c>
      <c r="AG15" s="6">
        <f>_xlfn.IFNA(IF($E15="Robot",VLOOKUP(AE15,[1]Weapon!$B$1:$G$351,6,FALSE)/2,VLOOKUP(AE15,[1]Weapon!$B$1:$G$351,6,FALSE)),0)</f>
        <v>0</v>
      </c>
      <c r="AH15" s="35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83"/>
      <c r="AS15">
        <f>VLOOKUP(B15,Toolkit!$Q$3:$U$22,2,FALSE)</f>
        <v>320</v>
      </c>
    </row>
    <row r="16" spans="1:46" x14ac:dyDescent="0.25">
      <c r="A16" s="68" t="str">
        <f t="shared" si="10"/>
        <v>BYTE</v>
      </c>
      <c r="B16" s="48" t="s">
        <v>125</v>
      </c>
      <c r="C16" s="105" t="s">
        <v>176</v>
      </c>
      <c r="D16" s="48" t="s">
        <v>126</v>
      </c>
      <c r="E16" s="43" t="s">
        <v>90</v>
      </c>
      <c r="F16">
        <v>69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69</v>
      </c>
      <c r="H16" s="81">
        <f>6+2</f>
        <v>8</v>
      </c>
      <c r="I16" s="47">
        <f>H16</f>
        <v>8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44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44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95" t="s">
        <v>111</v>
      </c>
      <c r="W16">
        <v>25</v>
      </c>
      <c r="X16" s="6">
        <f>_xlfn.IFNA(IF($E16="Robot",VLOOKUP(V16,[1]Weapon!$B$1:$G$351,6,FALSE)/2,VLOOKUP(V16,[1]Weapon!$B$1:$G$351,6,FALSE)),0)</f>
        <v>25</v>
      </c>
      <c r="Y16" s="35"/>
      <c r="Z16">
        <v>0</v>
      </c>
      <c r="AA16" s="6">
        <f>_xlfn.IFNA(IF($E16="Robot",VLOOKUP(Y16,[1]Weapon!$B$1:$G$351,6,FALSE)/2,VLOOKUP(Y16,[1]Weapon!$B$1:$G$351,6,FALSE)),0)</f>
        <v>0</v>
      </c>
      <c r="AB16" s="35"/>
      <c r="AC16">
        <v>0</v>
      </c>
      <c r="AD16" s="6">
        <f>_xlfn.IFNA(IF($E16="Robot",VLOOKUP(AB16,[1]Weapon!$B$1:$G$351,6,FALSE)/2,VLOOKUP(AB16,[1]Weapon!$B$1:$G$351,6,FALSE)),0)</f>
        <v>0</v>
      </c>
      <c r="AE16" s="35"/>
      <c r="AF16">
        <v>0</v>
      </c>
      <c r="AG16" s="6">
        <f>_xlfn.IFNA(IF($E16="Robot",VLOOKUP(AE16,[1]Weapon!$B$1:$G$351,6,FALSE)/2,VLOOKUP(AE16,[1]Weapon!$B$1:$G$351,6,FALSE)),0)</f>
        <v>0</v>
      </c>
      <c r="AH16" s="36"/>
      <c r="AI16">
        <v>0</v>
      </c>
      <c r="AJ16" s="6">
        <f>_xlfn.IFNA(IF($E16="Robot",VLOOKUP(AH16,[1]Weapon!$B$1:$G$351,6,FALSE)/2,VLOOKUP(AH16,[1]Weapon!$B$1:$G$351,6,FALSE)),0)</f>
        <v>0</v>
      </c>
      <c r="AL16">
        <v>0</v>
      </c>
      <c r="AM16" s="6">
        <f>_xlfn.IFNA(IF($E16="Robot",VLOOKUP(AK16,[1]Weapon!$B$1:$G$351,6,FALSE)/2,VLOOKUP(AK16,[1]Weapon!$B$1:$G$351,6,FALSE)),0)</f>
        <v>0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96" t="s">
        <v>158</v>
      </c>
      <c r="AS16">
        <f>VLOOKUP(B16,Toolkit!$Q$3:$U$22,2,FALSE)</f>
        <v>409</v>
      </c>
    </row>
    <row r="17" spans="1:45" x14ac:dyDescent="0.25">
      <c r="A17" s="68" t="str">
        <f t="shared" si="10"/>
        <v>Mr. S</v>
      </c>
      <c r="B17" s="65" t="s">
        <v>133</v>
      </c>
      <c r="C17" s="7"/>
      <c r="D17" s="65" t="s">
        <v>134</v>
      </c>
      <c r="E17" s="78" t="s">
        <v>135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5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5" t="str">
        <f>IF(ISBLANK(VLOOKUP($E17,[1]Monster!$A$2:$X$256,17,FALSE)),"",VLOOKUP($E17,[1]Monster!$A$2:$X$256,17,FALSE))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6" t="str">
        <f>IF(ISBLANK(VLOOKUP($E17,[1]Monster!$A$2:$X$256,18,FALSE)),"",VLOOKUP($E17,[1]Monster!$A$2:$X$256,18,FALSE))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6"/>
      <c r="Z17">
        <v>-1</v>
      </c>
      <c r="AA17" s="6">
        <f>_xlfn.IFNA(IF($E17="Robot",VLOOKUP(Y17,[1]Weapon!$B$1:$G$351,6,FALSE)/2,VLOOKUP(Y17,[1]Weapon!$B$1:$G$351,6,FALSE)),0)</f>
        <v>0</v>
      </c>
      <c r="AB17" s="35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5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6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4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10"/>
      <c r="AS17">
        <v>0</v>
      </c>
    </row>
    <row r="18" spans="1:45" x14ac:dyDescent="0.25">
      <c r="B18" s="32"/>
      <c r="C18" s="7"/>
      <c r="D18" s="32"/>
      <c r="E18" s="8"/>
      <c r="F18"/>
      <c r="J18" s="4"/>
      <c r="N18" s="4"/>
      <c r="P18" s="35"/>
      <c r="Q18"/>
      <c r="S18" s="35"/>
      <c r="T18"/>
      <c r="V18" s="35"/>
      <c r="W18"/>
      <c r="Y18" s="35"/>
      <c r="Z18"/>
      <c r="AB18" s="37"/>
      <c r="AC18"/>
      <c r="AE18" s="35"/>
      <c r="AF18"/>
      <c r="AH18" s="36"/>
      <c r="AI18"/>
      <c r="AL18"/>
      <c r="AO18"/>
      <c r="AR18" s="10"/>
    </row>
    <row r="19" spans="1:45" x14ac:dyDescent="0.25">
      <c r="B19" s="32"/>
      <c r="C19" s="7"/>
      <c r="D19" s="32"/>
      <c r="E19" s="31"/>
      <c r="F19"/>
      <c r="J19" s="4"/>
      <c r="N19" s="4"/>
      <c r="P19" s="36"/>
      <c r="Q19"/>
      <c r="S19" s="36"/>
      <c r="T19"/>
      <c r="V19" s="36"/>
      <c r="W19"/>
      <c r="Y19" s="36"/>
      <c r="Z19"/>
      <c r="AB19" s="36"/>
      <c r="AC19"/>
      <c r="AF19"/>
      <c r="AI19"/>
      <c r="AL19"/>
      <c r="AO19"/>
      <c r="AR19" s="10"/>
    </row>
    <row r="20" spans="1:45" x14ac:dyDescent="0.25">
      <c r="B20" s="38"/>
      <c r="D20" s="38"/>
      <c r="E20" s="38"/>
      <c r="F20"/>
      <c r="P20" s="37"/>
      <c r="Q20"/>
      <c r="S20" s="37"/>
      <c r="T20"/>
      <c r="V20" s="37"/>
      <c r="W20"/>
      <c r="Y20" s="37"/>
      <c r="Z20"/>
      <c r="AB20" s="37"/>
      <c r="AC20"/>
      <c r="AF20"/>
      <c r="AH20" s="25"/>
      <c r="AI20"/>
      <c r="AK20" s="25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U27" sqref="U27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2.710937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99" t="s">
        <v>131</v>
      </c>
      <c r="B1" s="100"/>
      <c r="C1" s="100"/>
      <c r="D1" s="100"/>
      <c r="E1" s="100"/>
      <c r="F1" s="100"/>
      <c r="G1" s="100"/>
      <c r="H1" s="100"/>
      <c r="I1" s="101"/>
      <c r="K1" s="102" t="s">
        <v>132</v>
      </c>
      <c r="L1" s="103"/>
      <c r="M1" s="103"/>
      <c r="N1" s="103"/>
      <c r="O1" s="104"/>
      <c r="Q1" s="102" t="s">
        <v>151</v>
      </c>
      <c r="R1" s="103"/>
      <c r="S1" s="103"/>
      <c r="T1" s="103"/>
      <c r="U1" s="104"/>
    </row>
    <row r="2" spans="1:21" x14ac:dyDescent="0.2">
      <c r="A2" s="61" t="s">
        <v>40</v>
      </c>
      <c r="B2" s="62" t="s">
        <v>8</v>
      </c>
      <c r="C2" s="62" t="s">
        <v>85</v>
      </c>
      <c r="D2" s="62" t="s">
        <v>82</v>
      </c>
      <c r="E2" s="63" t="s">
        <v>79</v>
      </c>
      <c r="F2" s="63" t="s">
        <v>80</v>
      </c>
      <c r="G2" s="62" t="s">
        <v>83</v>
      </c>
      <c r="H2" s="62" t="s">
        <v>81</v>
      </c>
      <c r="I2" s="64" t="s">
        <v>86</v>
      </c>
      <c r="K2" s="54" t="s">
        <v>128</v>
      </c>
      <c r="L2" s="55" t="s">
        <v>141</v>
      </c>
      <c r="M2" s="55" t="s">
        <v>69</v>
      </c>
      <c r="N2" s="55" t="s">
        <v>129</v>
      </c>
      <c r="O2" s="56" t="s">
        <v>130</v>
      </c>
      <c r="Q2" s="54" t="s">
        <v>128</v>
      </c>
      <c r="R2" s="55" t="s">
        <v>136</v>
      </c>
      <c r="S2" s="55" t="s">
        <v>137</v>
      </c>
      <c r="T2" s="55" t="s">
        <v>152</v>
      </c>
      <c r="U2" s="56" t="s">
        <v>138</v>
      </c>
    </row>
    <row r="3" spans="1:21" ht="15" x14ac:dyDescent="0.25">
      <c r="A3" s="50"/>
      <c r="B3" s="57" t="e">
        <f>VLOOKUP(A3,Players!$B$2:$O$20,5,FALSE)</f>
        <v>#N/A</v>
      </c>
      <c r="C3" s="57" t="e">
        <f>VLOOKUP(A3,Players!$B$2:$O$20,6,FALSE)</f>
        <v>#N/A</v>
      </c>
      <c r="D3" s="57" t="e">
        <f>VLOOKUP(A3,Players!$B$2:$O$20,14,FALSE)</f>
        <v>#N/A</v>
      </c>
      <c r="E3" s="57" t="s">
        <v>84</v>
      </c>
      <c r="F3" s="57" t="s">
        <v>133</v>
      </c>
      <c r="G3" s="57">
        <f>VLOOKUP(F3,Players!$B$2:$O$20,14,FALSE)</f>
        <v>19</v>
      </c>
      <c r="H3" s="57" t="e">
        <f>IF(E3="Cure Potion",30,IF(E3="Spell",PRODUCT(4,D3+G3),0))</f>
        <v>#N/A</v>
      </c>
      <c r="I3" s="58" t="e">
        <f>IF(SUM(H3+B3)&lt;C3,SUM(H3+B3),C3)</f>
        <v>#N/A</v>
      </c>
      <c r="K3" s="51" t="s">
        <v>92</v>
      </c>
      <c r="L3" s="98" t="s">
        <v>168</v>
      </c>
      <c r="M3" s="73">
        <f ca="1">VLOOKUP($K3,INDIRECT("'"&amp;L3&amp;"'!$A$2:$F$10"),6,FALSE)</f>
        <v>47</v>
      </c>
      <c r="N3" s="57" t="s">
        <v>154</v>
      </c>
      <c r="O3" s="58" t="s">
        <v>166</v>
      </c>
      <c r="Q3" s="51" t="s">
        <v>92</v>
      </c>
      <c r="R3">
        <v>331</v>
      </c>
      <c r="S3" s="57">
        <f t="shared" ref="S3:S17" si="0">VLOOKUP(L3,R$26:S$34,2,FALSE)</f>
        <v>0</v>
      </c>
      <c r="T3" s="57"/>
      <c r="U3" s="58">
        <f>S3+R3</f>
        <v>331</v>
      </c>
    </row>
    <row r="4" spans="1:21" ht="15" x14ac:dyDescent="0.25">
      <c r="A4" s="50"/>
      <c r="B4" s="57" t="e">
        <f>VLOOKUP(A4,Players!$B$2:$O$20,5,FALSE)</f>
        <v>#N/A</v>
      </c>
      <c r="C4" s="57" t="e">
        <f>VLOOKUP(A4,Players!$B$2:$O$20,6,FALSE)</f>
        <v>#N/A</v>
      </c>
      <c r="D4" s="57" t="e">
        <f>VLOOKUP(A4,Players!$B$2:$O$20,14,FALSE)</f>
        <v>#N/A</v>
      </c>
      <c r="E4" s="57" t="s">
        <v>84</v>
      </c>
      <c r="F4" s="57" t="s">
        <v>133</v>
      </c>
      <c r="G4" s="57">
        <f>VLOOKUP(F4,Players!$B$2:$O$20,14,FALSE)</f>
        <v>19</v>
      </c>
      <c r="H4" s="57" t="e">
        <f>IF(E4="Cure Potion",30,IF(E4="Spell",PRODUCT(4,D4+G4),0))</f>
        <v>#N/A</v>
      </c>
      <c r="I4" s="58" t="e">
        <f>IF(SUM(H4+B4)&lt;C4,SUM(H4+B4),C4)</f>
        <v>#N/A</v>
      </c>
      <c r="K4" s="51" t="s">
        <v>93</v>
      </c>
      <c r="L4" s="98" t="s">
        <v>172</v>
      </c>
      <c r="M4" s="73">
        <f t="shared" ref="M4:M17" ca="1" si="1">VLOOKUP($K4,INDIRECT("'"&amp;L4&amp;"'!$A$2:$F$10"),6,FALSE)</f>
        <v>21</v>
      </c>
      <c r="N4" s="57" t="s">
        <v>89</v>
      </c>
      <c r="O4" s="58"/>
      <c r="Q4" s="51" t="s">
        <v>93</v>
      </c>
      <c r="R4">
        <v>365</v>
      </c>
      <c r="S4" s="57">
        <f t="shared" si="0"/>
        <v>0</v>
      </c>
      <c r="T4" s="57"/>
      <c r="U4" s="58">
        <f t="shared" ref="U4:U17" si="2">S4+R4</f>
        <v>365</v>
      </c>
    </row>
    <row r="5" spans="1:21" ht="15" x14ac:dyDescent="0.25">
      <c r="A5" s="50"/>
      <c r="B5" s="57" t="e">
        <f>VLOOKUP(A5,Players!$B$2:$O$20,5,FALSE)</f>
        <v>#N/A</v>
      </c>
      <c r="C5" s="57" t="e">
        <f>VLOOKUP(A5,Players!$B$2:$O$20,6,FALSE)</f>
        <v>#N/A</v>
      </c>
      <c r="D5" s="57" t="e">
        <f>VLOOKUP(A5,Players!$B$2:$O$20,14,FALSE)</f>
        <v>#N/A</v>
      </c>
      <c r="E5" s="57" t="s">
        <v>84</v>
      </c>
      <c r="F5" s="57" t="s">
        <v>133</v>
      </c>
      <c r="G5" s="57">
        <f>VLOOKUP(F5,Players!$B$2:$O$20,14,FALSE)</f>
        <v>19</v>
      </c>
      <c r="H5" s="57" t="e">
        <f t="shared" ref="H5:H10" si="3">IF(E5="Cure Potion",30,IF(E5="Spell",PRODUCT(4,D5+G5),0))</f>
        <v>#N/A</v>
      </c>
      <c r="I5" s="58" t="e">
        <f t="shared" ref="I5:I10" si="4">IF(SUM(H5+B5)&lt;C5,SUM(H5+B5),C5)</f>
        <v>#N/A</v>
      </c>
      <c r="K5" s="51" t="s">
        <v>97</v>
      </c>
      <c r="L5" s="98" t="s">
        <v>170</v>
      </c>
      <c r="M5" s="73">
        <f t="shared" ca="1" si="1"/>
        <v>55</v>
      </c>
      <c r="N5" s="57" t="s">
        <v>95</v>
      </c>
      <c r="O5" s="58" t="s">
        <v>165</v>
      </c>
      <c r="Q5" s="51" t="s">
        <v>97</v>
      </c>
      <c r="R5">
        <v>343</v>
      </c>
      <c r="S5" s="57">
        <f t="shared" si="0"/>
        <v>0</v>
      </c>
      <c r="T5" s="57"/>
      <c r="U5" s="58">
        <f t="shared" si="2"/>
        <v>343</v>
      </c>
    </row>
    <row r="6" spans="1:21" ht="15" x14ac:dyDescent="0.25">
      <c r="A6" s="50"/>
      <c r="B6" s="57" t="e">
        <f>VLOOKUP(A6,Players!$B$2:$O$20,5,FALSE)</f>
        <v>#N/A</v>
      </c>
      <c r="C6" s="57" t="e">
        <f>VLOOKUP(A6,Players!$B$2:$O$20,6,FALSE)</f>
        <v>#N/A</v>
      </c>
      <c r="D6" s="57" t="e">
        <f>VLOOKUP(A6,Players!$B$2:$O$20,14,FALSE)</f>
        <v>#N/A</v>
      </c>
      <c r="E6" s="57" t="s">
        <v>84</v>
      </c>
      <c r="F6" s="57" t="s">
        <v>133</v>
      </c>
      <c r="G6" s="57">
        <f>VLOOKUP(F6,Players!$B$2:$O$20,14,FALSE)</f>
        <v>19</v>
      </c>
      <c r="H6" s="57" t="e">
        <f t="shared" si="3"/>
        <v>#N/A</v>
      </c>
      <c r="I6" s="58" t="e">
        <f t="shared" si="4"/>
        <v>#N/A</v>
      </c>
      <c r="K6" s="51" t="s">
        <v>98</v>
      </c>
      <c r="L6" s="98" t="s">
        <v>170</v>
      </c>
      <c r="M6" s="73">
        <f t="shared" ca="1" si="1"/>
        <v>81</v>
      </c>
      <c r="N6" s="57" t="s">
        <v>155</v>
      </c>
      <c r="O6" s="58" t="s">
        <v>165</v>
      </c>
      <c r="Q6" s="51" t="s">
        <v>98</v>
      </c>
      <c r="R6">
        <v>365</v>
      </c>
      <c r="S6" s="57">
        <f t="shared" si="0"/>
        <v>0</v>
      </c>
      <c r="T6" s="57"/>
      <c r="U6" s="58">
        <f t="shared" si="2"/>
        <v>365</v>
      </c>
    </row>
    <row r="7" spans="1:21" ht="15" x14ac:dyDescent="0.25">
      <c r="A7" s="50"/>
      <c r="B7" s="57" t="e">
        <f>VLOOKUP(A7,Players!$B$2:$O$20,5,FALSE)</f>
        <v>#N/A</v>
      </c>
      <c r="C7" s="57" t="e">
        <f>VLOOKUP(A7,Players!$B$2:$O$20,6,FALSE)</f>
        <v>#N/A</v>
      </c>
      <c r="D7" s="57" t="e">
        <f>VLOOKUP(A7,Players!$B$2:$O$20,14,FALSE)</f>
        <v>#N/A</v>
      </c>
      <c r="E7" s="57" t="s">
        <v>84</v>
      </c>
      <c r="F7" s="57" t="s">
        <v>74</v>
      </c>
      <c r="G7" s="57">
        <f>VLOOKUP(F7,Players!$B$2:$O$20,14,FALSE)</f>
        <v>8</v>
      </c>
      <c r="H7" s="57" t="e">
        <f t="shared" si="3"/>
        <v>#N/A</v>
      </c>
      <c r="I7" s="58" t="e">
        <f t="shared" si="4"/>
        <v>#N/A</v>
      </c>
      <c r="K7" s="51" t="s">
        <v>76</v>
      </c>
      <c r="L7" s="98" t="s">
        <v>169</v>
      </c>
      <c r="M7" s="73">
        <f t="shared" ca="1" si="1"/>
        <v>52</v>
      </c>
      <c r="N7" s="57" t="s">
        <v>121</v>
      </c>
      <c r="O7" s="58" t="s">
        <v>166</v>
      </c>
      <c r="Q7" s="51" t="s">
        <v>76</v>
      </c>
      <c r="R7">
        <v>309</v>
      </c>
      <c r="S7" s="57">
        <f t="shared" si="0"/>
        <v>0</v>
      </c>
      <c r="T7" s="57"/>
      <c r="U7" s="58">
        <f t="shared" si="2"/>
        <v>309</v>
      </c>
    </row>
    <row r="8" spans="1:21" ht="15" x14ac:dyDescent="0.25">
      <c r="A8" s="50"/>
      <c r="B8" s="57" t="e">
        <f>VLOOKUP(A8,Players!$B$2:$O$20,5,FALSE)</f>
        <v>#N/A</v>
      </c>
      <c r="C8" s="57" t="e">
        <f>VLOOKUP(A8,Players!$B$2:$O$20,6,FALSE)</f>
        <v>#N/A</v>
      </c>
      <c r="D8" s="57" t="e">
        <f>VLOOKUP(A8,Players!$B$2:$O$20,14,FALSE)</f>
        <v>#N/A</v>
      </c>
      <c r="E8" s="57" t="s">
        <v>84</v>
      </c>
      <c r="F8" s="57" t="s">
        <v>133</v>
      </c>
      <c r="G8" s="57">
        <f>VLOOKUP(F8,Players!$B$2:$O$20,14,FALSE)</f>
        <v>19</v>
      </c>
      <c r="H8" s="57" t="e">
        <f t="shared" si="3"/>
        <v>#N/A</v>
      </c>
      <c r="I8" s="58" t="e">
        <f t="shared" si="4"/>
        <v>#N/A</v>
      </c>
      <c r="K8" s="52" t="s">
        <v>101</v>
      </c>
      <c r="L8" s="98" t="s">
        <v>172</v>
      </c>
      <c r="M8" s="73">
        <f t="shared" ca="1" si="1"/>
        <v>46</v>
      </c>
      <c r="N8" s="57" t="s">
        <v>104</v>
      </c>
      <c r="O8" s="58" t="s">
        <v>162</v>
      </c>
      <c r="Q8" s="52" t="s">
        <v>101</v>
      </c>
      <c r="R8">
        <v>343</v>
      </c>
      <c r="S8" s="57">
        <f t="shared" si="0"/>
        <v>0</v>
      </c>
      <c r="T8" s="57"/>
      <c r="U8" s="58">
        <f t="shared" si="2"/>
        <v>343</v>
      </c>
    </row>
    <row r="9" spans="1:21" ht="15" x14ac:dyDescent="0.25">
      <c r="A9" s="50"/>
      <c r="B9" s="57" t="e">
        <f>VLOOKUP(A9,Players!$B$2:$O$20,5,FALSE)</f>
        <v>#N/A</v>
      </c>
      <c r="C9" s="57" t="e">
        <f>VLOOKUP(A9,Players!$B$2:$O$20,6,FALSE)</f>
        <v>#N/A</v>
      </c>
      <c r="D9" s="57" t="e">
        <f>VLOOKUP(A9,Players!$B$2:$O$20,14,FALSE)</f>
        <v>#N/A</v>
      </c>
      <c r="E9" s="57" t="s">
        <v>84</v>
      </c>
      <c r="F9" s="57" t="s">
        <v>133</v>
      </c>
      <c r="G9" s="57">
        <f>VLOOKUP(F9,Players!$B$2:$O$20,14,FALSE)</f>
        <v>19</v>
      </c>
      <c r="H9" s="57" t="e">
        <f t="shared" si="3"/>
        <v>#N/A</v>
      </c>
      <c r="I9" s="58" t="e">
        <f t="shared" si="4"/>
        <v>#N/A</v>
      </c>
      <c r="K9" s="52" t="s">
        <v>105</v>
      </c>
      <c r="L9" s="98" t="s">
        <v>169</v>
      </c>
      <c r="M9" s="73">
        <f t="shared" ca="1" si="1"/>
        <v>36</v>
      </c>
      <c r="N9" s="57" t="s">
        <v>95</v>
      </c>
      <c r="O9" s="58" t="s">
        <v>166</v>
      </c>
      <c r="Q9" s="52" t="s">
        <v>105</v>
      </c>
      <c r="R9">
        <v>331</v>
      </c>
      <c r="S9" s="57">
        <f t="shared" si="0"/>
        <v>0</v>
      </c>
      <c r="T9" s="57"/>
      <c r="U9" s="58">
        <f t="shared" si="2"/>
        <v>331</v>
      </c>
    </row>
    <row r="10" spans="1:21" ht="15" x14ac:dyDescent="0.25">
      <c r="A10" s="50"/>
      <c r="B10" s="57" t="e">
        <f>VLOOKUP(A10,Players!$B$2:$O$20,5,FALSE)</f>
        <v>#N/A</v>
      </c>
      <c r="C10" s="57" t="e">
        <f>VLOOKUP(A10,Players!$B$2:$O$20,6,FALSE)</f>
        <v>#N/A</v>
      </c>
      <c r="D10" s="57" t="e">
        <f>VLOOKUP(A10,Players!$B$2:$O$20,14,FALSE)</f>
        <v>#N/A</v>
      </c>
      <c r="E10" s="57" t="s">
        <v>84</v>
      </c>
      <c r="F10" s="57" t="s">
        <v>133</v>
      </c>
      <c r="G10" s="57">
        <f>VLOOKUP(F10,Players!$B$2:$O$20,14,FALSE)</f>
        <v>19</v>
      </c>
      <c r="H10" s="57" t="e">
        <f t="shared" si="3"/>
        <v>#N/A</v>
      </c>
      <c r="I10" s="58" t="e">
        <f t="shared" si="4"/>
        <v>#N/A</v>
      </c>
      <c r="K10" s="52" t="s">
        <v>107</v>
      </c>
      <c r="L10" s="98" t="s">
        <v>171</v>
      </c>
      <c r="M10" s="73">
        <f t="shared" ca="1" si="1"/>
        <v>62</v>
      </c>
      <c r="N10" s="57" t="s">
        <v>121</v>
      </c>
      <c r="O10" s="58" t="s">
        <v>163</v>
      </c>
      <c r="Q10" s="52" t="s">
        <v>107</v>
      </c>
      <c r="R10">
        <v>331</v>
      </c>
      <c r="S10" s="57">
        <f t="shared" si="0"/>
        <v>0</v>
      </c>
      <c r="T10" s="57"/>
      <c r="U10" s="58">
        <f t="shared" si="2"/>
        <v>331</v>
      </c>
    </row>
    <row r="11" spans="1:21" ht="15.75" thickBot="1" x14ac:dyDescent="0.3">
      <c r="A11" s="49"/>
      <c r="B11" s="59"/>
      <c r="C11" s="59"/>
      <c r="D11" s="59"/>
      <c r="E11" s="59"/>
      <c r="F11" s="59"/>
      <c r="G11" s="59"/>
      <c r="H11" s="59"/>
      <c r="I11" s="60"/>
      <c r="K11" s="52" t="s">
        <v>109</v>
      </c>
      <c r="L11" s="98" t="s">
        <v>172</v>
      </c>
      <c r="M11" s="73">
        <f t="shared" ca="1" si="1"/>
        <v>56</v>
      </c>
      <c r="N11" s="57" t="s">
        <v>89</v>
      </c>
      <c r="O11" s="58"/>
      <c r="Q11" s="52" t="s">
        <v>109</v>
      </c>
      <c r="R11">
        <v>432</v>
      </c>
      <c r="S11" s="57">
        <f t="shared" si="0"/>
        <v>0</v>
      </c>
      <c r="T11" s="57"/>
      <c r="U11" s="58">
        <f t="shared" si="2"/>
        <v>432</v>
      </c>
    </row>
    <row r="12" spans="1:21" ht="15" x14ac:dyDescent="0.25">
      <c r="K12" s="52" t="s">
        <v>74</v>
      </c>
      <c r="L12" s="98" t="s">
        <v>168</v>
      </c>
      <c r="M12" s="73">
        <f t="shared" ca="1" si="1"/>
        <v>52</v>
      </c>
      <c r="N12" s="57" t="s">
        <v>111</v>
      </c>
      <c r="O12" s="58" t="s">
        <v>166</v>
      </c>
      <c r="Q12" s="52" t="s">
        <v>74</v>
      </c>
      <c r="R12">
        <v>331</v>
      </c>
      <c r="S12" s="57">
        <f t="shared" si="0"/>
        <v>0</v>
      </c>
      <c r="T12" s="57"/>
      <c r="U12" s="58">
        <f t="shared" si="2"/>
        <v>331</v>
      </c>
    </row>
    <row r="13" spans="1:21" ht="15" x14ac:dyDescent="0.25">
      <c r="A13" t="s">
        <v>157</v>
      </c>
      <c r="K13" s="52" t="s">
        <v>114</v>
      </c>
      <c r="L13" s="98" t="s">
        <v>170</v>
      </c>
      <c r="M13" s="73">
        <f t="shared" ca="1" si="1"/>
        <v>53</v>
      </c>
      <c r="N13" s="57" t="s">
        <v>111</v>
      </c>
      <c r="O13" s="58" t="s">
        <v>165</v>
      </c>
      <c r="Q13" s="52" t="s">
        <v>114</v>
      </c>
      <c r="R13">
        <v>365</v>
      </c>
      <c r="S13" s="57">
        <f t="shared" si="0"/>
        <v>0</v>
      </c>
      <c r="T13" s="57"/>
      <c r="U13" s="58">
        <f t="shared" si="2"/>
        <v>365</v>
      </c>
    </row>
    <row r="14" spans="1:21" ht="15" x14ac:dyDescent="0.25">
      <c r="A14" t="s">
        <v>74</v>
      </c>
      <c r="B14" t="s">
        <v>88</v>
      </c>
      <c r="C14">
        <v>1</v>
      </c>
      <c r="K14" s="52" t="s">
        <v>117</v>
      </c>
      <c r="L14" s="98" t="s">
        <v>169</v>
      </c>
      <c r="M14" s="73">
        <f t="shared" ca="1" si="1"/>
        <v>51</v>
      </c>
      <c r="N14" s="57" t="s">
        <v>124</v>
      </c>
      <c r="O14" s="58"/>
      <c r="Q14" s="52" t="s">
        <v>117</v>
      </c>
      <c r="R14">
        <v>320</v>
      </c>
      <c r="S14" s="57">
        <f t="shared" si="0"/>
        <v>0</v>
      </c>
      <c r="T14" s="57"/>
      <c r="U14" s="58">
        <f t="shared" si="2"/>
        <v>320</v>
      </c>
    </row>
    <row r="15" spans="1:21" ht="15" x14ac:dyDescent="0.25">
      <c r="K15" s="52" t="s">
        <v>119</v>
      </c>
      <c r="L15" s="98" t="s">
        <v>168</v>
      </c>
      <c r="M15" s="73">
        <f t="shared" ca="1" si="1"/>
        <v>126</v>
      </c>
      <c r="N15" s="57" t="s">
        <v>183</v>
      </c>
      <c r="O15" s="58" t="s">
        <v>166</v>
      </c>
      <c r="Q15" s="52" t="s">
        <v>119</v>
      </c>
      <c r="R15">
        <v>409</v>
      </c>
      <c r="S15" s="57">
        <f t="shared" si="0"/>
        <v>0</v>
      </c>
      <c r="T15" s="57"/>
      <c r="U15" s="58">
        <f t="shared" si="2"/>
        <v>409</v>
      </c>
    </row>
    <row r="16" spans="1:21" ht="15" x14ac:dyDescent="0.25">
      <c r="K16" s="53" t="s">
        <v>127</v>
      </c>
      <c r="L16" s="98" t="s">
        <v>171</v>
      </c>
      <c r="M16" s="73">
        <f t="shared" ca="1" si="1"/>
        <v>22</v>
      </c>
      <c r="N16" s="57" t="s">
        <v>95</v>
      </c>
      <c r="O16" s="58" t="s">
        <v>163</v>
      </c>
      <c r="Q16" s="53" t="s">
        <v>127</v>
      </c>
      <c r="R16">
        <v>320</v>
      </c>
      <c r="S16" s="57">
        <f t="shared" si="0"/>
        <v>0</v>
      </c>
      <c r="T16" s="57"/>
      <c r="U16" s="58">
        <f t="shared" si="2"/>
        <v>320</v>
      </c>
    </row>
    <row r="17" spans="11:21" ht="15" x14ac:dyDescent="0.25">
      <c r="K17" s="53" t="s">
        <v>125</v>
      </c>
      <c r="L17" s="98" t="s">
        <v>171</v>
      </c>
      <c r="M17" s="73">
        <f t="shared" ca="1" si="1"/>
        <v>64</v>
      </c>
      <c r="N17" s="57" t="s">
        <v>111</v>
      </c>
      <c r="O17" s="58" t="s">
        <v>164</v>
      </c>
      <c r="Q17" s="53" t="s">
        <v>125</v>
      </c>
      <c r="R17">
        <v>409</v>
      </c>
      <c r="S17" s="57">
        <f t="shared" si="0"/>
        <v>0</v>
      </c>
      <c r="T17" s="57"/>
      <c r="U17" s="58">
        <f t="shared" si="2"/>
        <v>409</v>
      </c>
    </row>
    <row r="18" spans="11:21" x14ac:dyDescent="0.2">
      <c r="K18" s="50"/>
      <c r="L18" s="69"/>
      <c r="M18" s="69"/>
      <c r="N18" s="57"/>
      <c r="O18" s="58"/>
      <c r="Q18" s="50"/>
      <c r="R18" s="57"/>
      <c r="S18" s="57"/>
      <c r="T18" s="57"/>
      <c r="U18" s="58"/>
    </row>
    <row r="19" spans="11:21" x14ac:dyDescent="0.2">
      <c r="K19" s="50"/>
      <c r="L19" s="69"/>
      <c r="M19" s="69"/>
      <c r="N19" s="57"/>
      <c r="O19" s="58"/>
      <c r="Q19" s="50"/>
      <c r="R19" s="57"/>
      <c r="S19" s="57"/>
      <c r="T19" s="57"/>
      <c r="U19" s="58"/>
    </row>
    <row r="20" spans="11:21" x14ac:dyDescent="0.2">
      <c r="K20" s="50"/>
      <c r="L20" s="69"/>
      <c r="M20" s="69"/>
      <c r="N20" s="57"/>
      <c r="O20" s="58"/>
      <c r="Q20" s="50"/>
      <c r="R20" s="57"/>
      <c r="S20" s="57"/>
      <c r="T20" s="57"/>
      <c r="U20" s="58"/>
    </row>
    <row r="21" spans="11:21" x14ac:dyDescent="0.2">
      <c r="K21" s="50"/>
      <c r="L21" s="69"/>
      <c r="M21" s="69"/>
      <c r="N21" s="57"/>
      <c r="O21" s="58"/>
      <c r="Q21" s="50"/>
      <c r="R21" s="57"/>
      <c r="S21" s="57"/>
      <c r="T21" s="57"/>
      <c r="U21" s="58"/>
    </row>
    <row r="22" spans="11:21" ht="13.5" thickBot="1" x14ac:dyDescent="0.25">
      <c r="K22" s="49"/>
      <c r="L22" s="70"/>
      <c r="M22" s="70"/>
      <c r="N22" s="59"/>
      <c r="O22" s="60"/>
      <c r="Q22" s="49"/>
      <c r="R22" s="59"/>
      <c r="S22" s="59"/>
      <c r="T22" s="59"/>
      <c r="U22" s="60"/>
    </row>
    <row r="23" spans="11:21" ht="13.5" thickBot="1" x14ac:dyDescent="0.25"/>
    <row r="24" spans="11:21" ht="18.75" thickBot="1" x14ac:dyDescent="0.3">
      <c r="Q24" s="102" t="s">
        <v>156</v>
      </c>
      <c r="R24" s="103"/>
      <c r="S24" s="104"/>
    </row>
    <row r="25" spans="11:21" x14ac:dyDescent="0.2">
      <c r="Q25" s="92" t="s">
        <v>150</v>
      </c>
      <c r="R25" s="93" t="s">
        <v>149</v>
      </c>
      <c r="S25" s="94" t="s">
        <v>148</v>
      </c>
    </row>
    <row r="26" spans="11:21" x14ac:dyDescent="0.2">
      <c r="Q26" s="50">
        <v>4</v>
      </c>
      <c r="R26" s="69" t="str">
        <f>INDEX(SheetNames,Q26)</f>
        <v>Inn and Cafe</v>
      </c>
      <c r="S26" s="90"/>
    </row>
    <row r="27" spans="11:21" x14ac:dyDescent="0.2">
      <c r="Q27" s="50">
        <v>5</v>
      </c>
      <c r="R27" s="69" t="str">
        <f t="shared" ref="R27:R34" si="5">INDEX(SheetNames,Q27)</f>
        <v>Weapon Shop</v>
      </c>
      <c r="S27" s="90"/>
    </row>
    <row r="28" spans="11:21" x14ac:dyDescent="0.2">
      <c r="Q28" s="50">
        <v>6</v>
      </c>
      <c r="R28" s="69" t="str">
        <f t="shared" si="5"/>
        <v>Tool Shop</v>
      </c>
      <c r="S28" s="90"/>
    </row>
    <row r="29" spans="11:21" x14ac:dyDescent="0.2">
      <c r="Q29" s="50">
        <v>7</v>
      </c>
      <c r="R29" s="69" t="str">
        <f>INDEX(SheetNames,Q29)</f>
        <v>Butcher Shop</v>
      </c>
      <c r="S29" s="90"/>
    </row>
    <row r="30" spans="11:21" x14ac:dyDescent="0.2">
      <c r="Q30" s="50">
        <v>8</v>
      </c>
      <c r="R30" s="69" t="str">
        <f>INDEX(SheetNames,Q30)</f>
        <v>Dojo</v>
      </c>
      <c r="S30" s="90"/>
    </row>
    <row r="31" spans="11:21" x14ac:dyDescent="0.2">
      <c r="Q31" s="50">
        <v>9</v>
      </c>
      <c r="R31" s="69" t="e">
        <f t="shared" si="5"/>
        <v>#REF!</v>
      </c>
      <c r="S31" s="90"/>
    </row>
    <row r="32" spans="11:21" x14ac:dyDescent="0.2">
      <c r="Q32" s="50">
        <v>10</v>
      </c>
      <c r="R32" s="69" t="e">
        <f t="shared" si="5"/>
        <v>#REF!</v>
      </c>
      <c r="S32" s="90"/>
    </row>
    <row r="33" spans="17:19" x14ac:dyDescent="0.2">
      <c r="Q33" s="50">
        <v>11</v>
      </c>
      <c r="R33" s="69" t="e">
        <f t="shared" si="5"/>
        <v>#REF!</v>
      </c>
      <c r="S33" s="90"/>
    </row>
    <row r="34" spans="17:19" ht="13.5" thickBot="1" x14ac:dyDescent="0.25">
      <c r="Q34" s="49">
        <v>12</v>
      </c>
      <c r="R34" s="70" t="e">
        <f t="shared" si="5"/>
        <v>#REF!</v>
      </c>
      <c r="S34" s="91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workbookViewId="0">
      <selection activeCell="L3" sqref="L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109</v>
      </c>
      <c r="B2" t="s">
        <v>16</v>
      </c>
      <c r="C2">
        <v>1</v>
      </c>
      <c r="D2">
        <v>3</v>
      </c>
      <c r="E2">
        <v>9.52</v>
      </c>
      <c r="F2">
        <v>56</v>
      </c>
      <c r="G2">
        <v>6</v>
      </c>
      <c r="H2">
        <v>4</v>
      </c>
      <c r="I2">
        <v>6</v>
      </c>
      <c r="J2">
        <v>3</v>
      </c>
      <c r="K2" t="str">
        <f>IF(NOT($B2="Enemy"),VLOOKUP($A2,Toolkit!$K$2:$O$37,4,FALSE),"")</f>
        <v>Blizzard</v>
      </c>
      <c r="L2">
        <f>IF(NOT($B2="Enemy"),VLOOKUP($A2,Toolkit!$K$2:$O$37,5,FALSE),"")</f>
        <v>0</v>
      </c>
      <c r="U2" t="s">
        <v>89</v>
      </c>
      <c r="V2" t="s">
        <v>173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E3">
        <v>5.8</v>
      </c>
      <c r="F3">
        <v>21</v>
      </c>
      <c r="G3">
        <v>4</v>
      </c>
      <c r="H3">
        <v>5</v>
      </c>
      <c r="I3">
        <v>7</v>
      </c>
      <c r="J3">
        <v>3</v>
      </c>
      <c r="K3" t="str">
        <f>IF(NOT($B3="Enemy"),VLOOKUP($A3,Toolkit!$K$2:$O$37,4,FALSE),"")</f>
        <v>Blizzard</v>
      </c>
      <c r="L3">
        <f>IF(NOT($B3="Enemy"),VLOOKUP($A3,Toolkit!$K$2:$O$37,5,FALSE),"")</f>
        <v>0</v>
      </c>
      <c r="U3" t="s">
        <v>140</v>
      </c>
      <c r="V3" t="s">
        <v>173</v>
      </c>
    </row>
    <row r="4" spans="1:22" x14ac:dyDescent="0.2">
      <c r="A4" t="s">
        <v>162</v>
      </c>
      <c r="B4" t="s">
        <v>17</v>
      </c>
      <c r="C4">
        <v>1</v>
      </c>
      <c r="D4">
        <v>4</v>
      </c>
      <c r="E4">
        <v>5.75</v>
      </c>
      <c r="F4">
        <v>13</v>
      </c>
      <c r="G4">
        <v>6</v>
      </c>
      <c r="H4">
        <v>5</v>
      </c>
      <c r="I4">
        <v>3</v>
      </c>
      <c r="J4">
        <v>5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U4" t="s">
        <v>154</v>
      </c>
      <c r="V4" t="s">
        <v>174</v>
      </c>
    </row>
    <row r="5" spans="1:22" x14ac:dyDescent="0.2">
      <c r="A5" t="s">
        <v>162</v>
      </c>
      <c r="B5" t="s">
        <v>17</v>
      </c>
      <c r="C5">
        <v>1</v>
      </c>
      <c r="D5">
        <v>2</v>
      </c>
      <c r="E5">
        <v>5.5500000000000007</v>
      </c>
      <c r="F5">
        <v>13</v>
      </c>
      <c r="G5">
        <v>6</v>
      </c>
      <c r="H5">
        <v>5</v>
      </c>
      <c r="I5">
        <v>3</v>
      </c>
      <c r="J5">
        <v>5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P5" t="s">
        <v>175</v>
      </c>
    </row>
    <row r="6" spans="1:22" x14ac:dyDescent="0.2">
      <c r="A6" t="s">
        <v>162</v>
      </c>
      <c r="B6" t="s">
        <v>17</v>
      </c>
      <c r="C6">
        <v>1</v>
      </c>
      <c r="D6">
        <v>3</v>
      </c>
      <c r="E6">
        <v>5.3500000000000014</v>
      </c>
      <c r="F6">
        <v>13</v>
      </c>
      <c r="G6">
        <v>6</v>
      </c>
      <c r="H6">
        <v>5</v>
      </c>
      <c r="I6">
        <v>3</v>
      </c>
      <c r="J6">
        <v>5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P6" t="s">
        <v>176</v>
      </c>
      <c r="U6" t="s">
        <v>154</v>
      </c>
      <c r="V6" t="s">
        <v>174</v>
      </c>
    </row>
    <row r="7" spans="1:22" x14ac:dyDescent="0.2">
      <c r="A7" t="s">
        <v>162</v>
      </c>
      <c r="B7" t="s">
        <v>17</v>
      </c>
      <c r="C7">
        <v>0</v>
      </c>
      <c r="D7">
        <v>1</v>
      </c>
      <c r="E7">
        <v>5.0999999999999996</v>
      </c>
      <c r="F7">
        <v>0</v>
      </c>
      <c r="G7">
        <v>6</v>
      </c>
      <c r="H7">
        <v>5</v>
      </c>
      <c r="I7">
        <v>3</v>
      </c>
      <c r="J7">
        <v>5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P7" t="s">
        <v>175</v>
      </c>
      <c r="U7" t="s">
        <v>154</v>
      </c>
      <c r="V7" t="s">
        <v>174</v>
      </c>
    </row>
    <row r="8" spans="1:22" x14ac:dyDescent="0.2">
      <c r="A8" t="s">
        <v>101</v>
      </c>
      <c r="B8" t="s">
        <v>16</v>
      </c>
      <c r="C8">
        <v>1</v>
      </c>
      <c r="D8">
        <v>1</v>
      </c>
      <c r="E8">
        <v>3.03</v>
      </c>
      <c r="F8">
        <v>46</v>
      </c>
      <c r="G8">
        <v>6</v>
      </c>
      <c r="H8">
        <v>5</v>
      </c>
      <c r="I8">
        <v>0</v>
      </c>
      <c r="J8">
        <v>8</v>
      </c>
      <c r="K8" t="str">
        <f>IF(NOT($B8="Enemy"),VLOOKUP($A8,Toolkit!$K$2:$O$37,4,FALSE),"")</f>
        <v>Colt Gun</v>
      </c>
      <c r="L8" t="str">
        <f>IF(NOT($B8="Enemy"),VLOOKUP($A8,Toolkit!$K$2:$O$37,5,FALSE),"")</f>
        <v>Jaguar</v>
      </c>
      <c r="U8" t="s">
        <v>104</v>
      </c>
      <c r="V8" t="s">
        <v>177</v>
      </c>
    </row>
  </sheetData>
  <dataValidations count="1">
    <dataValidation type="list" allowBlank="1" showInputMessage="1" showErrorMessage="1" sqref="L9:L26" xr:uid="{CD0C094A-3DD5-4259-8BD1-591C43C3DE05}">
      <formula1>$A$2:$A$26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L2" sqref="K2: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127</v>
      </c>
      <c r="B2" t="s">
        <v>16</v>
      </c>
      <c r="C2">
        <v>1</v>
      </c>
      <c r="D2">
        <v>3</v>
      </c>
      <c r="E2">
        <v>9.120000000000001</v>
      </c>
      <c r="F2">
        <v>22</v>
      </c>
      <c r="G2">
        <v>5</v>
      </c>
      <c r="H2">
        <v>0</v>
      </c>
      <c r="I2">
        <v>4</v>
      </c>
      <c r="J2">
        <v>3</v>
      </c>
      <c r="K2" t="str">
        <f>IF(NOT($B2="Enemy"),VLOOKUP($A2,Toolkit!$K$2:$O$37,4,FALSE),"")</f>
        <v>Bow</v>
      </c>
      <c r="L2" t="str">
        <f>IF(NOT($B2="Enemy"),VLOOKUP($A2,Toolkit!$K$2:$O$37,5,FALSE),"")</f>
        <v>Spider</v>
      </c>
      <c r="U2" t="s">
        <v>123</v>
      </c>
      <c r="V2" t="s">
        <v>177</v>
      </c>
    </row>
    <row r="3" spans="1:22" x14ac:dyDescent="0.2">
      <c r="A3" t="s">
        <v>164</v>
      </c>
      <c r="B3" t="s">
        <v>17</v>
      </c>
      <c r="C3">
        <v>1</v>
      </c>
      <c r="D3">
        <v>1</v>
      </c>
      <c r="E3">
        <v>5.8</v>
      </c>
      <c r="F3">
        <v>52</v>
      </c>
      <c r="G3">
        <v>4</v>
      </c>
      <c r="H3">
        <v>5</v>
      </c>
      <c r="I3">
        <v>7</v>
      </c>
      <c r="J3">
        <v>2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U3" t="s">
        <v>178</v>
      </c>
      <c r="V3" t="s">
        <v>174</v>
      </c>
    </row>
    <row r="4" spans="1:22" x14ac:dyDescent="0.2">
      <c r="A4" t="s">
        <v>162</v>
      </c>
      <c r="B4" t="s">
        <v>17</v>
      </c>
      <c r="C4">
        <v>0</v>
      </c>
      <c r="D4">
        <v>1</v>
      </c>
      <c r="E4">
        <v>5.7000000000000011</v>
      </c>
      <c r="F4">
        <v>0</v>
      </c>
      <c r="G4">
        <v>6</v>
      </c>
      <c r="H4">
        <v>5</v>
      </c>
      <c r="I4">
        <v>3</v>
      </c>
      <c r="J4">
        <v>5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N4" t="s">
        <v>175</v>
      </c>
      <c r="O4" t="s">
        <v>175</v>
      </c>
      <c r="P4" t="s">
        <v>175</v>
      </c>
      <c r="Q4" t="s">
        <v>175</v>
      </c>
      <c r="R4" t="s">
        <v>175</v>
      </c>
      <c r="S4" t="s">
        <v>175</v>
      </c>
      <c r="U4" t="s">
        <v>154</v>
      </c>
      <c r="V4" t="s">
        <v>174</v>
      </c>
    </row>
    <row r="5" spans="1:22" x14ac:dyDescent="0.2">
      <c r="A5" t="s">
        <v>107</v>
      </c>
      <c r="B5" t="s">
        <v>16</v>
      </c>
      <c r="C5">
        <v>1</v>
      </c>
      <c r="D5">
        <v>2</v>
      </c>
      <c r="E5">
        <v>5.6000000000000014</v>
      </c>
      <c r="F5">
        <v>62</v>
      </c>
      <c r="G5">
        <v>4</v>
      </c>
      <c r="H5">
        <v>5</v>
      </c>
      <c r="I5">
        <v>6</v>
      </c>
      <c r="J5">
        <v>3</v>
      </c>
      <c r="K5" t="str">
        <f>IF(NOT($B5="Enemy"),VLOOKUP($A5,Toolkit!$K$2:$O$37,4,FALSE),"")</f>
        <v>Strike</v>
      </c>
      <c r="L5" t="str">
        <f>IF(NOT($B5="Enemy"),VLOOKUP($A5,Toolkit!$K$2:$O$37,5,FALSE),"")</f>
        <v>Spider</v>
      </c>
      <c r="U5" t="s">
        <v>121</v>
      </c>
      <c r="V5" t="s">
        <v>179</v>
      </c>
    </row>
    <row r="6" spans="1:22" x14ac:dyDescent="0.2">
      <c r="A6" t="s">
        <v>125</v>
      </c>
      <c r="B6" t="s">
        <v>16</v>
      </c>
      <c r="C6">
        <v>1</v>
      </c>
      <c r="D6">
        <v>1</v>
      </c>
      <c r="E6">
        <v>5.3500000000000014</v>
      </c>
      <c r="F6">
        <v>64</v>
      </c>
      <c r="G6">
        <v>8</v>
      </c>
      <c r="H6">
        <v>5</v>
      </c>
      <c r="I6">
        <v>0</v>
      </c>
      <c r="J6">
        <v>6</v>
      </c>
      <c r="K6" t="str">
        <f>IF(NOT($B6="Enemy"),VLOOKUP($A6,Toolkit!$K$2:$O$37,4,FALSE),"")</f>
        <v>Hammer</v>
      </c>
      <c r="L6" t="str">
        <f>IF(NOT($B6="Enemy"),VLOOKUP($A6,Toolkit!$K$2:$O$37,5,FALSE),"")</f>
        <v>Skelton</v>
      </c>
      <c r="U6" t="s">
        <v>111</v>
      </c>
      <c r="V6" t="s">
        <v>174</v>
      </c>
    </row>
    <row r="7" spans="1:22" x14ac:dyDescent="0.2">
      <c r="A7" t="s">
        <v>163</v>
      </c>
      <c r="B7" t="s">
        <v>17</v>
      </c>
      <c r="C7">
        <v>1</v>
      </c>
      <c r="D7">
        <v>1</v>
      </c>
      <c r="E7">
        <v>5.3500000000000014</v>
      </c>
      <c r="F7">
        <v>7</v>
      </c>
      <c r="G7">
        <v>5</v>
      </c>
      <c r="H7">
        <v>5</v>
      </c>
      <c r="I7">
        <v>5</v>
      </c>
      <c r="J7">
        <v>5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U7" t="s">
        <v>180</v>
      </c>
      <c r="V7" t="s">
        <v>173</v>
      </c>
    </row>
  </sheetData>
  <dataValidations count="1">
    <dataValidation type="list" allowBlank="1" showInputMessage="1" showErrorMessage="1" sqref="L8:L27" xr:uid="{92B02EC9-250A-4C6F-84C0-38DB0791A413}">
      <formula1>$A$2:$A$27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F7" sqref="F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97</v>
      </c>
      <c r="B2" t="s">
        <v>16</v>
      </c>
      <c r="C2">
        <v>1</v>
      </c>
      <c r="D2">
        <v>3</v>
      </c>
      <c r="E2">
        <v>11.15</v>
      </c>
      <c r="F2">
        <v>55</v>
      </c>
      <c r="G2">
        <v>4</v>
      </c>
      <c r="H2">
        <v>5</v>
      </c>
      <c r="I2">
        <v>7</v>
      </c>
      <c r="J2">
        <v>3</v>
      </c>
      <c r="K2" t="str">
        <f>IF(NOT($B2="Enemy"),VLOOKUP($A2,Toolkit!$K$2:$O$37,4,FALSE),"")</f>
        <v>Bow</v>
      </c>
      <c r="L2" t="str">
        <f>IF(NOT($B2="Enemy"),VLOOKUP($A2,Toolkit!$K$2:$O$37,5,FALSE),"")</f>
        <v>Gang</v>
      </c>
      <c r="U2" t="s">
        <v>88</v>
      </c>
      <c r="V2" t="s">
        <v>173</v>
      </c>
    </row>
    <row r="3" spans="1:22" x14ac:dyDescent="0.2">
      <c r="A3" t="s">
        <v>114</v>
      </c>
      <c r="B3" t="s">
        <v>16</v>
      </c>
      <c r="C3">
        <v>1</v>
      </c>
      <c r="D3">
        <v>1</v>
      </c>
      <c r="E3">
        <v>10.44</v>
      </c>
      <c r="F3">
        <v>53</v>
      </c>
      <c r="G3">
        <v>6</v>
      </c>
      <c r="H3">
        <v>9</v>
      </c>
      <c r="I3">
        <v>0</v>
      </c>
      <c r="J3">
        <v>6</v>
      </c>
      <c r="K3" t="str">
        <f>IF(NOT($B3="Enemy"),VLOOKUP($A3,Toolkit!$K$2:$O$37,4,FALSE),"")</f>
        <v>Hammer</v>
      </c>
      <c r="L3" t="str">
        <f>IF(NOT($B3="Enemy"),VLOOKUP($A3,Toolkit!$K$2:$O$37,5,FALSE),"")</f>
        <v>Gang</v>
      </c>
      <c r="U3" t="s">
        <v>111</v>
      </c>
      <c r="V3" t="s">
        <v>174</v>
      </c>
    </row>
    <row r="4" spans="1:22" x14ac:dyDescent="0.2">
      <c r="A4" t="s">
        <v>98</v>
      </c>
      <c r="B4" t="s">
        <v>16</v>
      </c>
      <c r="C4">
        <v>1</v>
      </c>
      <c r="D4">
        <v>2</v>
      </c>
      <c r="E4">
        <v>9.81</v>
      </c>
      <c r="F4">
        <v>81</v>
      </c>
      <c r="G4">
        <v>10</v>
      </c>
      <c r="H4">
        <v>9</v>
      </c>
      <c r="I4">
        <v>5</v>
      </c>
      <c r="J4">
        <v>8</v>
      </c>
      <c r="K4" t="str">
        <f>IF(NOT($B4="Enemy"),VLOOKUP($A4,Toolkit!$K$2:$O$37,4,FALSE),"")</f>
        <v>Beak</v>
      </c>
      <c r="L4" t="str">
        <f>IF(NOT($B4="Enemy"),VLOOKUP($A4,Toolkit!$K$2:$O$37,5,FALSE),"")</f>
        <v>Gang</v>
      </c>
      <c r="U4" t="s">
        <v>155</v>
      </c>
      <c r="V4" t="s">
        <v>177</v>
      </c>
    </row>
    <row r="5" spans="1:22" x14ac:dyDescent="0.2">
      <c r="A5" t="s">
        <v>165</v>
      </c>
      <c r="B5" t="s">
        <v>17</v>
      </c>
      <c r="C5">
        <v>1</v>
      </c>
      <c r="D5">
        <v>2</v>
      </c>
      <c r="E5">
        <v>8.68</v>
      </c>
      <c r="F5">
        <v>5</v>
      </c>
      <c r="G5">
        <v>5</v>
      </c>
      <c r="H5">
        <v>7</v>
      </c>
      <c r="I5">
        <v>3</v>
      </c>
      <c r="J5">
        <v>4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175</v>
      </c>
      <c r="O5" t="s">
        <v>175</v>
      </c>
      <c r="P5" t="s">
        <v>175</v>
      </c>
      <c r="Q5" t="s">
        <v>175</v>
      </c>
      <c r="R5" t="s">
        <v>175</v>
      </c>
      <c r="S5" t="s">
        <v>175</v>
      </c>
      <c r="U5" t="s">
        <v>121</v>
      </c>
      <c r="V5" t="s">
        <v>179</v>
      </c>
    </row>
    <row r="6" spans="1:22" x14ac:dyDescent="0.2">
      <c r="A6" t="s">
        <v>165</v>
      </c>
      <c r="B6" t="s">
        <v>17</v>
      </c>
      <c r="C6">
        <v>0</v>
      </c>
      <c r="D6">
        <v>1</v>
      </c>
      <c r="E6">
        <v>8.5399999999999991</v>
      </c>
      <c r="F6">
        <v>0</v>
      </c>
      <c r="G6">
        <v>5</v>
      </c>
      <c r="H6">
        <v>7</v>
      </c>
      <c r="I6">
        <v>3</v>
      </c>
      <c r="J6">
        <v>4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N6" t="s">
        <v>175</v>
      </c>
      <c r="O6" t="s">
        <v>175</v>
      </c>
      <c r="P6" t="s">
        <v>175</v>
      </c>
      <c r="Q6" t="s">
        <v>175</v>
      </c>
      <c r="R6" t="s">
        <v>175</v>
      </c>
      <c r="S6" t="s">
        <v>175</v>
      </c>
    </row>
    <row r="7" spans="1:22" x14ac:dyDescent="0.2">
      <c r="A7" t="s">
        <v>165</v>
      </c>
      <c r="B7" t="s">
        <v>17</v>
      </c>
      <c r="C7">
        <v>1</v>
      </c>
      <c r="D7">
        <v>3</v>
      </c>
      <c r="E7">
        <v>7.49</v>
      </c>
      <c r="F7">
        <v>5</v>
      </c>
      <c r="G7">
        <v>5</v>
      </c>
      <c r="H7">
        <v>7</v>
      </c>
      <c r="I7">
        <v>3</v>
      </c>
      <c r="J7">
        <v>4</v>
      </c>
      <c r="K7" t="str">
        <f>IF(NOT($B7="Enemy"),VLOOKUP($A7,Toolkit!$K$2:$O$37,4,FALSE),"")</f>
        <v/>
      </c>
      <c r="L7" t="str">
        <f>IF(NOT($B7="Enemy"),VLOOKUP($A7,Toolkit!$K$2:$O$37,5,FALSE),"")</f>
        <v/>
      </c>
      <c r="N7" t="s">
        <v>175</v>
      </c>
      <c r="O7" t="s">
        <v>175</v>
      </c>
      <c r="P7" t="s">
        <v>175</v>
      </c>
      <c r="Q7" t="s">
        <v>175</v>
      </c>
      <c r="R7" t="s">
        <v>175</v>
      </c>
      <c r="S7" t="s">
        <v>175</v>
      </c>
      <c r="U7" t="s">
        <v>121</v>
      </c>
      <c r="V7" t="s">
        <v>179</v>
      </c>
    </row>
    <row r="8" spans="1:22" x14ac:dyDescent="0.2">
      <c r="A8" t="s">
        <v>165</v>
      </c>
      <c r="B8" t="s">
        <v>17</v>
      </c>
      <c r="C8">
        <v>1</v>
      </c>
      <c r="D8">
        <v>4</v>
      </c>
      <c r="E8">
        <v>7.21</v>
      </c>
      <c r="F8">
        <v>5</v>
      </c>
      <c r="G8">
        <v>5</v>
      </c>
      <c r="H8">
        <v>7</v>
      </c>
      <c r="I8">
        <v>3</v>
      </c>
      <c r="J8">
        <v>4</v>
      </c>
      <c r="K8" t="str">
        <f>IF(NOT($B8="Enemy"),VLOOKUP($A8,Toolkit!$K$2:$O$37,4,FALSE),"")</f>
        <v/>
      </c>
      <c r="L8" t="str">
        <f>IF(NOT($B8="Enemy"),VLOOKUP($A8,Toolkit!$K$2:$O$37,5,FALSE),"")</f>
        <v/>
      </c>
      <c r="N8" t="s">
        <v>175</v>
      </c>
      <c r="O8" t="s">
        <v>175</v>
      </c>
      <c r="P8" t="s">
        <v>175</v>
      </c>
      <c r="Q8" t="s">
        <v>175</v>
      </c>
      <c r="R8" t="s">
        <v>175</v>
      </c>
      <c r="S8" t="s">
        <v>175</v>
      </c>
      <c r="U8" t="s">
        <v>121</v>
      </c>
      <c r="V8" t="s">
        <v>179</v>
      </c>
    </row>
  </sheetData>
  <dataValidations count="1">
    <dataValidation type="list" allowBlank="1" showInputMessage="1" showErrorMessage="1" sqref="L9:L25" xr:uid="{EBB04A11-21ED-4407-A460-0F9206DD93AC}">
      <formula1>$A$2:$A$25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A1AA-DC7B-4597-9B6A-1B905B1DBA26}">
  <sheetPr codeName="Sheet6"/>
  <dimension ref="A1:V7"/>
  <sheetViews>
    <sheetView workbookViewId="0">
      <selection activeCell="K15" sqref="K1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E2">
        <v>14.84</v>
      </c>
      <c r="F2">
        <v>126</v>
      </c>
      <c r="G2">
        <v>14</v>
      </c>
      <c r="H2">
        <v>14</v>
      </c>
      <c r="I2">
        <v>10</v>
      </c>
      <c r="J2">
        <v>13</v>
      </c>
      <c r="K2" t="str">
        <f>IF(NOT($B2="Enemy"),VLOOKUP($A2,Toolkit!$K$2:$O$37,4,FALSE),"")</f>
        <v>Kick</v>
      </c>
      <c r="L2" t="str">
        <f>IF(NOT($B2="Enemy"),VLOOKUP($A2,Toolkit!$K$2:$O$37,5,FALSE),"")</f>
        <v>Asigaru</v>
      </c>
      <c r="U2" t="s">
        <v>161</v>
      </c>
      <c r="V2" t="s">
        <v>173</v>
      </c>
    </row>
    <row r="3" spans="1:22" x14ac:dyDescent="0.2">
      <c r="A3" t="s">
        <v>164</v>
      </c>
      <c r="B3" t="s">
        <v>17</v>
      </c>
      <c r="C3">
        <v>0</v>
      </c>
      <c r="D3">
        <v>1</v>
      </c>
      <c r="E3">
        <v>6.15</v>
      </c>
      <c r="F3">
        <v>0</v>
      </c>
      <c r="G3">
        <v>4</v>
      </c>
      <c r="H3">
        <v>5</v>
      </c>
      <c r="I3">
        <v>7</v>
      </c>
      <c r="J3">
        <v>2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</row>
    <row r="4" spans="1:22" x14ac:dyDescent="0.2">
      <c r="A4" t="s">
        <v>74</v>
      </c>
      <c r="B4" t="s">
        <v>16</v>
      </c>
      <c r="C4">
        <v>1</v>
      </c>
      <c r="D4">
        <v>3</v>
      </c>
      <c r="E4">
        <v>5.85</v>
      </c>
      <c r="F4">
        <v>52</v>
      </c>
      <c r="G4">
        <v>5</v>
      </c>
      <c r="H4">
        <v>5</v>
      </c>
      <c r="I4">
        <v>7</v>
      </c>
      <c r="J4">
        <v>2</v>
      </c>
      <c r="K4" t="str">
        <f>IF(NOT($B4="Enemy"),VLOOKUP($A4,Toolkit!$K$2:$O$37,4,FALSE),"")</f>
        <v>Hammer</v>
      </c>
      <c r="L4" t="str">
        <f>IF(NOT($B4="Enemy"),VLOOKUP($A4,Toolkit!$K$2:$O$37,5,FALSE),"")</f>
        <v>Asigaru</v>
      </c>
      <c r="U4" t="s">
        <v>88</v>
      </c>
      <c r="V4" t="s">
        <v>173</v>
      </c>
    </row>
    <row r="5" spans="1:22" x14ac:dyDescent="0.2">
      <c r="A5" t="s">
        <v>3</v>
      </c>
      <c r="B5" t="s">
        <v>17</v>
      </c>
      <c r="C5">
        <v>0</v>
      </c>
      <c r="D5">
        <v>1</v>
      </c>
      <c r="E5">
        <v>4.4400000000000004</v>
      </c>
      <c r="F5">
        <v>0</v>
      </c>
      <c r="G5">
        <v>7</v>
      </c>
      <c r="H5">
        <v>4</v>
      </c>
      <c r="I5">
        <v>5</v>
      </c>
      <c r="J5">
        <v>5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175</v>
      </c>
      <c r="O5" t="s">
        <v>175</v>
      </c>
      <c r="P5" t="s">
        <v>175</v>
      </c>
      <c r="Q5" t="s">
        <v>175</v>
      </c>
      <c r="R5" t="s">
        <v>175</v>
      </c>
      <c r="S5" t="s">
        <v>175</v>
      </c>
    </row>
    <row r="6" spans="1:22" x14ac:dyDescent="0.2">
      <c r="A6" t="s">
        <v>166</v>
      </c>
      <c r="B6" t="s">
        <v>17</v>
      </c>
      <c r="C6">
        <v>1</v>
      </c>
      <c r="D6">
        <v>1</v>
      </c>
      <c r="E6">
        <v>4.08</v>
      </c>
      <c r="F6">
        <v>82</v>
      </c>
      <c r="G6">
        <v>5</v>
      </c>
      <c r="H6">
        <v>5</v>
      </c>
      <c r="I6">
        <v>2</v>
      </c>
      <c r="J6">
        <v>6</v>
      </c>
      <c r="K6" t="str">
        <f>IF(NOT($B6="Enemy"),VLOOKUP($A6,Toolkit!$K$2:$O$37,4,FALSE),"")</f>
        <v/>
      </c>
      <c r="L6" t="str">
        <f>IF(NOT($B6="Enemy"),VLOOKUP($A6,Toolkit!$K$2:$O$37,5,FALSE),"")</f>
        <v/>
      </c>
      <c r="U6" t="s">
        <v>41</v>
      </c>
      <c r="V6" t="s">
        <v>174</v>
      </c>
    </row>
    <row r="7" spans="1:22" x14ac:dyDescent="0.2">
      <c r="A7" t="s">
        <v>92</v>
      </c>
      <c r="B7" t="s">
        <v>16</v>
      </c>
      <c r="C7">
        <v>1</v>
      </c>
      <c r="D7">
        <v>2</v>
      </c>
      <c r="E7">
        <v>2.46</v>
      </c>
      <c r="F7">
        <v>47</v>
      </c>
      <c r="G7">
        <v>6</v>
      </c>
      <c r="H7">
        <v>2</v>
      </c>
      <c r="I7">
        <v>5</v>
      </c>
      <c r="J7">
        <v>5</v>
      </c>
      <c r="K7" t="str">
        <f>IF(NOT($B7="Enemy"),VLOOKUP($A7,Toolkit!$K$2:$O$37,4,FALSE),"")</f>
        <v>Tusk</v>
      </c>
      <c r="L7" t="str">
        <f>IF(NOT($B7="Enemy"),VLOOKUP($A7,Toolkit!$K$2:$O$37,5,FALSE),"")</f>
        <v>Asigaru</v>
      </c>
    </row>
  </sheetData>
  <dataValidations count="1">
    <dataValidation type="list" allowBlank="1" showInputMessage="1" showErrorMessage="1" sqref="L8:L25" xr:uid="{6190CCC2-24BC-4C41-96A6-E37961A77440}">
      <formula1>$A$2:$A$25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6E165-37DB-43E0-9607-F32ADA53A676}">
  <sheetPr codeName="Sheet8"/>
  <dimension ref="A1:V6"/>
  <sheetViews>
    <sheetView workbookViewId="0">
      <selection activeCell="K2" sqref="K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9" t="s">
        <v>0</v>
      </c>
      <c r="B1" s="9" t="s">
        <v>6</v>
      </c>
      <c r="C1" s="9" t="s">
        <v>7</v>
      </c>
      <c r="D1" s="9" t="s">
        <v>4</v>
      </c>
      <c r="E1" t="s">
        <v>5</v>
      </c>
      <c r="F1" s="9" t="s">
        <v>8</v>
      </c>
      <c r="G1" t="s">
        <v>9</v>
      </c>
      <c r="H1" t="s">
        <v>10</v>
      </c>
      <c r="I1" t="s">
        <v>11</v>
      </c>
      <c r="J1" t="s">
        <v>12</v>
      </c>
      <c r="K1" s="9" t="s">
        <v>13</v>
      </c>
      <c r="L1" s="9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167</v>
      </c>
      <c r="B2" t="s">
        <v>17</v>
      </c>
      <c r="C2">
        <v>0</v>
      </c>
      <c r="D2">
        <v>1</v>
      </c>
      <c r="E2">
        <v>9.8000000000000007</v>
      </c>
      <c r="F2">
        <v>0</v>
      </c>
      <c r="G2">
        <v>5</v>
      </c>
      <c r="H2">
        <v>4</v>
      </c>
      <c r="I2">
        <v>6</v>
      </c>
      <c r="J2">
        <v>5</v>
      </c>
      <c r="K2" t="str">
        <f>IF(NOT($B2="Enemy"),VLOOKUP($A2,Toolkit!$K$2:$O$37,4,FALSE),"")</f>
        <v/>
      </c>
      <c r="L2" t="str">
        <f>IF(NOT($B2="Enemy"),VLOOKUP($A2,Toolkit!$K$2:$O$37,5,FALSE),"")</f>
        <v/>
      </c>
      <c r="N2" t="s">
        <v>175</v>
      </c>
      <c r="O2" t="s">
        <v>175</v>
      </c>
      <c r="P2" t="s">
        <v>175</v>
      </c>
      <c r="Q2" t="s">
        <v>175</v>
      </c>
      <c r="R2" t="s">
        <v>175</v>
      </c>
      <c r="S2" t="s">
        <v>175</v>
      </c>
      <c r="U2" t="s">
        <v>181</v>
      </c>
      <c r="V2" t="s">
        <v>173</v>
      </c>
    </row>
    <row r="3" spans="1:22" x14ac:dyDescent="0.2">
      <c r="A3" t="s">
        <v>76</v>
      </c>
      <c r="B3" t="s">
        <v>16</v>
      </c>
      <c r="C3">
        <v>1</v>
      </c>
      <c r="D3">
        <v>3</v>
      </c>
      <c r="E3">
        <v>7.32</v>
      </c>
      <c r="F3">
        <v>52</v>
      </c>
      <c r="G3">
        <v>6</v>
      </c>
      <c r="H3">
        <v>6</v>
      </c>
      <c r="I3">
        <v>5</v>
      </c>
      <c r="J3">
        <v>5</v>
      </c>
      <c r="K3" t="str">
        <f>IF(NOT($B3="Enemy"),VLOOKUP($A3,Toolkit!$K$2:$O$37,4,FALSE),"")</f>
        <v>Strike</v>
      </c>
      <c r="L3" t="str">
        <f>IF(NOT($B3="Enemy"),VLOOKUP($A3,Toolkit!$K$2:$O$37,5,FALSE),"")</f>
        <v>Asigaru</v>
      </c>
      <c r="U3" t="s">
        <v>41</v>
      </c>
      <c r="V3" t="s">
        <v>174</v>
      </c>
    </row>
    <row r="4" spans="1:22" x14ac:dyDescent="0.2">
      <c r="A4" t="s">
        <v>105</v>
      </c>
      <c r="B4" t="s">
        <v>16</v>
      </c>
      <c r="C4">
        <v>1</v>
      </c>
      <c r="D4">
        <v>2</v>
      </c>
      <c r="E4">
        <v>5.5</v>
      </c>
      <c r="F4">
        <v>36</v>
      </c>
      <c r="G4">
        <v>8</v>
      </c>
      <c r="H4">
        <v>5</v>
      </c>
      <c r="I4">
        <v>3</v>
      </c>
      <c r="J4">
        <v>3</v>
      </c>
      <c r="K4" t="str">
        <f>IF(NOT($B4="Enemy"),VLOOKUP($A4,Toolkit!$K$2:$O$37,4,FALSE),"")</f>
        <v>Bow</v>
      </c>
      <c r="L4" t="str">
        <f>IF(NOT($B4="Enemy"),VLOOKUP($A4,Toolkit!$K$2:$O$37,5,FALSE),"")</f>
        <v>Asigaru</v>
      </c>
      <c r="U4" t="s">
        <v>41</v>
      </c>
      <c r="V4" t="s">
        <v>174</v>
      </c>
    </row>
    <row r="5" spans="1:22" x14ac:dyDescent="0.2">
      <c r="A5" t="s">
        <v>166</v>
      </c>
      <c r="B5" t="s">
        <v>17</v>
      </c>
      <c r="C5">
        <v>1</v>
      </c>
      <c r="D5">
        <v>1</v>
      </c>
      <c r="E5">
        <v>4.84</v>
      </c>
      <c r="F5">
        <v>120</v>
      </c>
      <c r="G5">
        <v>5</v>
      </c>
      <c r="H5">
        <v>5</v>
      </c>
      <c r="I5">
        <v>2</v>
      </c>
      <c r="J5">
        <v>6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U5" t="s">
        <v>41</v>
      </c>
      <c r="V5" t="s">
        <v>174</v>
      </c>
    </row>
    <row r="6" spans="1:22" x14ac:dyDescent="0.2">
      <c r="A6" t="s">
        <v>117</v>
      </c>
      <c r="B6" t="s">
        <v>16</v>
      </c>
      <c r="C6">
        <v>1</v>
      </c>
      <c r="D6">
        <v>1</v>
      </c>
      <c r="E6">
        <v>-5.4</v>
      </c>
      <c r="F6">
        <v>51</v>
      </c>
      <c r="G6">
        <v>0</v>
      </c>
      <c r="H6">
        <v>5</v>
      </c>
      <c r="I6">
        <v>0</v>
      </c>
      <c r="J6">
        <v>10</v>
      </c>
      <c r="K6" t="str">
        <f>IF(NOT($B6="Enemy"),VLOOKUP($A6,Toolkit!$K$2:$O$37,4,FALSE),"")</f>
        <v>Bronze Shield</v>
      </c>
      <c r="L6">
        <f>IF(NOT($B6="Enemy"),VLOOKUP($A6,Toolkit!$K$2:$O$37,5,FALSE),"")</f>
        <v>0</v>
      </c>
      <c r="U6" t="s">
        <v>124</v>
      </c>
      <c r="V6" t="s">
        <v>182</v>
      </c>
    </row>
  </sheetData>
  <dataValidations count="1">
    <dataValidation type="list" allowBlank="1" showInputMessage="1" showErrorMessage="1" sqref="L7:L25" xr:uid="{7DD66F2B-C9EF-4221-81F4-8D2D344381A0}">
      <formula1>$A$2:$A$25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Players</vt:lpstr>
      <vt:lpstr>Toolkit</vt:lpstr>
      <vt:lpstr>Template</vt:lpstr>
      <vt:lpstr>Inn and Cafe</vt:lpstr>
      <vt:lpstr>Weapon Shop</vt:lpstr>
      <vt:lpstr>Tool Shop</vt:lpstr>
      <vt:lpstr>Butcher Shop</vt:lpstr>
      <vt:lpstr>Dojo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2020-02-01T01:30:44Z</dcterms:modified>
</cp:coreProperties>
</file>