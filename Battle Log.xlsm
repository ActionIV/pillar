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6F894BF9-8534-4A1D-8A27-8472B48826AF}" xr6:coauthVersionLast="41" xr6:coauthVersionMax="45" xr10:uidLastSave="{00000000-0000-0000-0000-000000000000}"/>
  <bookViews>
    <workbookView xWindow="-120" yWindow="-120" windowWidth="25440" windowHeight="15390" tabRatio="838" activeTab="3" xr2:uid="{00000000-000D-0000-FFFF-FFFF00000000}"/>
  </bookViews>
  <sheets>
    <sheet name="Players" sheetId="16" r:id="rId1"/>
    <sheet name="Toolkit" sheetId="30" r:id="rId2"/>
    <sheet name="Template" sheetId="1" r:id="rId3"/>
    <sheet name="Alpha" sheetId="31" r:id="rId4"/>
    <sheet name="Gamma" sheetId="32" r:id="rId5"/>
    <sheet name="Zeta" sheetId="33" r:id="rId6"/>
    <sheet name="Omega" sheetId="34" r:id="rId7"/>
  </sheets>
  <externalReferences>
    <externalReference r:id="rId8"/>
  </externalReferences>
  <definedNames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" i="34" l="1"/>
  <c r="L3" i="34"/>
  <c r="K4" i="34"/>
  <c r="L4" i="34"/>
  <c r="L2" i="34"/>
  <c r="K2" i="34"/>
  <c r="K3" i="33"/>
  <c r="L3" i="33"/>
  <c r="K4" i="33"/>
  <c r="L4" i="33"/>
  <c r="K5" i="33"/>
  <c r="L5" i="33"/>
  <c r="L2" i="33"/>
  <c r="K2" i="33"/>
  <c r="K4" i="32"/>
  <c r="L4" i="32"/>
  <c r="K5" i="32"/>
  <c r="L5" i="32"/>
  <c r="K2" i="32"/>
  <c r="L2" i="32"/>
  <c r="L3" i="32"/>
  <c r="K3" i="32"/>
  <c r="K3" i="31"/>
  <c r="L3" i="31"/>
  <c r="K4" i="31"/>
  <c r="L4" i="31"/>
  <c r="K5" i="31"/>
  <c r="L5" i="31"/>
  <c r="L2" i="31"/>
  <c r="K2" i="31"/>
  <c r="M7" i="30"/>
  <c r="M15" i="30"/>
  <c r="M8" i="30"/>
  <c r="M16" i="30"/>
  <c r="M13" i="30"/>
  <c r="M14" i="30"/>
  <c r="M9" i="30"/>
  <c r="M17" i="30"/>
  <c r="M11" i="30"/>
  <c r="M4" i="30"/>
  <c r="M6" i="30"/>
  <c r="M10" i="30"/>
  <c r="M12" i="30"/>
  <c r="M5" i="30"/>
  <c r="M3" i="30"/>
  <c r="B27" i="30"/>
  <c r="B28" i="30"/>
  <c r="B30" i="30"/>
  <c r="B32" i="30"/>
  <c r="B26" i="30"/>
  <c r="B29" i="30"/>
  <c r="B33" i="30"/>
  <c r="B31" i="30"/>
  <c r="B25" i="30"/>
  <c r="F13" i="16" l="1"/>
  <c r="F4" i="16"/>
  <c r="F11" i="16"/>
  <c r="F9" i="16"/>
  <c r="F5" i="16"/>
  <c r="F3" i="16"/>
  <c r="F10" i="16"/>
  <c r="F16" i="16"/>
  <c r="F8" i="16"/>
  <c r="F12" i="16"/>
  <c r="F15" i="16"/>
  <c r="F7" i="16"/>
  <c r="F14" i="16"/>
  <c r="F6" i="16"/>
  <c r="F2" i="16"/>
  <c r="AG10" i="16"/>
  <c r="AG11" i="16"/>
  <c r="AG4" i="16"/>
  <c r="AG3" i="16"/>
  <c r="R7" i="16"/>
  <c r="R13" i="16"/>
  <c r="R12" i="16"/>
  <c r="R16" i="16"/>
  <c r="B3" i="30" l="1"/>
  <c r="M12" i="16"/>
  <c r="T4" i="30"/>
  <c r="AS3" i="16" s="1"/>
  <c r="T5" i="30"/>
  <c r="AS4" i="16" s="1"/>
  <c r="T6" i="30"/>
  <c r="AS5" i="16" s="1"/>
  <c r="T7" i="30"/>
  <c r="AS6" i="16" s="1"/>
  <c r="T8" i="30"/>
  <c r="AS7" i="16" s="1"/>
  <c r="T9" i="30"/>
  <c r="AS8" i="16" s="1"/>
  <c r="T10" i="30"/>
  <c r="AS9" i="16" s="1"/>
  <c r="T11" i="30"/>
  <c r="AS10" i="16" s="1"/>
  <c r="T12" i="30"/>
  <c r="AS11" i="16" s="1"/>
  <c r="T13" i="30"/>
  <c r="AS12" i="16" s="1"/>
  <c r="T14" i="30"/>
  <c r="AS13" i="16" s="1"/>
  <c r="T15" i="30"/>
  <c r="AS14" i="16" s="1"/>
  <c r="T16" i="30"/>
  <c r="AS15" i="16" s="1"/>
  <c r="T17" i="30"/>
  <c r="AS16" i="16" s="1"/>
  <c r="T3" i="30"/>
  <c r="AS2" i="16" s="1"/>
  <c r="AK17" i="16" l="1"/>
  <c r="AM17" i="16" s="1"/>
  <c r="AH17" i="16"/>
  <c r="AJ17" i="16" s="1"/>
  <c r="AE17" i="16"/>
  <c r="AG17" i="16" s="1"/>
  <c r="AB17" i="16"/>
  <c r="AD17" i="16" s="1"/>
  <c r="AA17" i="16"/>
  <c r="V17" i="16"/>
  <c r="X17" i="16" s="1"/>
  <c r="S17" i="16"/>
  <c r="U17" i="16" s="1"/>
  <c r="P17" i="16"/>
  <c r="R17" i="16" s="1"/>
  <c r="O17" i="16"/>
  <c r="M17" i="16"/>
  <c r="K17" i="16"/>
  <c r="I17" i="16"/>
  <c r="G17" i="16"/>
  <c r="K3" i="1" l="1"/>
  <c r="L3" i="1"/>
  <c r="K4" i="1"/>
  <c r="L4" i="1"/>
  <c r="L2" i="1"/>
  <c r="K2" i="1"/>
  <c r="U16" i="16"/>
  <c r="O16" i="16"/>
  <c r="M16" i="16"/>
  <c r="K16" i="16"/>
  <c r="I16" i="16"/>
  <c r="G16" i="16"/>
  <c r="J13" i="16" l="1"/>
  <c r="I13" i="16"/>
  <c r="O15" i="16"/>
  <c r="M15" i="16"/>
  <c r="K15" i="16"/>
  <c r="I15" i="16"/>
  <c r="AK14" i="16" l="1"/>
  <c r="AM14" i="16" s="1"/>
  <c r="AH14" i="16"/>
  <c r="AJ14" i="16" s="1"/>
  <c r="AE14" i="16"/>
  <c r="AG14" i="16" s="1"/>
  <c r="AB14" i="16"/>
  <c r="AD14" i="16" s="1"/>
  <c r="AA14" i="16"/>
  <c r="V14" i="16"/>
  <c r="X14" i="16" s="1"/>
  <c r="S14" i="16"/>
  <c r="U14" i="16" s="1"/>
  <c r="P14" i="16"/>
  <c r="R14" i="16" s="1"/>
  <c r="O14" i="16"/>
  <c r="M14" i="16"/>
  <c r="K14" i="16"/>
  <c r="I14" i="16"/>
  <c r="G14" i="16"/>
  <c r="I7" i="16"/>
  <c r="M13" i="16"/>
  <c r="O13" i="16"/>
  <c r="K13" i="16"/>
  <c r="G13" i="16"/>
  <c r="O12" i="16"/>
  <c r="K12" i="16"/>
  <c r="I12" i="16"/>
  <c r="G12" i="16"/>
  <c r="M11" i="16"/>
  <c r="O11" i="16"/>
  <c r="I11" i="16"/>
  <c r="O10" i="16"/>
  <c r="M10" i="16"/>
  <c r="I10" i="16"/>
  <c r="O9" i="16"/>
  <c r="M9" i="16"/>
  <c r="M8" i="16"/>
  <c r="I9" i="16"/>
  <c r="O8" i="16"/>
  <c r="I8" i="16"/>
  <c r="O7" i="16"/>
  <c r="M7" i="16"/>
  <c r="O6" i="16" l="1"/>
  <c r="M6" i="16"/>
  <c r="I6" i="16"/>
  <c r="AK5" i="16" l="1"/>
  <c r="AH5" i="16"/>
  <c r="AE5" i="16"/>
  <c r="AB5" i="16"/>
  <c r="V5" i="16"/>
  <c r="S5" i="16"/>
  <c r="P5" i="16"/>
  <c r="O5" i="16"/>
  <c r="M5" i="16"/>
  <c r="K5" i="16"/>
  <c r="I5" i="16"/>
  <c r="G5" i="16"/>
  <c r="O4" i="16"/>
  <c r="M4" i="16"/>
  <c r="I4" i="16"/>
  <c r="AK2" i="16"/>
  <c r="AH2" i="16"/>
  <c r="AE2" i="16"/>
  <c r="AB2" i="16"/>
  <c r="V2" i="16"/>
  <c r="X2" i="16" s="1"/>
  <c r="S2" i="16"/>
  <c r="P2" i="16"/>
  <c r="O3" i="16"/>
  <c r="M3" i="16"/>
  <c r="I3" i="16"/>
  <c r="O2" i="16" l="1"/>
  <c r="M2" i="16"/>
  <c r="K2" i="16"/>
  <c r="I2" i="16"/>
  <c r="G2" i="16"/>
  <c r="A17" i="16" l="1"/>
  <c r="A16" i="16"/>
  <c r="A15" i="16"/>
  <c r="A14" i="16"/>
  <c r="A13" i="16"/>
  <c r="C3" i="30" l="1"/>
  <c r="G3" i="30" l="1"/>
  <c r="D3" i="30"/>
  <c r="H3" i="30" l="1"/>
  <c r="I3" i="30" s="1"/>
  <c r="A11" i="16"/>
  <c r="A12" i="16"/>
  <c r="A10" i="16" l="1"/>
  <c r="A9" i="16" l="1"/>
  <c r="A8" i="16" l="1"/>
  <c r="A7" i="16" l="1"/>
  <c r="A6" i="16" l="1"/>
  <c r="A5" i="16" l="1"/>
  <c r="A4" i="16" l="1"/>
  <c r="A2" i="16" l="1"/>
  <c r="A3" i="16"/>
  <c r="U6" i="16" l="1"/>
  <c r="U7" i="16"/>
  <c r="AD3" i="16"/>
  <c r="AD10" i="16"/>
  <c r="U8" i="16"/>
  <c r="AD4" i="16"/>
  <c r="AD11" i="16"/>
  <c r="U9" i="16"/>
  <c r="R8" i="16"/>
  <c r="X5" i="16" l="1"/>
  <c r="AD2" i="16"/>
  <c r="AA5" i="16"/>
  <c r="AA13" i="16"/>
  <c r="AJ8" i="16"/>
  <c r="X6" i="16"/>
  <c r="AP12" i="16"/>
  <c r="X8" i="16"/>
  <c r="AP10" i="16"/>
  <c r="AP4" i="16"/>
  <c r="X10" i="16"/>
  <c r="AM7" i="16"/>
  <c r="AA6" i="16"/>
  <c r="AM13" i="16"/>
  <c r="AG8" i="16"/>
  <c r="R15" i="16"/>
  <c r="R3" i="16"/>
  <c r="AP7" i="16"/>
  <c r="AP2" i="16"/>
  <c r="AA16" i="16"/>
  <c r="R11" i="16"/>
  <c r="AJ2" i="16"/>
  <c r="R2" i="16"/>
  <c r="AJ16" i="16"/>
  <c r="AA15" i="16"/>
  <c r="AA8" i="16"/>
  <c r="R9" i="16"/>
  <c r="X15" i="16"/>
  <c r="AM8" i="16"/>
  <c r="AD16" i="16"/>
  <c r="AJ11" i="16"/>
  <c r="U10" i="16"/>
  <c r="U3" i="16"/>
  <c r="AP6" i="16"/>
  <c r="AM6" i="16"/>
  <c r="U4" i="16"/>
  <c r="AA10" i="16"/>
  <c r="AM11" i="16"/>
  <c r="U15" i="16"/>
  <c r="AP8" i="16"/>
  <c r="U13" i="16"/>
  <c r="AJ5" i="16"/>
  <c r="R5" i="16"/>
  <c r="AM5" i="16"/>
  <c r="AJ7" i="16"/>
  <c r="AG15" i="16"/>
  <c r="AD13" i="16"/>
  <c r="AA4" i="16"/>
  <c r="AP11" i="16"/>
  <c r="AP15" i="16"/>
  <c r="X3" i="16"/>
  <c r="X9" i="16"/>
  <c r="U2" i="16"/>
  <c r="AJ12" i="16"/>
  <c r="AJ6" i="16"/>
  <c r="AJ13" i="16"/>
  <c r="U11" i="16"/>
  <c r="AD7" i="16"/>
  <c r="AP13" i="16"/>
  <c r="X13" i="16"/>
  <c r="AM12" i="16"/>
  <c r="AD9" i="16"/>
  <c r="U5" i="16"/>
  <c r="R4" i="16"/>
  <c r="U12" i="16"/>
  <c r="AD5" i="16"/>
  <c r="AA2" i="16"/>
  <c r="AA11" i="16"/>
  <c r="AG6" i="16"/>
  <c r="AA7" i="16"/>
  <c r="AG7" i="16"/>
  <c r="X4" i="16"/>
  <c r="R10" i="16"/>
  <c r="AM16" i="16"/>
  <c r="AP14" i="16"/>
  <c r="AP16" i="16"/>
  <c r="AD8" i="16"/>
  <c r="AD15" i="16"/>
  <c r="R6" i="16"/>
  <c r="X7" i="16"/>
  <c r="X16" i="16"/>
  <c r="AA3" i="16"/>
  <c r="AM2" i="16"/>
  <c r="AJ4" i="16"/>
  <c r="AJ9" i="16"/>
  <c r="AJ15" i="16"/>
  <c r="AA9" i="16"/>
  <c r="AP17" i="16"/>
  <c r="AG16" i="16"/>
  <c r="AG13" i="16"/>
  <c r="AG12" i="16"/>
  <c r="AM9" i="16"/>
  <c r="AP5" i="16"/>
  <c r="AA12" i="16"/>
  <c r="AD6" i="16"/>
  <c r="AM15" i="16"/>
  <c r="AM10" i="16"/>
  <c r="AM3" i="16"/>
  <c r="AP3" i="16"/>
  <c r="AG2" i="16"/>
  <c r="AG5" i="16"/>
  <c r="AJ10" i="16"/>
  <c r="AJ3" i="16"/>
  <c r="AM4" i="16"/>
  <c r="AP9" i="16"/>
  <c r="AD12" i="16"/>
  <c r="X12" i="16"/>
  <c r="AG9" i="16"/>
  <c r="X11" i="16"/>
  <c r="K9" i="16" l="1"/>
  <c r="K10" i="16"/>
  <c r="K8" i="16"/>
  <c r="K3" i="16"/>
  <c r="K6" i="16"/>
  <c r="K4" i="16"/>
  <c r="G7" i="16"/>
  <c r="K11" i="16"/>
  <c r="K7" i="16"/>
</calcChain>
</file>

<file path=xl/sharedStrings.xml><?xml version="1.0" encoding="utf-8"?>
<sst xmlns="http://schemas.openxmlformats.org/spreadsheetml/2006/main" count="397" uniqueCount="159">
  <si>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</si>
  <si>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</si>
  <si>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</si>
  <si>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</si>
  <si>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</si>
  <si>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</si>
  <si>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</si>
  <si>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</si>
  <si>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</si>
  <si>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</si>
  <si>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</si>
  <si>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</si>
  <si>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</si>
  <si>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</si>
  <si>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</si>
  <si>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</si>
  <si>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</si>
  <si>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</si>
  <si>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</si>
  <si>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</si>
  <si>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</si>
  <si>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</si>
  <si>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</si>
  <si>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</si>
  <si>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</si>
  <si>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</si>
  <si>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</si>
  <si>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</si>
  <si>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</si>
  <si>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</si>
  <si>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</si>
  <si>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</si>
  <si>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</si>
  <si>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</si>
  <si>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</si>
  <si>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</si>
  <si>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</si>
  <si>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</si>
  <si>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</si>
  <si>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</si>
  <si>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</si>
  <si>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</si>
  <si>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</si>
  <si>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</si>
  <si>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</si>
  <si>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</si>
  <si>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</si>
  <si>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</si>
  <si>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</si>
  <si>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</si>
  <si>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</si>
  <si>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</si>
  <si>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</si>
  <si>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</si>
  <si>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</si>
  <si>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</si>
  <si>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</si>
  <si>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</si>
  <si>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</si>
  <si>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</si>
  <si>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</si>
  <si>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</si>
  <si>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</si>
  <si>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</si>
  <si>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</si>
  <si>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</si>
  <si>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</si>
  <si>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</si>
  <si>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</si>
  <si>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</si>
  <si>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</si>
  <si>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</si>
  <si>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</si>
  <si>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</si>
  <si>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</si>
  <si>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</si>
  <si>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</si>
  <si>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</si>
  <si>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</si>
  <si>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</si>
  <si>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</si>
  <si>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</si>
  <si>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</si>
  <si>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</si>
  <si>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</si>
  <si>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</si>
  <si>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</si>
  <si>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</si>
  <si>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</si>
  <si>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</si>
  <si>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Hatchling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</si>
  <si>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</si>
  <si>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</si>
  <si>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</si>
  <si>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</si>
  <si>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</si>
  <si>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</si>
  <si>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</si>
  <si>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</si>
  <si>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</si>
  <si>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</si>
  <si>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</si>
  <si>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</si>
  <si>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</si>
  <si>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</si>
  <si>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</si>
  <si>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</si>
  <si>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</si>
  <si>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</si>
  <si>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</si>
  <si>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</si>
  <si>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</si>
  <si>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</si>
  <si>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</si>
  <si>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</si>
  <si>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</si>
  <si>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</si>
  <si>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</si>
  <si>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</si>
  <si>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</si>
  <si>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</si>
  <si>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</si>
  <si>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</si>
  <si>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</si>
  <si>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</si>
  <si>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</si>
  <si>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</si>
  <si>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</si>
  <si>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</si>
  <si>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Jaguar</t>
  </si>
  <si>
    <t>Skelton</t>
  </si>
  <si>
    <t>Spider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</si>
  <si>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</si>
  <si>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</si>
  <si>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</si>
  <si>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</si>
  <si>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</si>
  <si>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</si>
  <si>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</si>
  <si>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</si>
  <si>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Add Gold</t>
  </si>
  <si>
    <t>Current</t>
  </si>
  <si>
    <t>Add</t>
  </si>
  <si>
    <t>Result</t>
  </si>
  <si>
    <t>BabyWyrm</t>
  </si>
  <si>
    <t>Dissolve</t>
  </si>
  <si>
    <t>Beak</t>
  </si>
  <si>
    <t>Gang</t>
  </si>
  <si>
    <t>Fly</t>
  </si>
  <si>
    <t>Sleep</t>
  </si>
  <si>
    <t>Tab</t>
  </si>
  <si>
    <t>Alpha</t>
  </si>
  <si>
    <t>Gamma</t>
  </si>
  <si>
    <t>Omega</t>
  </si>
  <si>
    <t>Zeta</t>
  </si>
  <si>
    <t>Bronze Helm</t>
  </si>
  <si>
    <t>Fire</t>
  </si>
  <si>
    <t>Nail</t>
  </si>
  <si>
    <t>Cure Potion - 4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</si>
</sst>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3" fillId="0" borderId="0"/>
  </cellStyleXfs>
  <cellXfs count="100">
    <xf numFmtId="0" fontId="0" fillId="0" borderId="0" xfId="0"/>
    <xf numFmtId="0" fontId="33" fillId="0" borderId="0" xfId="1"/>
    <xf numFmtId="0" fontId="33" fillId="2" borderId="0" xfId="1" applyFill="1"/>
    <xf numFmtId="0" fontId="33" fillId="0" borderId="1" xfId="1" applyBorder="1"/>
    <xf numFmtId="0" fontId="33" fillId="0" borderId="0" xfId="1" applyBorder="1"/>
    <xf numFmtId="0" fontId="33" fillId="2" borderId="5" xfId="1" applyFill="1" applyBorder="1"/>
    <xf numFmtId="0" fontId="33" fillId="0" borderId="0" xfId="1" applyAlignment="1">
      <alignment horizontal="center"/>
    </xf>
    <xf numFmtId="0" fontId="29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22" fillId="0" borderId="0" xfId="1" applyFont="1" applyAlignment="1">
      <alignment horizontal="center"/>
    </xf>
    <xf numFmtId="0" fontId="21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23" fillId="0" borderId="0" xfId="1" applyFont="1" applyAlignment="1">
      <alignment horizontal="center"/>
    </xf>
    <xf numFmtId="0" fontId="32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19" fillId="0" borderId="0" xfId="1" applyFont="1" applyAlignment="1">
      <alignment horizontal="center"/>
    </xf>
    <xf numFmtId="0" fontId="30" fillId="0" borderId="0" xfId="1" applyFont="1" applyAlignment="1">
      <alignment horizontal="center"/>
    </xf>
    <xf numFmtId="0" fontId="24" fillId="0" borderId="0" xfId="1" applyFont="1" applyAlignment="1">
      <alignment horizontal="center"/>
    </xf>
    <xf numFmtId="0" fontId="31" fillId="0" borderId="0" xfId="1" applyFont="1" applyAlignment="1">
      <alignment horizontal="center"/>
    </xf>
    <xf numFmtId="0" fontId="28" fillId="0" borderId="0" xfId="1" applyFont="1" applyAlignment="1">
      <alignment horizontal="center"/>
    </xf>
    <xf numFmtId="0" fontId="17" fillId="0" borderId="0" xfId="1" applyFont="1"/>
    <xf numFmtId="0" fontId="15" fillId="0" borderId="0" xfId="1" applyFont="1" applyAlignment="1">
      <alignment horizontal="center"/>
    </xf>
    <xf numFmtId="0" fontId="12" fillId="0" borderId="0" xfId="1" applyFont="1"/>
    <xf numFmtId="0" fontId="13" fillId="0" borderId="0" xfId="1" applyFont="1" applyAlignment="1">
      <alignment horizontal="center"/>
    </xf>
    <xf numFmtId="0" fontId="0" fillId="3" borderId="0" xfId="0" applyFill="1"/>
    <xf numFmtId="0" fontId="11" fillId="0" borderId="0" xfId="1" applyFont="1"/>
    <xf numFmtId="0" fontId="33" fillId="0" borderId="0" xfId="1" applyAlignment="1">
      <alignment horizontal="center" textRotation="90"/>
    </xf>
    <xf numFmtId="0" fontId="33" fillId="0" borderId="2" xfId="1" applyBorder="1" applyAlignment="1">
      <alignment horizontal="center" textRotation="90" wrapText="1"/>
    </xf>
    <xf numFmtId="0" fontId="16" fillId="0" borderId="2" xfId="1" applyFont="1" applyBorder="1" applyAlignment="1">
      <alignment horizontal="center" textRotation="90" wrapText="1"/>
    </xf>
    <xf numFmtId="0" fontId="33" fillId="2" borderId="2" xfId="1" applyFill="1" applyBorder="1" applyAlignment="1">
      <alignment horizontal="center" textRotation="90" wrapText="1"/>
    </xf>
    <xf numFmtId="0" fontId="21" fillId="0" borderId="3" xfId="1" applyFont="1" applyBorder="1" applyAlignment="1">
      <alignment horizontal="center" textRotation="90" wrapText="1"/>
    </xf>
    <xf numFmtId="0" fontId="33" fillId="2" borderId="4" xfId="1" applyFill="1" applyBorder="1" applyAlignment="1">
      <alignment horizontal="center" textRotation="90" wrapText="1"/>
    </xf>
    <xf numFmtId="0" fontId="21" fillId="0" borderId="2" xfId="1" applyFont="1" applyBorder="1" applyAlignment="1">
      <alignment horizontal="center" textRotation="90" wrapText="1"/>
    </xf>
    <xf numFmtId="0" fontId="18" fillId="0" borderId="2" xfId="1" applyFont="1" applyBorder="1" applyAlignment="1">
      <alignment horizontal="center" textRotation="90" wrapText="1"/>
    </xf>
    <xf numFmtId="0" fontId="17" fillId="0" borderId="2" xfId="1" applyFont="1" applyBorder="1" applyAlignment="1">
      <alignment horizontal="center" textRotation="90" wrapText="1"/>
    </xf>
    <xf numFmtId="0" fontId="26" fillId="0" borderId="2" xfId="1" applyFont="1" applyBorder="1" applyAlignment="1">
      <alignment horizontal="center" textRotation="90" wrapText="1"/>
    </xf>
    <xf numFmtId="0" fontId="14" fillId="0" borderId="0" xfId="1" applyFont="1" applyAlignment="1">
      <alignment horizontal="center" textRotation="90" wrapText="1"/>
    </xf>
    <xf numFmtId="0" fontId="33" fillId="0" borderId="0" xfId="1" applyAlignment="1">
      <alignment horizontal="center" textRotation="90" wrapText="1"/>
    </xf>
    <xf numFmtId="0" fontId="33" fillId="5" borderId="3" xfId="1" applyFill="1" applyBorder="1" applyAlignment="1">
      <alignment horizontal="center" textRotation="90" wrapText="1"/>
    </xf>
    <xf numFmtId="0" fontId="33" fillId="5" borderId="1" xfId="1" applyFill="1" applyBorder="1"/>
    <xf numFmtId="0" fontId="13" fillId="5" borderId="1" xfId="1" applyFont="1" applyFill="1" applyBorder="1"/>
    <xf numFmtId="0" fontId="11" fillId="5" borderId="1" xfId="1" applyFont="1" applyFill="1" applyBorder="1"/>
    <xf numFmtId="0" fontId="21" fillId="5" borderId="3" xfId="1" applyFont="1" applyFill="1" applyBorder="1" applyAlignment="1">
      <alignment horizontal="center" textRotation="90" wrapText="1"/>
    </xf>
    <xf numFmtId="0" fontId="21" fillId="5" borderId="1" xfId="1" applyFont="1" applyFill="1" applyBorder="1"/>
    <xf numFmtId="0" fontId="16" fillId="0" borderId="4" xfId="1" applyFont="1" applyBorder="1" applyAlignment="1">
      <alignment horizontal="center" textRotation="90" wrapText="1"/>
    </xf>
    <xf numFmtId="0" fontId="33" fillId="0" borderId="5" xfId="1" applyBorder="1" applyAlignment="1">
      <alignment horizontal="center"/>
    </xf>
    <xf numFmtId="0" fontId="10" fillId="0" borderId="0" xfId="1" applyFont="1"/>
    <xf numFmtId="0" fontId="10" fillId="0" borderId="0" xfId="1" applyFont="1" applyFill="1"/>
    <xf numFmtId="0" fontId="10" fillId="5" borderId="3" xfId="1" applyFont="1" applyFill="1" applyBorder="1" applyAlignment="1">
      <alignment horizontal="center" textRotation="90" wrapText="1"/>
    </xf>
    <xf numFmtId="0" fontId="10" fillId="0" borderId="2" xfId="1" applyFont="1" applyBorder="1" applyAlignment="1">
      <alignment horizontal="center" textRotation="90" wrapText="1"/>
    </xf>
    <xf numFmtId="0" fontId="10" fillId="5" borderId="1" xfId="1" applyFont="1" applyFill="1" applyBorder="1"/>
    <xf numFmtId="0" fontId="9" fillId="5" borderId="1" xfId="1" applyFont="1" applyFill="1" applyBorder="1"/>
    <xf numFmtId="0" fontId="8" fillId="5" borderId="1" xfId="1" applyFont="1" applyFill="1" applyBorder="1"/>
    <xf numFmtId="0" fontId="8" fillId="0" borderId="0" xfId="1" applyFont="1"/>
    <xf numFmtId="0" fontId="7" fillId="0" borderId="0" xfId="1" applyFont="1" applyFill="1"/>
    <xf numFmtId="0" fontId="7" fillId="0" borderId="0" xfId="1" applyFont="1"/>
    <xf numFmtId="0" fontId="7" fillId="5" borderId="1" xfId="1" applyFont="1" applyFill="1" applyBorder="1"/>
    <xf numFmtId="0" fontId="6" fillId="0" borderId="0" xfId="1" applyFont="1" applyFill="1"/>
    <xf numFmtId="0" fontId="6" fillId="0" borderId="0" xfId="1" applyFont="1"/>
    <xf numFmtId="0" fontId="6" fillId="5" borderId="1" xfId="1" applyFont="1" applyFill="1" applyBorder="1"/>
    <xf numFmtId="0" fontId="35" fillId="2" borderId="5" xfId="1" applyFont="1" applyFill="1" applyBorder="1"/>
    <xf numFmtId="0" fontId="5" fillId="5" borderId="1" xfId="1" applyFont="1" applyFill="1" applyBorder="1"/>
    <xf numFmtId="0" fontId="5" fillId="0" borderId="0" xfId="1" applyFont="1" applyFill="1"/>
    <xf numFmtId="0" fontId="5" fillId="0" borderId="0" xfId="1" applyFont="1"/>
    <xf numFmtId="0" fontId="36" fillId="2" borderId="5" xfId="1" applyFont="1" applyFill="1" applyBorder="1"/>
    <xf numFmtId="0" fontId="4" fillId="0" borderId="0" xfId="1" applyFont="1" applyFill="1"/>
    <xf numFmtId="0" fontId="0" fillId="0" borderId="11" xfId="0" applyBorder="1"/>
    <xf numFmtId="0" fontId="0" fillId="0" borderId="9" xfId="0" applyBorder="1"/>
    <xf numFmtId="0" fontId="7" fillId="0" borderId="9" xfId="1" applyFont="1" applyFill="1" applyBorder="1"/>
    <xf numFmtId="0" fontId="6" fillId="0" borderId="9" xfId="1" applyFont="1" applyFill="1" applyBorder="1"/>
    <xf numFmtId="0" fontId="4" fillId="0" borderId="9" xfId="1" applyFont="1" applyFill="1" applyBorder="1"/>
    <xf numFmtId="0" fontId="38" fillId="0" borderId="9" xfId="0" applyFont="1" applyBorder="1" applyAlignment="1">
      <alignment horizontal="center"/>
    </xf>
    <xf numFmtId="0" fontId="38" fillId="0" borderId="0" xfId="0" applyFont="1" applyBorder="1" applyAlignment="1">
      <alignment horizontal="center"/>
    </xf>
    <xf numFmtId="0" fontId="38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8" fillId="3" borderId="6" xfId="0" applyFont="1" applyFill="1" applyBorder="1"/>
    <xf numFmtId="0" fontId="38" fillId="0" borderId="7" xfId="0" applyFont="1" applyBorder="1"/>
    <xf numFmtId="0" fontId="38" fillId="3" borderId="7" xfId="0" applyFont="1" applyFill="1" applyBorder="1"/>
    <xf numFmtId="0" fontId="38" fillId="4" borderId="8" xfId="0" applyFont="1" applyFill="1" applyBorder="1"/>
    <xf numFmtId="0" fontId="3" fillId="0" borderId="0" xfId="1" applyFont="1" applyFill="1"/>
    <xf numFmtId="0" fontId="3" fillId="0" borderId="0" xfId="1" applyFont="1"/>
    <xf numFmtId="0" fontId="35" fillId="0" borderId="0" xfId="1" applyFont="1" applyBorder="1"/>
    <xf numFmtId="0" fontId="2" fillId="0" borderId="0" xfId="1" applyFont="1"/>
    <xf numFmtId="0" fontId="33" fillId="6" borderId="0" xfId="1" applyFill="1"/>
    <xf numFmtId="0" fontId="0" fillId="0" borderId="0" xfId="0" applyBorder="1"/>
    <xf numFmtId="0" fontId="0" fillId="0" borderId="12" xfId="0" applyBorder="1"/>
    <xf numFmtId="0" fontId="1" fillId="0" borderId="0" xfId="1" applyFont="1"/>
    <xf numFmtId="0" fontId="37" fillId="0" borderId="6" xfId="0" applyFont="1" applyBorder="1" applyAlignment="1">
      <alignment horizontal="center"/>
    </xf>
    <xf numFmtId="0" fontId="37" fillId="0" borderId="7" xfId="0" applyFont="1" applyBorder="1" applyAlignment="1">
      <alignment horizontal="center"/>
    </xf>
    <xf numFmtId="0" fontId="37" fillId="0" borderId="8" xfId="0" applyFont="1" applyBorder="1" applyAlignment="1">
      <alignment horizontal="center"/>
    </xf>
    <xf numFmtId="0" fontId="37" fillId="0" borderId="14" xfId="0" applyFont="1" applyBorder="1" applyAlignment="1">
      <alignment horizontal="center"/>
    </xf>
    <xf numFmtId="0" fontId="37" fillId="0" borderId="15" xfId="0" applyFont="1" applyBorder="1" applyAlignment="1">
      <alignment horizontal="center"/>
    </xf>
    <xf numFmtId="0" fontId="37" fillId="0" borderId="16" xfId="0" applyFont="1" applyBorder="1" applyAlignment="1">
      <alignment horizontal="center"/>
    </xf>
    <xf numFmtId="0" fontId="1" fillId="5" borderId="1" xfId="1" applyFont="1" applyFill="1" applyBorder="1"/>
    <xf numFmtId="0" fontId="36" fillId="0" borderId="1" xfId="1" applyFont="1" applyBorder="1"/>
    <xf numFmtId="0" fontId="1" fillId="0" borderId="0" xfId="1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4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</xdr:row>
          <xdr:rowOff>66675</xdr:rowOff>
        </xdr:from>
        <xdr:to>
          <xdr:col>3</xdr:col>
          <xdr:colOff>295275</xdr:colOff>
          <xdr:row>22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Growth Rates - Base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0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Blind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Bash</v>
          </cell>
          <cell r="R5" t="str">
            <v>PoisonGas</v>
          </cell>
          <cell r="S5" t="str">
            <v>SleepGas</v>
          </cell>
          <cell r="T5" t="str">
            <v>Blind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Bash</v>
          </cell>
          <cell r="R6" t="str">
            <v>PoisonGas</v>
          </cell>
          <cell r="S6" t="str">
            <v>SleepGas</v>
          </cell>
          <cell r="T6" t="str">
            <v>Blind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E12">
            <v>2</v>
          </cell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P12" t="str">
            <v>Branch</v>
          </cell>
          <cell r="Q12" t="str">
            <v>X-Fire</v>
          </cell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E28">
            <v>2</v>
          </cell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P28" t="str">
            <v>Stab</v>
          </cell>
          <cell r="Q28" t="str">
            <v>O-Pa/Po</v>
          </cell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 t="str">
            <v>0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O-Quake</v>
          </cell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Tie Up</v>
          </cell>
          <cell r="R40" t="str">
            <v>P-Skin</v>
          </cell>
          <cell r="S40" t="str">
            <v>O-Quake</v>
          </cell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Tie Up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Tie Up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E44">
            <v>1</v>
          </cell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P44" t="str">
            <v>Gaze</v>
          </cell>
          <cell r="Q44" t="str">
            <v>O-Quake</v>
          </cell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 t="str">
            <v>0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Warning</v>
          </cell>
          <cell r="R45" t="str">
            <v>O-Quake</v>
          </cell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 t="str">
            <v>0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Cobweb</v>
          </cell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Cobweb</v>
          </cell>
          <cell r="T52" t="str">
            <v>Warning</v>
          </cell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Cobweb</v>
          </cell>
          <cell r="T53" t="str">
            <v>Gas</v>
          </cell>
          <cell r="U53" t="str">
            <v>Flame</v>
          </cell>
          <cell r="V53" t="str">
            <v>Warning</v>
          </cell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Cobweb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Pincer</v>
          </cell>
          <cell r="Q55" t="str">
            <v>X-Ice</v>
          </cell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Pincer</v>
          </cell>
          <cell r="Q56" t="str">
            <v>Steal</v>
          </cell>
          <cell r="R56" t="str">
            <v>O-Quake</v>
          </cell>
          <cell r="S56" t="str">
            <v>X-Ice</v>
          </cell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Pincer</v>
          </cell>
          <cell r="Q57" t="str">
            <v>Sand</v>
          </cell>
          <cell r="R57" t="str">
            <v>Blind</v>
          </cell>
          <cell r="S57" t="str">
            <v>Surprise</v>
          </cell>
          <cell r="T57" t="str">
            <v>X-Ice</v>
          </cell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Tusk</v>
          </cell>
          <cell r="Q58" t="str">
            <v>Pincer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Tusk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Cure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E60">
            <v>2</v>
          </cell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P60" t="str">
            <v>Venom</v>
          </cell>
          <cell r="Q60" t="str">
            <v>O-Quake</v>
          </cell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Ink</v>
          </cell>
          <cell r="R66" t="str">
            <v>X-Thunder</v>
          </cell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Tie Up</v>
          </cell>
          <cell r="T69" t="str">
            <v>Thunder</v>
          </cell>
          <cell r="U69" t="str">
            <v>Gas</v>
          </cell>
          <cell r="V69" t="str">
            <v>O-Fire</v>
          </cell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Tie Up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Tie Up</v>
          </cell>
          <cell r="T83" t="str">
            <v>CursSong</v>
          </cell>
          <cell r="U83" t="str">
            <v>O-Poison</v>
          </cell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Tie Up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Tie Up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Tie Up</v>
          </cell>
          <cell r="S87" t="str">
            <v>Surprise</v>
          </cell>
          <cell r="T87" t="str">
            <v>O-Poison</v>
          </cell>
          <cell r="U87" t="str">
            <v>X-Ice</v>
          </cell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Tie Up</v>
          </cell>
          <cell r="T88" t="str">
            <v>O-Poison</v>
          </cell>
          <cell r="U88" t="str">
            <v>X-Ice</v>
          </cell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Tie Up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Tie Up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E91">
            <v>2</v>
          </cell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P91" t="str">
            <v>Tusk</v>
          </cell>
          <cell r="Q91" t="str">
            <v>Shell</v>
          </cell>
          <cell r="R91" t="str">
            <v>X-Ice</v>
          </cell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 t="str">
            <v>0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X-Ice</v>
          </cell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 t="str">
            <v>0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Warning</v>
          </cell>
          <cell r="R98" t="str">
            <v>X-Ice</v>
          </cell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Nail</v>
          </cell>
          <cell r="R99" t="str">
            <v>Tail</v>
          </cell>
          <cell r="S99" t="str">
            <v>Bash</v>
          </cell>
          <cell r="T99" t="str">
            <v>X-Ice</v>
          </cell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Nail</v>
          </cell>
          <cell r="Q100" t="str">
            <v>Tusk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Nail</v>
          </cell>
          <cell r="Q101" t="str">
            <v>Tusk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 t="str">
            <v>0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Tusk</v>
          </cell>
          <cell r="Q102" t="str">
            <v>X-Ice</v>
          </cell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Nail</v>
          </cell>
          <cell r="Q103" t="str">
            <v>Tusk</v>
          </cell>
          <cell r="R103" t="str">
            <v>3-Horns</v>
          </cell>
          <cell r="S103" t="str">
            <v>Bash</v>
          </cell>
          <cell r="T103" t="str">
            <v>X-Ice</v>
          </cell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Nail</v>
          </cell>
          <cell r="R104" t="str">
            <v>Tail</v>
          </cell>
          <cell r="S104" t="str">
            <v>Bash</v>
          </cell>
          <cell r="T104" t="str">
            <v>O-Poison</v>
          </cell>
          <cell r="U104" t="str">
            <v>X-Ice</v>
          </cell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Nail</v>
          </cell>
          <cell r="Q105" t="str">
            <v>Tusk</v>
          </cell>
          <cell r="R105" t="str">
            <v>Head</v>
          </cell>
          <cell r="S105" t="str">
            <v>Bash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Nail</v>
          </cell>
          <cell r="Q106" t="str">
            <v>Tusk</v>
          </cell>
          <cell r="R106" t="str">
            <v>Head</v>
          </cell>
          <cell r="S106" t="str">
            <v>Bash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E107">
            <v>3</v>
          </cell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Tie Up</v>
          </cell>
          <cell r="T109" t="str">
            <v>O-Quake</v>
          </cell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Tie Up</v>
          </cell>
          <cell r="T110" t="str">
            <v>O-Fire</v>
          </cell>
          <cell r="U110" t="str">
            <v>O-Quake</v>
          </cell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Tie Up</v>
          </cell>
          <cell r="U111" t="str">
            <v>O-Fire</v>
          </cell>
          <cell r="V111" t="str">
            <v>O-Damage</v>
          </cell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Tie Up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Nail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E123">
            <v>2</v>
          </cell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P123" t="str">
            <v>Nail</v>
          </cell>
          <cell r="Q123" t="str">
            <v>Charm</v>
          </cell>
          <cell r="R123" t="str">
            <v>O-Quake</v>
          </cell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Tusk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Tusk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Tusk</v>
          </cell>
          <cell r="Q135" t="str">
            <v>Kick</v>
          </cell>
          <cell r="R135" t="str">
            <v>Breath</v>
          </cell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Sword</v>
          </cell>
          <cell r="Q136" t="str">
            <v>Breath</v>
          </cell>
          <cell r="R136" t="str">
            <v>Flame</v>
          </cell>
          <cell r="S136" t="str">
            <v>Kick</v>
          </cell>
          <cell r="T136" t="str">
            <v>EvilEye</v>
          </cell>
          <cell r="U136" t="str">
            <v>O-Fire</v>
          </cell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Tusk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E139">
            <v>2</v>
          </cell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P139" t="str">
            <v>Nail</v>
          </cell>
          <cell r="Q139" t="str">
            <v>Kick</v>
          </cell>
          <cell r="R139" t="str">
            <v>O-Quake</v>
          </cell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Nail</v>
          </cell>
          <cell r="Q140" t="str">
            <v>Beak</v>
          </cell>
          <cell r="R140" t="str">
            <v>O-Quake</v>
          </cell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Nail</v>
          </cell>
          <cell r="Q145" t="str">
            <v>O-Quake</v>
          </cell>
          <cell r="R145" t="str">
            <v>X-Ice</v>
          </cell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Tusk</v>
          </cell>
          <cell r="Q149" t="str">
            <v>2-Swords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Tusk</v>
          </cell>
          <cell r="R151" t="str">
            <v>Surprise</v>
          </cell>
          <cell r="S151" t="str">
            <v>Recover</v>
          </cell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Tusk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Tusk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Tusk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E155">
            <v>2</v>
          </cell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P155" t="str">
            <v>Tail</v>
          </cell>
          <cell r="Q155" t="str">
            <v>Toxin</v>
          </cell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Tie Up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E171">
            <v>3</v>
          </cell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Venom</v>
          </cell>
          <cell r="R178" t="str">
            <v>O-Weapon</v>
          </cell>
          <cell r="S178" t="str">
            <v>X-Fire</v>
          </cell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Tusk</v>
          </cell>
          <cell r="R182" t="str">
            <v>X-Fire</v>
          </cell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E187">
            <v>3</v>
          </cell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P187" t="str">
            <v>Touch</v>
          </cell>
          <cell r="Q187" t="str">
            <v>O-Quake</v>
          </cell>
          <cell r="R187" t="str">
            <v>X-Fire</v>
          </cell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E195">
            <v>5</v>
          </cell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P195" t="str">
            <v>Katana</v>
          </cell>
          <cell r="Q195" t="str">
            <v>Gold Bow</v>
          </cell>
          <cell r="R195" t="str">
            <v>Gold Armor</v>
          </cell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X199" t="str">
            <v>Human</v>
          </cell>
        </row>
        <row r="200">
          <cell r="A200" t="str">
            <v>Wh. Belt</v>
          </cell>
          <cell r="B200" t="str">
            <v>Wh. Belt</v>
          </cell>
          <cell r="C200" t="str">
            <v>2</v>
          </cell>
          <cell r="D200" t="str">
            <v>5</v>
          </cell>
          <cell r="E200">
            <v>5</v>
          </cell>
          <cell r="F200" t="str">
            <v>25</v>
          </cell>
          <cell r="G200" t="str">
            <v>1a</v>
          </cell>
          <cell r="H200" t="str">
            <v>0</v>
          </cell>
          <cell r="I200">
            <v>3</v>
          </cell>
          <cell r="J200">
            <v>248</v>
          </cell>
          <cell r="K200">
            <v>25</v>
          </cell>
          <cell r="L200">
            <v>29</v>
          </cell>
          <cell r="M200">
            <v>22</v>
          </cell>
          <cell r="N200">
            <v>23</v>
          </cell>
          <cell r="O200" t="str">
            <v>7d6c</v>
          </cell>
          <cell r="P200" t="str">
            <v>Strike</v>
          </cell>
          <cell r="Q200" t="str">
            <v>JumpKick</v>
          </cell>
          <cell r="R200" t="str">
            <v>HeadButt</v>
          </cell>
          <cell r="X200" t="str">
            <v>Human</v>
          </cell>
        </row>
        <row r="201">
          <cell r="A201" t="str">
            <v>Killer</v>
          </cell>
          <cell r="B201" t="str">
            <v>Killer</v>
          </cell>
          <cell r="C201" t="str">
            <v>4</v>
          </cell>
          <cell r="D201" t="str">
            <v>8</v>
          </cell>
          <cell r="E201">
            <v>8</v>
          </cell>
          <cell r="F201" t="str">
            <v>48</v>
          </cell>
          <cell r="G201" t="str">
            <v>1a</v>
          </cell>
          <cell r="H201" t="str">
            <v>0</v>
          </cell>
          <cell r="I201">
            <v>5</v>
          </cell>
          <cell r="J201">
            <v>507</v>
          </cell>
          <cell r="K201">
            <v>51</v>
          </cell>
          <cell r="L201">
            <v>57</v>
          </cell>
          <cell r="M201">
            <v>47</v>
          </cell>
          <cell r="N201">
            <v>49</v>
          </cell>
          <cell r="O201" t="str">
            <v>7d6f</v>
          </cell>
          <cell r="P201" t="str">
            <v>Axe</v>
          </cell>
          <cell r="Q201" t="str">
            <v>ChainSaw</v>
          </cell>
          <cell r="R201" t="str">
            <v>StunGun</v>
          </cell>
          <cell r="S201" t="str">
            <v>Venom</v>
          </cell>
          <cell r="T201" t="str">
            <v>Blitz Whip</v>
          </cell>
          <cell r="U201" t="str">
            <v>Surprise</v>
          </cell>
          <cell r="X201" t="str">
            <v>Human</v>
          </cell>
        </row>
        <row r="202">
          <cell r="A202" t="str">
            <v>Bl. Belt</v>
          </cell>
          <cell r="B202" t="str">
            <v>Bl. Belt</v>
          </cell>
          <cell r="C202" t="str">
            <v>6</v>
          </cell>
          <cell r="D202" t="str">
            <v>A</v>
          </cell>
          <cell r="E202">
            <v>10</v>
          </cell>
          <cell r="F202" t="str">
            <v>6A</v>
          </cell>
          <cell r="G202" t="str">
            <v>1a</v>
          </cell>
          <cell r="H202" t="str">
            <v>0</v>
          </cell>
          <cell r="I202">
            <v>7</v>
          </cell>
          <cell r="J202">
            <v>731</v>
          </cell>
          <cell r="K202">
            <v>73</v>
          </cell>
          <cell r="L202">
            <v>81</v>
          </cell>
          <cell r="M202">
            <v>68</v>
          </cell>
          <cell r="N202">
            <v>71</v>
          </cell>
          <cell r="O202" t="str">
            <v>7d75</v>
          </cell>
          <cell r="P202" t="str">
            <v>Strike</v>
          </cell>
          <cell r="Q202" t="str">
            <v>JumpKick</v>
          </cell>
          <cell r="R202" t="str">
            <v>HeadButt</v>
          </cell>
          <cell r="S202" t="str">
            <v>FlyingKick</v>
          </cell>
          <cell r="T202" t="str">
            <v>Jyudo</v>
          </cell>
          <cell r="U202" t="str">
            <v>Karate</v>
          </cell>
          <cell r="V202" t="str">
            <v>Samurai Shield</v>
          </cell>
          <cell r="X202" t="str">
            <v>Human</v>
          </cell>
        </row>
        <row r="203">
          <cell r="A203" t="str">
            <v>TianLung</v>
          </cell>
          <cell r="B203" t="str">
            <v>TianLung</v>
          </cell>
          <cell r="C203" t="str">
            <v>3</v>
          </cell>
          <cell r="D203" t="str">
            <v>B</v>
          </cell>
          <cell r="E203">
            <v>11</v>
          </cell>
          <cell r="F203" t="str">
            <v>3B</v>
          </cell>
          <cell r="G203" t="str">
            <v>29</v>
          </cell>
          <cell r="H203" t="str">
            <v>2</v>
          </cell>
          <cell r="I203" t="str">
            <v>4</v>
          </cell>
          <cell r="J203">
            <v>2000</v>
          </cell>
          <cell r="K203">
            <v>86</v>
          </cell>
          <cell r="L203">
            <v>94</v>
          </cell>
          <cell r="M203">
            <v>80</v>
          </cell>
          <cell r="N203">
            <v>83</v>
          </cell>
          <cell r="O203" t="str">
            <v>7d7c</v>
          </cell>
          <cell r="P203" t="str">
            <v>Tornado</v>
          </cell>
          <cell r="Q203" t="str">
            <v>Tusk</v>
          </cell>
          <cell r="R203" t="str">
            <v>Lightning</v>
          </cell>
          <cell r="S203" t="str">
            <v>Gas</v>
          </cell>
          <cell r="T203" t="str">
            <v>O-All</v>
          </cell>
          <cell r="X203" t="str">
            <v>Great Reptile</v>
          </cell>
        </row>
        <row r="204">
          <cell r="A204" t="str">
            <v>Trooper</v>
          </cell>
          <cell r="B204" t="str">
            <v>Trooper</v>
          </cell>
          <cell r="C204" t="str">
            <v>1</v>
          </cell>
          <cell r="D204" t="str">
            <v>2</v>
          </cell>
          <cell r="E204">
            <v>2</v>
          </cell>
          <cell r="F204" t="str">
            <v>12</v>
          </cell>
          <cell r="G204" t="str">
            <v>1b</v>
          </cell>
          <cell r="H204" t="str">
            <v>0</v>
          </cell>
          <cell r="I204">
            <v>2</v>
          </cell>
          <cell r="J204">
            <v>90</v>
          </cell>
          <cell r="K204">
            <v>8</v>
          </cell>
          <cell r="L204">
            <v>6</v>
          </cell>
          <cell r="M204">
            <v>6</v>
          </cell>
          <cell r="N204">
            <v>11</v>
          </cell>
          <cell r="O204" t="str">
            <v>7d81</v>
          </cell>
          <cell r="P204" t="str">
            <v>Long Sword</v>
          </cell>
          <cell r="Q204" t="str">
            <v>Bronze Shield</v>
          </cell>
          <cell r="X204" t="str">
            <v>Human</v>
          </cell>
        </row>
        <row r="205">
          <cell r="A205" t="str">
            <v>Guard</v>
          </cell>
          <cell r="B205" t="str">
            <v>Guard</v>
          </cell>
          <cell r="C205" t="str">
            <v>2</v>
          </cell>
          <cell r="D205" t="str">
            <v>5</v>
          </cell>
          <cell r="E205">
            <v>5</v>
          </cell>
          <cell r="F205" t="str">
            <v>25</v>
          </cell>
          <cell r="G205" t="str">
            <v>1b</v>
          </cell>
          <cell r="H205" t="str">
            <v>0</v>
          </cell>
          <cell r="I205" t="str">
            <v>2</v>
          </cell>
          <cell r="J205">
            <v>263</v>
          </cell>
          <cell r="K205">
            <v>25</v>
          </cell>
          <cell r="L205">
            <v>22</v>
          </cell>
          <cell r="M205">
            <v>22</v>
          </cell>
          <cell r="N205">
            <v>29</v>
          </cell>
          <cell r="O205" t="str">
            <v>7d83</v>
          </cell>
          <cell r="P205" t="str">
            <v>Gold Sword</v>
          </cell>
          <cell r="Q205" t="str">
            <v>Gold Shield</v>
          </cell>
          <cell r="R205" t="str">
            <v>Cure Potion</v>
          </cell>
          <cell r="X205" t="str">
            <v>Human</v>
          </cell>
        </row>
        <row r="206">
          <cell r="A206" t="str">
            <v>Knight</v>
          </cell>
          <cell r="B206" t="str">
            <v>Knight</v>
          </cell>
          <cell r="C206" t="str">
            <v>5</v>
          </cell>
          <cell r="D206" t="str">
            <v>7</v>
          </cell>
          <cell r="E206">
            <v>7</v>
          </cell>
          <cell r="F206" t="str">
            <v>57</v>
          </cell>
          <cell r="G206" t="str">
            <v>1b</v>
          </cell>
          <cell r="H206" t="str">
            <v>0</v>
          </cell>
          <cell r="I206" t="str">
            <v>5</v>
          </cell>
          <cell r="J206">
            <v>390</v>
          </cell>
          <cell r="K206">
            <v>41</v>
          </cell>
          <cell r="L206">
            <v>37</v>
          </cell>
          <cell r="M206">
            <v>37</v>
          </cell>
          <cell r="N206">
            <v>47</v>
          </cell>
          <cell r="O206" t="str">
            <v>7d86</v>
          </cell>
          <cell r="P206" t="str">
            <v>Flame Sword</v>
          </cell>
          <cell r="Q206" t="str">
            <v>Ice Sword</v>
          </cell>
          <cell r="R206" t="str">
            <v>Thunder Axe</v>
          </cell>
          <cell r="S206" t="str">
            <v>Flame Shield</v>
          </cell>
          <cell r="T206" t="str">
            <v>Ice Shield</v>
          </cell>
          <cell r="U206" t="str">
            <v>Hi-Cure Potion</v>
          </cell>
          <cell r="X206" t="str">
            <v>Human</v>
          </cell>
        </row>
        <row r="207">
          <cell r="A207" t="str">
            <v>Paladin</v>
          </cell>
          <cell r="B207" t="str">
            <v>Paladin</v>
          </cell>
          <cell r="C207" t="str">
            <v>6</v>
          </cell>
          <cell r="D207" t="str">
            <v>A</v>
          </cell>
          <cell r="E207">
            <v>10</v>
          </cell>
          <cell r="F207" t="str">
            <v>6A</v>
          </cell>
          <cell r="G207" t="str">
            <v>1b</v>
          </cell>
          <cell r="H207" t="str">
            <v>0</v>
          </cell>
          <cell r="I207" t="str">
            <v>6</v>
          </cell>
          <cell r="J207">
            <v>756</v>
          </cell>
          <cell r="K207">
            <v>73</v>
          </cell>
          <cell r="L207">
            <v>68</v>
          </cell>
          <cell r="M207">
            <v>68</v>
          </cell>
          <cell r="N207">
            <v>81</v>
          </cell>
          <cell r="O207" t="str">
            <v>7d8c</v>
          </cell>
          <cell r="P207" t="str">
            <v>Sun Sword</v>
          </cell>
          <cell r="Q207" t="str">
            <v>Dragon Sword</v>
          </cell>
          <cell r="R207" t="str">
            <v>Defend Sword</v>
          </cell>
          <cell r="S207" t="str">
            <v>Dragon Shield</v>
          </cell>
          <cell r="T207" t="str">
            <v>Dragon Helm</v>
          </cell>
          <cell r="U207" t="str">
            <v>Ninja Glove</v>
          </cell>
          <cell r="V207" t="str">
            <v>Dragon Armor</v>
          </cell>
          <cell r="X207" t="str">
            <v>Human</v>
          </cell>
        </row>
        <row r="208">
          <cell r="A208" t="str">
            <v>Fenrir</v>
          </cell>
          <cell r="B208" t="str">
            <v>Fenrir</v>
          </cell>
          <cell r="C208" t="str">
            <v>2</v>
          </cell>
          <cell r="D208" t="str">
            <v>B</v>
          </cell>
          <cell r="E208">
            <v>11</v>
          </cell>
          <cell r="F208" t="str">
            <v>2B</v>
          </cell>
          <cell r="G208" t="str">
            <v>2c</v>
          </cell>
          <cell r="H208" t="str">
            <v>2</v>
          </cell>
          <cell r="I208" t="str">
            <v>4</v>
          </cell>
          <cell r="J208">
            <v>2500</v>
          </cell>
          <cell r="K208">
            <v>86</v>
          </cell>
          <cell r="L208">
            <v>80</v>
          </cell>
          <cell r="M208">
            <v>80</v>
          </cell>
          <cell r="N208">
            <v>94</v>
          </cell>
          <cell r="O208" t="str">
            <v>7d93</v>
          </cell>
          <cell r="P208" t="str">
            <v>Tornado</v>
          </cell>
          <cell r="Q208" t="str">
            <v>Tusk</v>
          </cell>
          <cell r="R208" t="str">
            <v>Blizzard</v>
          </cell>
          <cell r="S208" t="str">
            <v>Recover</v>
          </cell>
          <cell r="T208" t="str">
            <v>O-All</v>
          </cell>
          <cell r="X208" t="str">
            <v>Beast</v>
          </cell>
        </row>
        <row r="209">
          <cell r="A209" t="str">
            <v>Terorist</v>
          </cell>
          <cell r="B209" t="str">
            <v>Terorist</v>
          </cell>
          <cell r="C209" t="str">
            <v>1</v>
          </cell>
          <cell r="D209" t="str">
            <v>3</v>
          </cell>
          <cell r="E209">
            <v>3</v>
          </cell>
          <cell r="F209" t="str">
            <v>13</v>
          </cell>
          <cell r="G209" t="str">
            <v>84</v>
          </cell>
          <cell r="H209" t="str">
            <v>0</v>
          </cell>
          <cell r="I209" t="str">
            <v>1</v>
          </cell>
          <cell r="J209">
            <v>148</v>
          </cell>
          <cell r="K209">
            <v>14</v>
          </cell>
          <cell r="L209">
            <v>14</v>
          </cell>
          <cell r="M209">
            <v>8</v>
          </cell>
          <cell r="N209">
            <v>13</v>
          </cell>
          <cell r="O209" t="str">
            <v>7d98</v>
          </cell>
          <cell r="P209" t="str">
            <v>Colt Gun</v>
          </cell>
          <cell r="Q209" t="str">
            <v>Kick</v>
          </cell>
          <cell r="X209" t="str">
            <v>Human</v>
          </cell>
        </row>
        <row r="210">
          <cell r="A210" t="str">
            <v>Mercenar</v>
          </cell>
          <cell r="B210" t="str">
            <v>Mercenar</v>
          </cell>
          <cell r="C210" t="str">
            <v>3</v>
          </cell>
          <cell r="D210" t="str">
            <v>6</v>
          </cell>
          <cell r="E210">
            <v>6</v>
          </cell>
          <cell r="F210" t="str">
            <v>36</v>
          </cell>
          <cell r="G210" t="str">
            <v>84</v>
          </cell>
          <cell r="H210" t="str">
            <v>0</v>
          </cell>
          <cell r="I210" t="str">
            <v>3</v>
          </cell>
          <cell r="J210">
            <v>358</v>
          </cell>
          <cell r="K210">
            <v>34</v>
          </cell>
          <cell r="L210">
            <v>34</v>
          </cell>
          <cell r="M210">
            <v>26</v>
          </cell>
          <cell r="N210">
            <v>32</v>
          </cell>
          <cell r="O210" t="str">
            <v>7d9a</v>
          </cell>
          <cell r="P210" t="str">
            <v>Musket</v>
          </cell>
          <cell r="Q210" t="str">
            <v>Grenade</v>
          </cell>
          <cell r="R210" t="str">
            <v>SMG</v>
          </cell>
          <cell r="S210" t="str">
            <v>Cure Potion</v>
          </cell>
          <cell r="X210" t="str">
            <v>Human</v>
          </cell>
        </row>
        <row r="211">
          <cell r="A211" t="str">
            <v>Commando</v>
          </cell>
          <cell r="B211" t="str">
            <v>Commando</v>
          </cell>
          <cell r="C211" t="str">
            <v>4</v>
          </cell>
          <cell r="D211" t="str">
            <v>7</v>
          </cell>
          <cell r="E211">
            <v>7</v>
          </cell>
          <cell r="F211" t="str">
            <v>47</v>
          </cell>
          <cell r="G211" t="str">
            <v>84</v>
          </cell>
          <cell r="H211" t="str">
            <v>0</v>
          </cell>
          <cell r="I211" t="str">
            <v>5</v>
          </cell>
          <cell r="J211">
            <v>410</v>
          </cell>
          <cell r="K211">
            <v>43</v>
          </cell>
          <cell r="L211">
            <v>43</v>
          </cell>
          <cell r="M211">
            <v>33</v>
          </cell>
          <cell r="N211">
            <v>41</v>
          </cell>
          <cell r="O211" t="str">
            <v>7d9e</v>
          </cell>
          <cell r="P211" t="str">
            <v>HeadButt</v>
          </cell>
          <cell r="Q211" t="str">
            <v>Fire Gun</v>
          </cell>
          <cell r="R211" t="str">
            <v>Bazooka</v>
          </cell>
          <cell r="S211" t="str">
            <v>Magnum</v>
          </cell>
          <cell r="T211" t="str">
            <v>Army Armor</v>
          </cell>
          <cell r="U211" t="str">
            <v>Surprise</v>
          </cell>
          <cell r="X211" t="str">
            <v>Human</v>
          </cell>
        </row>
        <row r="212">
          <cell r="A212" t="str">
            <v>SS</v>
          </cell>
          <cell r="B212" t="str">
            <v>SS</v>
          </cell>
          <cell r="C212" t="str">
            <v>6</v>
          </cell>
          <cell r="D212" t="str">
            <v>A</v>
          </cell>
          <cell r="E212">
            <v>10</v>
          </cell>
          <cell r="F212" t="str">
            <v>6A</v>
          </cell>
          <cell r="G212" t="str">
            <v>84</v>
          </cell>
          <cell r="H212" t="str">
            <v>0</v>
          </cell>
          <cell r="I212" t="str">
            <v>6</v>
          </cell>
          <cell r="J212">
            <v>781</v>
          </cell>
          <cell r="K212">
            <v>76</v>
          </cell>
          <cell r="L212">
            <v>76</v>
          </cell>
          <cell r="M212">
            <v>63</v>
          </cell>
          <cell r="N212">
            <v>73</v>
          </cell>
          <cell r="O212" t="str">
            <v>7da4</v>
          </cell>
          <cell r="P212" t="str">
            <v>Laser Sword</v>
          </cell>
          <cell r="Q212" t="str">
            <v>Vulcan Cannon</v>
          </cell>
          <cell r="R212" t="str">
            <v>Fire Gun</v>
          </cell>
          <cell r="S212" t="str">
            <v>Missile Cannon</v>
          </cell>
          <cell r="T212" t="str">
            <v>Tank Cannon</v>
          </cell>
          <cell r="U212" t="str">
            <v>Hi-Cure Potion</v>
          </cell>
          <cell r="V212" t="str">
            <v>Army Armor</v>
          </cell>
          <cell r="X212" t="str">
            <v>Human</v>
          </cell>
        </row>
        <row r="213">
          <cell r="A213" t="str">
            <v>EchigoYa</v>
          </cell>
          <cell r="B213" t="str">
            <v>EchigoYa</v>
          </cell>
          <cell r="C213" t="str">
            <v>2</v>
          </cell>
          <cell r="D213" t="str">
            <v>B</v>
          </cell>
          <cell r="E213">
            <v>11</v>
          </cell>
          <cell r="F213" t="str">
            <v>2B</v>
          </cell>
          <cell r="G213" t="str">
            <v>84</v>
          </cell>
          <cell r="H213" t="str">
            <v>0</v>
          </cell>
          <cell r="I213" t="str">
            <v>2</v>
          </cell>
          <cell r="J213">
            <v>443</v>
          </cell>
          <cell r="K213">
            <v>43</v>
          </cell>
          <cell r="L213">
            <v>43</v>
          </cell>
          <cell r="M213">
            <v>36</v>
          </cell>
          <cell r="N213">
            <v>41</v>
          </cell>
          <cell r="O213" t="str">
            <v>7dab</v>
          </cell>
          <cell r="P213" t="str">
            <v>Abacus</v>
          </cell>
          <cell r="Q213" t="str">
            <v>Vulcan Cannon</v>
          </cell>
          <cell r="R213" t="str">
            <v>Psi Sword</v>
          </cell>
          <cell r="X213" t="str">
            <v>Human</v>
          </cell>
        </row>
        <row r="214">
          <cell r="A214" t="str">
            <v>Conjurer</v>
          </cell>
          <cell r="B214" t="str">
            <v>Conjurer</v>
          </cell>
          <cell r="C214" t="str">
            <v>1</v>
          </cell>
          <cell r="D214" t="str">
            <v>3</v>
          </cell>
          <cell r="E214">
            <v>3</v>
          </cell>
          <cell r="F214" t="str">
            <v>13</v>
          </cell>
          <cell r="G214" t="str">
            <v>85</v>
          </cell>
          <cell r="H214" t="str">
            <v>0</v>
          </cell>
          <cell r="I214" t="str">
            <v>1</v>
          </cell>
          <cell r="J214">
            <v>123</v>
          </cell>
          <cell r="K214">
            <v>8</v>
          </cell>
          <cell r="L214">
            <v>16</v>
          </cell>
          <cell r="M214">
            <v>17</v>
          </cell>
          <cell r="N214">
            <v>9</v>
          </cell>
          <cell r="O214" t="str">
            <v>7dae</v>
          </cell>
          <cell r="P214" t="str">
            <v>Sleep Book</v>
          </cell>
          <cell r="Q214" t="str">
            <v>Cure Book</v>
          </cell>
          <cell r="X214" t="str">
            <v>Human</v>
          </cell>
        </row>
        <row r="215">
          <cell r="A215" t="str">
            <v>Magician</v>
          </cell>
          <cell r="B215" t="str">
            <v>Magician</v>
          </cell>
          <cell r="C215" t="str">
            <v>3</v>
          </cell>
          <cell r="D215" t="str">
            <v>6</v>
          </cell>
          <cell r="E215">
            <v>6</v>
          </cell>
          <cell r="F215" t="str">
            <v>36</v>
          </cell>
          <cell r="G215" t="str">
            <v>85</v>
          </cell>
          <cell r="H215" t="str">
            <v>0</v>
          </cell>
          <cell r="I215" t="str">
            <v>3</v>
          </cell>
          <cell r="J215">
            <v>324</v>
          </cell>
          <cell r="K215">
            <v>26</v>
          </cell>
          <cell r="L215">
            <v>38</v>
          </cell>
          <cell r="M215">
            <v>39</v>
          </cell>
          <cell r="N215">
            <v>27</v>
          </cell>
          <cell r="O215" t="str">
            <v>7db0</v>
          </cell>
          <cell r="P215" t="str">
            <v>Fire Book</v>
          </cell>
          <cell r="Q215" t="str">
            <v>Ice Book</v>
          </cell>
          <cell r="R215" t="str">
            <v>Sleep Book</v>
          </cell>
          <cell r="S215" t="str">
            <v>Cure Book</v>
          </cell>
          <cell r="X215" t="str">
            <v>Human</v>
          </cell>
        </row>
        <row r="216">
          <cell r="A216" t="str">
            <v>Sorcerer</v>
          </cell>
          <cell r="B216" t="str">
            <v>Sorcerer</v>
          </cell>
          <cell r="C216" t="str">
            <v>5</v>
          </cell>
          <cell r="D216" t="str">
            <v>9</v>
          </cell>
          <cell r="E216">
            <v>9</v>
          </cell>
          <cell r="F216" t="str">
            <v>59</v>
          </cell>
          <cell r="G216" t="str">
            <v>85</v>
          </cell>
          <cell r="H216" t="str">
            <v>0</v>
          </cell>
          <cell r="I216" t="str">
            <v>5</v>
          </cell>
          <cell r="J216">
            <v>614</v>
          </cell>
          <cell r="K216">
            <v>52</v>
          </cell>
          <cell r="L216">
            <v>68</v>
          </cell>
          <cell r="M216">
            <v>64</v>
          </cell>
          <cell r="N216">
            <v>55</v>
          </cell>
          <cell r="O216" t="str">
            <v>7db4</v>
          </cell>
          <cell r="P216" t="str">
            <v>Thunder Book</v>
          </cell>
          <cell r="Q216" t="str">
            <v>Stone Book</v>
          </cell>
          <cell r="R216" t="str">
            <v>Mage Staff</v>
          </cell>
          <cell r="S216" t="str">
            <v>Death Book</v>
          </cell>
          <cell r="T216" t="str">
            <v>Ice Book</v>
          </cell>
          <cell r="U216" t="str">
            <v>Cure Book</v>
          </cell>
          <cell r="X216" t="str">
            <v>Human</v>
          </cell>
        </row>
        <row r="217">
          <cell r="A217" t="str">
            <v>Wizard</v>
          </cell>
          <cell r="B217" t="str">
            <v>Wizard</v>
          </cell>
          <cell r="C217" t="str">
            <v>6</v>
          </cell>
          <cell r="D217" t="str">
            <v>A</v>
          </cell>
          <cell r="E217">
            <v>10</v>
          </cell>
          <cell r="F217" t="str">
            <v>6A</v>
          </cell>
          <cell r="G217" t="str">
            <v>85</v>
          </cell>
          <cell r="H217" t="str">
            <v>0</v>
          </cell>
          <cell r="I217" t="str">
            <v>6</v>
          </cell>
          <cell r="J217">
            <v>731</v>
          </cell>
          <cell r="K217">
            <v>63</v>
          </cell>
          <cell r="L217">
            <v>81</v>
          </cell>
          <cell r="M217">
            <v>75</v>
          </cell>
          <cell r="N217">
            <v>66</v>
          </cell>
          <cell r="O217" t="str">
            <v>7dba</v>
          </cell>
          <cell r="P217" t="str">
            <v>Thunder Book</v>
          </cell>
          <cell r="Q217" t="str">
            <v>Fog Book</v>
          </cell>
          <cell r="R217" t="str">
            <v>Stone Book</v>
          </cell>
          <cell r="S217" t="str">
            <v>Mage Staff</v>
          </cell>
          <cell r="T217" t="str">
            <v>Wizard Staff</v>
          </cell>
          <cell r="U217" t="str">
            <v>Flare Book</v>
          </cell>
          <cell r="V217" t="str">
            <v>Heal Staff</v>
          </cell>
          <cell r="X217" t="str">
            <v>Human</v>
          </cell>
        </row>
        <row r="218">
          <cell r="A218" t="str">
            <v>ROBO-28</v>
          </cell>
          <cell r="B218" t="str">
            <v>ROBO-28</v>
          </cell>
          <cell r="C218" t="str">
            <v>0</v>
          </cell>
          <cell r="D218" t="str">
            <v>3</v>
          </cell>
          <cell r="E218">
            <v>3</v>
          </cell>
          <cell r="F218" t="str">
            <v>03</v>
          </cell>
          <cell r="G218" t="str">
            <v>86</v>
          </cell>
          <cell r="H218" t="str">
            <v>3</v>
          </cell>
          <cell r="I218" t="str">
            <v>1</v>
          </cell>
          <cell r="J218">
            <v>137</v>
          </cell>
          <cell r="K218">
            <v>15</v>
          </cell>
          <cell r="L218">
            <v>15</v>
          </cell>
          <cell r="M218">
            <v>0</v>
          </cell>
          <cell r="N218">
            <v>14</v>
          </cell>
          <cell r="O218" t="str">
            <v>7dc1</v>
          </cell>
          <cell r="P218" t="str">
            <v>Rocket</v>
          </cell>
          <cell r="Q218" t="str">
            <v>O-Pa/Po</v>
          </cell>
          <cell r="X218" t="str">
            <v>Robot</v>
          </cell>
        </row>
        <row r="219">
          <cell r="A219" t="str">
            <v>ROBO-Z</v>
          </cell>
          <cell r="B219" t="str">
            <v>ROBO-Z</v>
          </cell>
          <cell r="C219" t="str">
            <v>2</v>
          </cell>
          <cell r="D219" t="str">
            <v>5</v>
          </cell>
          <cell r="E219">
            <v>5</v>
          </cell>
          <cell r="F219" t="str">
            <v>25</v>
          </cell>
          <cell r="G219" t="str">
            <v>86</v>
          </cell>
          <cell r="H219" t="str">
            <v>3</v>
          </cell>
          <cell r="I219" t="str">
            <v>3</v>
          </cell>
          <cell r="J219">
            <v>263</v>
          </cell>
          <cell r="K219">
            <v>28</v>
          </cell>
          <cell r="L219">
            <v>28</v>
          </cell>
          <cell r="M219">
            <v>0</v>
          </cell>
          <cell r="N219">
            <v>26</v>
          </cell>
          <cell r="O219" t="str">
            <v>7dc3</v>
          </cell>
          <cell r="P219" t="str">
            <v>Rocket</v>
          </cell>
          <cell r="Q219" t="str">
            <v>Flame</v>
          </cell>
          <cell r="R219" t="str">
            <v>Beam</v>
          </cell>
          <cell r="S219" t="str">
            <v>O-Pa/Po</v>
          </cell>
          <cell r="X219" t="str">
            <v>Robot</v>
          </cell>
        </row>
        <row r="220">
          <cell r="A220" t="str">
            <v>Ridean</v>
          </cell>
          <cell r="B220" t="str">
            <v>Ridean</v>
          </cell>
          <cell r="C220" t="str">
            <v>4</v>
          </cell>
          <cell r="D220" t="str">
            <v>9</v>
          </cell>
          <cell r="E220">
            <v>9</v>
          </cell>
          <cell r="F220" t="str">
            <v>49</v>
          </cell>
          <cell r="G220" t="str">
            <v>86</v>
          </cell>
          <cell r="H220" t="str">
            <v>3</v>
          </cell>
          <cell r="I220" t="str">
            <v>5</v>
          </cell>
          <cell r="J220">
            <v>637</v>
          </cell>
          <cell r="K220">
            <v>66</v>
          </cell>
          <cell r="L220">
            <v>66</v>
          </cell>
          <cell r="M220">
            <v>0</v>
          </cell>
          <cell r="N220">
            <v>64</v>
          </cell>
          <cell r="O220" t="str">
            <v>7dc7</v>
          </cell>
          <cell r="P220" t="str">
            <v>Rocket</v>
          </cell>
          <cell r="Q220" t="str">
            <v>Laser Gun</v>
          </cell>
          <cell r="R220" t="str">
            <v>Vulcan</v>
          </cell>
          <cell r="S220" t="str">
            <v>Laser Sword</v>
          </cell>
          <cell r="T220" t="str">
            <v>Electroshock</v>
          </cell>
          <cell r="U220" t="str">
            <v>O-Pa/Po</v>
          </cell>
          <cell r="X220" t="str">
            <v>Robot</v>
          </cell>
        </row>
        <row r="221">
          <cell r="A221" t="str">
            <v>G-7</v>
          </cell>
          <cell r="B221" t="str">
            <v>G-7</v>
          </cell>
          <cell r="C221" t="str">
            <v>4</v>
          </cell>
          <cell r="D221" t="str">
            <v>A</v>
          </cell>
          <cell r="E221">
            <v>10</v>
          </cell>
          <cell r="F221" t="str">
            <v>4A</v>
          </cell>
          <cell r="G221" t="str">
            <v>86</v>
          </cell>
          <cell r="H221" t="str">
            <v>3</v>
          </cell>
          <cell r="I221" t="str">
            <v>6</v>
          </cell>
          <cell r="J221">
            <v>756</v>
          </cell>
          <cell r="K221">
            <v>78</v>
          </cell>
          <cell r="L221">
            <v>78</v>
          </cell>
          <cell r="M221">
            <v>0</v>
          </cell>
          <cell r="N221">
            <v>76</v>
          </cell>
          <cell r="O221" t="str">
            <v>7dcd</v>
          </cell>
          <cell r="P221" t="str">
            <v>Rocket</v>
          </cell>
          <cell r="Q221" t="str">
            <v>Laser Gun</v>
          </cell>
          <cell r="R221" t="str">
            <v>Vulcan</v>
          </cell>
          <cell r="S221" t="str">
            <v>Laser Sword</v>
          </cell>
          <cell r="T221" t="str">
            <v>Missile</v>
          </cell>
          <cell r="U221" t="str">
            <v>Selfix</v>
          </cell>
          <cell r="V221" t="str">
            <v>O-Pa/Po</v>
          </cell>
          <cell r="X221" t="str">
            <v>Robot</v>
          </cell>
        </row>
        <row r="222">
          <cell r="A222" t="str">
            <v>Dunatis</v>
          </cell>
          <cell r="B222" t="str">
            <v>Dunatis</v>
          </cell>
          <cell r="C222" t="str">
            <v>0</v>
          </cell>
          <cell r="D222" t="str">
            <v>B</v>
          </cell>
          <cell r="E222">
            <v>11</v>
          </cell>
          <cell r="F222" t="str">
            <v>0B</v>
          </cell>
          <cell r="G222" t="str">
            <v>86</v>
          </cell>
          <cell r="H222" t="str">
            <v>3</v>
          </cell>
          <cell r="I222" t="str">
            <v>3</v>
          </cell>
          <cell r="J222">
            <v>300</v>
          </cell>
          <cell r="K222">
            <v>30</v>
          </cell>
          <cell r="L222">
            <v>30</v>
          </cell>
          <cell r="M222">
            <v>0</v>
          </cell>
          <cell r="N222">
            <v>29</v>
          </cell>
          <cell r="O222" t="str">
            <v>7dd4</v>
          </cell>
          <cell r="P222" t="str">
            <v>Rocket</v>
          </cell>
          <cell r="Q222" t="str">
            <v>ChainSaw</v>
          </cell>
          <cell r="R222" t="str">
            <v>Blitz Whip</v>
          </cell>
          <cell r="S222" t="str">
            <v>O-Pa/Po</v>
          </cell>
          <cell r="X222" t="str">
            <v>Robot</v>
          </cell>
        </row>
        <row r="223">
          <cell r="A223" t="str">
            <v>MechBug</v>
          </cell>
          <cell r="B223" t="str">
            <v>MechBug</v>
          </cell>
          <cell r="C223" t="str">
            <v>1</v>
          </cell>
          <cell r="D223" t="str">
            <v>5</v>
          </cell>
          <cell r="E223">
            <v>5</v>
          </cell>
          <cell r="F223" t="str">
            <v>15</v>
          </cell>
          <cell r="G223" t="str">
            <v>87</v>
          </cell>
          <cell r="H223" t="str">
            <v>3</v>
          </cell>
          <cell r="I223" t="str">
            <v>2</v>
          </cell>
          <cell r="J223">
            <v>248</v>
          </cell>
          <cell r="K223">
            <v>29</v>
          </cell>
          <cell r="L223">
            <v>25</v>
          </cell>
          <cell r="M223">
            <v>0</v>
          </cell>
          <cell r="N223">
            <v>29</v>
          </cell>
          <cell r="O223" t="str">
            <v>7dd8</v>
          </cell>
          <cell r="P223" t="str">
            <v>SMG</v>
          </cell>
          <cell r="Q223" t="str">
            <v>Blitz Whip</v>
          </cell>
          <cell r="R223" t="str">
            <v>O-Pa/Po</v>
          </cell>
          <cell r="X223" t="str">
            <v>Robot</v>
          </cell>
        </row>
        <row r="224">
          <cell r="A224" t="str">
            <v>Hawk</v>
          </cell>
          <cell r="B224" t="str">
            <v>Hawk</v>
          </cell>
          <cell r="C224" t="str">
            <v>1</v>
          </cell>
          <cell r="D224" t="str">
            <v>6</v>
          </cell>
          <cell r="E224">
            <v>6</v>
          </cell>
          <cell r="F224" t="str">
            <v>16</v>
          </cell>
          <cell r="G224" t="str">
            <v>87</v>
          </cell>
          <cell r="H224" t="str">
            <v>3</v>
          </cell>
          <cell r="I224" t="str">
            <v>3</v>
          </cell>
          <cell r="J224">
            <v>324</v>
          </cell>
          <cell r="K224">
            <v>38</v>
          </cell>
          <cell r="L224">
            <v>32</v>
          </cell>
          <cell r="M224">
            <v>0</v>
          </cell>
          <cell r="N224">
            <v>38</v>
          </cell>
          <cell r="O224" t="str">
            <v>7ddb</v>
          </cell>
          <cell r="P224" t="str">
            <v>Grenade</v>
          </cell>
          <cell r="Q224" t="str">
            <v>Fire Gun</v>
          </cell>
          <cell r="R224" t="str">
            <v>Warning</v>
          </cell>
          <cell r="S224" t="str">
            <v>O-Pa/Po</v>
          </cell>
          <cell r="X224" t="str">
            <v>Robot</v>
          </cell>
        </row>
        <row r="225">
          <cell r="A225" t="str">
            <v>Falcon</v>
          </cell>
          <cell r="B225" t="str">
            <v>Falcon</v>
          </cell>
          <cell r="C225" t="str">
            <v>3</v>
          </cell>
          <cell r="D225" t="str">
            <v>9</v>
          </cell>
          <cell r="E225">
            <v>9</v>
          </cell>
          <cell r="F225" t="str">
            <v>39</v>
          </cell>
          <cell r="G225" t="str">
            <v>87</v>
          </cell>
          <cell r="H225" t="str">
            <v>3</v>
          </cell>
          <cell r="I225" t="str">
            <v>5</v>
          </cell>
          <cell r="J225">
            <v>614</v>
          </cell>
          <cell r="K225">
            <v>68</v>
          </cell>
          <cell r="L225">
            <v>61</v>
          </cell>
          <cell r="M225">
            <v>0</v>
          </cell>
          <cell r="N225">
            <v>68</v>
          </cell>
          <cell r="O225" t="str">
            <v>7ddf</v>
          </cell>
          <cell r="P225" t="str">
            <v>Defense</v>
          </cell>
          <cell r="Q225" t="str">
            <v>D-Beam</v>
          </cell>
          <cell r="R225" t="str">
            <v>Vulcan</v>
          </cell>
          <cell r="S225" t="str">
            <v>Beam</v>
          </cell>
          <cell r="T225" t="str">
            <v>Warning</v>
          </cell>
          <cell r="U225" t="str">
            <v>O-Pa/Po</v>
          </cell>
          <cell r="X225" t="str">
            <v>Robot</v>
          </cell>
        </row>
        <row r="226">
          <cell r="A226" t="str">
            <v>Intrcept</v>
          </cell>
          <cell r="B226" t="str">
            <v>Intrcept</v>
          </cell>
          <cell r="C226" t="str">
            <v>3</v>
          </cell>
          <cell r="D226" t="str">
            <v>A</v>
          </cell>
          <cell r="E226">
            <v>10</v>
          </cell>
          <cell r="F226" t="str">
            <v>3A</v>
          </cell>
          <cell r="G226" t="str">
            <v>87</v>
          </cell>
          <cell r="H226" t="str">
            <v>3</v>
          </cell>
          <cell r="I226" t="str">
            <v>6</v>
          </cell>
          <cell r="J226">
            <v>731</v>
          </cell>
          <cell r="K226">
            <v>81</v>
          </cell>
          <cell r="L226">
            <v>73</v>
          </cell>
          <cell r="M226">
            <v>0</v>
          </cell>
          <cell r="N226">
            <v>81</v>
          </cell>
          <cell r="O226" t="str">
            <v>7de5</v>
          </cell>
          <cell r="P226" t="str">
            <v>D-Beam</v>
          </cell>
          <cell r="Q226" t="str">
            <v>Vulcan</v>
          </cell>
          <cell r="R226" t="str">
            <v>Beam</v>
          </cell>
          <cell r="S226" t="str">
            <v>Missile</v>
          </cell>
          <cell r="T226" t="str">
            <v>Warning</v>
          </cell>
          <cell r="U226" t="str">
            <v>Selfix</v>
          </cell>
          <cell r="V226" t="str">
            <v>O-Pa/Po</v>
          </cell>
          <cell r="X226" t="str">
            <v>Robot</v>
          </cell>
        </row>
        <row r="227">
          <cell r="A227" t="str">
            <v>Plasma</v>
          </cell>
          <cell r="B227" t="str">
            <v>Plasma</v>
          </cell>
          <cell r="C227" t="str">
            <v>0</v>
          </cell>
          <cell r="D227" t="str">
            <v>3</v>
          </cell>
          <cell r="E227">
            <v>3</v>
          </cell>
          <cell r="F227" t="str">
            <v>03</v>
          </cell>
          <cell r="G227" t="str">
            <v>06</v>
          </cell>
          <cell r="H227" t="str">
            <v>2</v>
          </cell>
          <cell r="I227" t="str">
            <v>1</v>
          </cell>
          <cell r="J227">
            <v>104</v>
          </cell>
          <cell r="K227">
            <v>15</v>
          </cell>
          <cell r="L227">
            <v>13</v>
          </cell>
          <cell r="M227">
            <v>13</v>
          </cell>
          <cell r="N227">
            <v>13</v>
          </cell>
          <cell r="O227" t="str">
            <v>7dec</v>
          </cell>
          <cell r="P227" t="str">
            <v>Dissolve</v>
          </cell>
          <cell r="Q227" t="str">
            <v>X-Ice</v>
          </cell>
          <cell r="X227" t="str">
            <v>Aberration</v>
          </cell>
        </row>
        <row r="228">
          <cell r="A228" t="str">
            <v>Phagocyt</v>
          </cell>
          <cell r="B228" t="str">
            <v>Phagocyt</v>
          </cell>
          <cell r="C228" t="str">
            <v>1</v>
          </cell>
          <cell r="D228" t="str">
            <v>4</v>
          </cell>
          <cell r="E228">
            <v>4</v>
          </cell>
          <cell r="F228" t="str">
            <v>14</v>
          </cell>
          <cell r="G228" t="str">
            <v>06</v>
          </cell>
          <cell r="H228" t="str">
            <v>2</v>
          </cell>
          <cell r="I228" t="str">
            <v>2</v>
          </cell>
          <cell r="J228">
            <v>156</v>
          </cell>
          <cell r="K228">
            <v>21</v>
          </cell>
          <cell r="L228">
            <v>18</v>
          </cell>
          <cell r="M228">
            <v>18</v>
          </cell>
          <cell r="N228">
            <v>18</v>
          </cell>
          <cell r="O228" t="str">
            <v>7dee</v>
          </cell>
          <cell r="P228" t="str">
            <v>Wind Up</v>
          </cell>
          <cell r="Q228" t="str">
            <v>Dissolve</v>
          </cell>
          <cell r="R228" t="str">
            <v>X-Ice</v>
          </cell>
          <cell r="X228" t="str">
            <v>Aberration</v>
          </cell>
        </row>
        <row r="229">
          <cell r="A229" t="str">
            <v>Corpuscl</v>
          </cell>
          <cell r="B229" t="str">
            <v>Corpuscl</v>
          </cell>
          <cell r="C229" t="str">
            <v>2</v>
          </cell>
          <cell r="D229" t="str">
            <v>6</v>
          </cell>
          <cell r="E229">
            <v>6</v>
          </cell>
          <cell r="F229" t="str">
            <v>26</v>
          </cell>
          <cell r="G229" t="str">
            <v>06</v>
          </cell>
          <cell r="H229" t="str">
            <v>2</v>
          </cell>
          <cell r="I229" t="str">
            <v>5</v>
          </cell>
          <cell r="J229">
            <v>290</v>
          </cell>
          <cell r="K229">
            <v>36</v>
          </cell>
          <cell r="L229">
            <v>32</v>
          </cell>
          <cell r="M229">
            <v>32</v>
          </cell>
          <cell r="N229">
            <v>32</v>
          </cell>
          <cell r="O229" t="str">
            <v>7df1</v>
          </cell>
          <cell r="P229" t="str">
            <v>Wind Up</v>
          </cell>
          <cell r="Q229" t="str">
            <v>Dissolve</v>
          </cell>
          <cell r="R229" t="str">
            <v>Multiply</v>
          </cell>
          <cell r="S229" t="str">
            <v>Recover</v>
          </cell>
          <cell r="T229" t="str">
            <v>O-Weapon</v>
          </cell>
          <cell r="U229" t="str">
            <v>X-Ice</v>
          </cell>
          <cell r="X229" t="str">
            <v>Aberration</v>
          </cell>
        </row>
        <row r="230">
          <cell r="A230" t="str">
            <v>Cancer</v>
          </cell>
          <cell r="B230" t="str">
            <v>Cancer</v>
          </cell>
          <cell r="C230" t="str">
            <v>2</v>
          </cell>
          <cell r="D230" t="str">
            <v>A</v>
          </cell>
          <cell r="E230">
            <v>10</v>
          </cell>
          <cell r="F230" t="str">
            <v>2A</v>
          </cell>
          <cell r="G230" t="str">
            <v>06</v>
          </cell>
          <cell r="H230" t="str">
            <v>2</v>
          </cell>
          <cell r="I230" t="str">
            <v>6</v>
          </cell>
          <cell r="J230">
            <v>681</v>
          </cell>
          <cell r="K230">
            <v>78</v>
          </cell>
          <cell r="L230">
            <v>73</v>
          </cell>
          <cell r="M230">
            <v>73</v>
          </cell>
          <cell r="N230">
            <v>73</v>
          </cell>
          <cell r="O230" t="str">
            <v>7df7</v>
          </cell>
          <cell r="P230" t="str">
            <v>Wind Up</v>
          </cell>
          <cell r="Q230" t="str">
            <v>Dissolve</v>
          </cell>
          <cell r="R230" t="str">
            <v>Surprise</v>
          </cell>
          <cell r="S230" t="str">
            <v>Warning</v>
          </cell>
          <cell r="T230" t="str">
            <v>Recover</v>
          </cell>
          <cell r="U230" t="str">
            <v>O-Weapon</v>
          </cell>
          <cell r="V230" t="str">
            <v>X-Ice</v>
          </cell>
          <cell r="X230" t="str">
            <v>Aberration</v>
          </cell>
        </row>
        <row r="231">
          <cell r="A231" t="str">
            <v>Grippe</v>
          </cell>
          <cell r="B231" t="str">
            <v>Grippe</v>
          </cell>
          <cell r="C231" t="str">
            <v>0</v>
          </cell>
          <cell r="D231" t="str">
            <v>3</v>
          </cell>
          <cell r="E231">
            <v>3</v>
          </cell>
          <cell r="F231" t="str">
            <v>03</v>
          </cell>
          <cell r="G231" t="str">
            <v>88</v>
          </cell>
          <cell r="H231" t="str">
            <v>2</v>
          </cell>
          <cell r="I231" t="str">
            <v>1</v>
          </cell>
          <cell r="J231">
            <v>71</v>
          </cell>
          <cell r="K231">
            <v>12</v>
          </cell>
          <cell r="L231">
            <v>15</v>
          </cell>
          <cell r="M231">
            <v>14</v>
          </cell>
          <cell r="N231">
            <v>16</v>
          </cell>
          <cell r="O231" t="str">
            <v>7dfe</v>
          </cell>
          <cell r="P231" t="str">
            <v>PoisonBurst</v>
          </cell>
          <cell r="Q231" t="str">
            <v>X-Fire</v>
          </cell>
          <cell r="X231" t="str">
            <v>Aberration</v>
          </cell>
        </row>
        <row r="232">
          <cell r="A232" t="str">
            <v>Virus</v>
          </cell>
          <cell r="B232" t="str">
            <v>Virus</v>
          </cell>
          <cell r="C232" t="str">
            <v>1</v>
          </cell>
          <cell r="D232" t="str">
            <v>4</v>
          </cell>
          <cell r="E232">
            <v>4</v>
          </cell>
          <cell r="F232" t="str">
            <v>14</v>
          </cell>
          <cell r="G232" t="str">
            <v>88</v>
          </cell>
          <cell r="H232" t="str">
            <v>2</v>
          </cell>
          <cell r="I232" t="str">
            <v>2</v>
          </cell>
          <cell r="J232">
            <v>117</v>
          </cell>
          <cell r="K232">
            <v>17</v>
          </cell>
          <cell r="L232">
            <v>21</v>
          </cell>
          <cell r="M232">
            <v>20</v>
          </cell>
          <cell r="N232">
            <v>22</v>
          </cell>
          <cell r="O232" t="str">
            <v>7e00</v>
          </cell>
          <cell r="P232" t="str">
            <v>PoisonBurst</v>
          </cell>
          <cell r="Q232" t="str">
            <v>Heat</v>
          </cell>
          <cell r="R232" t="str">
            <v>X-Fire</v>
          </cell>
          <cell r="X232" t="str">
            <v>Aberration</v>
          </cell>
        </row>
        <row r="233">
          <cell r="A233" t="str">
            <v>Pathogen</v>
          </cell>
          <cell r="B233" t="str">
            <v>Pathogen</v>
          </cell>
          <cell r="C233" t="str">
            <v>3</v>
          </cell>
          <cell r="D233" t="str">
            <v>7</v>
          </cell>
          <cell r="E233">
            <v>7</v>
          </cell>
          <cell r="F233" t="str">
            <v>37</v>
          </cell>
          <cell r="G233" t="str">
            <v>88</v>
          </cell>
          <cell r="H233" t="str">
            <v>2</v>
          </cell>
          <cell r="I233" t="str">
            <v>4</v>
          </cell>
          <cell r="J233">
            <v>316</v>
          </cell>
          <cell r="K233">
            <v>39</v>
          </cell>
          <cell r="L233">
            <v>45</v>
          </cell>
          <cell r="M233">
            <v>43</v>
          </cell>
          <cell r="N233">
            <v>47</v>
          </cell>
          <cell r="O233" t="str">
            <v>7e03</v>
          </cell>
          <cell r="P233" t="str">
            <v>Multiply</v>
          </cell>
          <cell r="Q233" t="str">
            <v>PoisonBurst</v>
          </cell>
          <cell r="R233" t="str">
            <v>Heat</v>
          </cell>
          <cell r="S233" t="str">
            <v>ParaSkin</v>
          </cell>
          <cell r="T233" t="str">
            <v>X-Fire</v>
          </cell>
          <cell r="X233" t="str">
            <v>Aberration</v>
          </cell>
        </row>
        <row r="234">
          <cell r="A234" t="str">
            <v>Plague</v>
          </cell>
          <cell r="B234" t="str">
            <v>Plague</v>
          </cell>
          <cell r="C234" t="str">
            <v>4</v>
          </cell>
          <cell r="D234" t="str">
            <v>A</v>
          </cell>
          <cell r="E234">
            <v>10</v>
          </cell>
          <cell r="F234" t="str">
            <v>4A</v>
          </cell>
          <cell r="G234" t="str">
            <v>88</v>
          </cell>
          <cell r="H234" t="str">
            <v>2</v>
          </cell>
          <cell r="I234" t="str">
            <v>6</v>
          </cell>
          <cell r="J234">
            <v>606</v>
          </cell>
          <cell r="K234">
            <v>71</v>
          </cell>
          <cell r="L234">
            <v>78</v>
          </cell>
          <cell r="M234">
            <v>76</v>
          </cell>
          <cell r="N234">
            <v>81</v>
          </cell>
          <cell r="O234" t="str">
            <v>7e08</v>
          </cell>
          <cell r="P234" t="str">
            <v>PoisonBurst</v>
          </cell>
          <cell r="Q234" t="str">
            <v>Heat</v>
          </cell>
          <cell r="R234" t="str">
            <v>ComVirus</v>
          </cell>
          <cell r="S234" t="str">
            <v>Surprise</v>
          </cell>
          <cell r="T234" t="str">
            <v>Multiply</v>
          </cell>
          <cell r="U234" t="str">
            <v>DNA</v>
          </cell>
          <cell r="V234" t="str">
            <v>X-Fire</v>
          </cell>
          <cell r="X234" t="str">
            <v>Aberration</v>
          </cell>
        </row>
        <row r="235">
          <cell r="A235" t="str">
            <v>Teacher</v>
          </cell>
          <cell r="B235" t="str">
            <v>Teacher</v>
          </cell>
          <cell r="C235" t="str">
            <v>4</v>
          </cell>
          <cell r="D235" t="str">
            <v>0</v>
          </cell>
          <cell r="E235">
            <v>0</v>
          </cell>
          <cell r="F235">
            <v>40</v>
          </cell>
          <cell r="G235" t="str">
            <v>00</v>
          </cell>
          <cell r="H235" t="str">
            <v>2</v>
          </cell>
          <cell r="I235" t="str">
            <v>7</v>
          </cell>
          <cell r="J235">
            <v>185</v>
          </cell>
          <cell r="K235">
            <v>18</v>
          </cell>
          <cell r="L235">
            <v>15</v>
          </cell>
          <cell r="M235">
            <v>19</v>
          </cell>
          <cell r="N235">
            <v>18</v>
          </cell>
          <cell r="O235" t="str">
            <v>7e0f</v>
          </cell>
          <cell r="P235" t="str">
            <v>Dissolve</v>
          </cell>
          <cell r="Q235" t="str">
            <v>Fire</v>
          </cell>
          <cell r="R235" t="str">
            <v>Cure</v>
          </cell>
          <cell r="X235" t="str">
            <v>Human</v>
          </cell>
        </row>
        <row r="236">
          <cell r="A236" t="str">
            <v>Cleric</v>
          </cell>
          <cell r="B236" t="str">
            <v>Cleric</v>
          </cell>
          <cell r="C236" t="str">
            <v>6</v>
          </cell>
          <cell r="D236" t="str">
            <v>0</v>
          </cell>
          <cell r="E236">
            <v>0</v>
          </cell>
          <cell r="F236" t="str">
            <v>60</v>
          </cell>
          <cell r="G236" t="str">
            <v>00</v>
          </cell>
          <cell r="H236" t="str">
            <v>0</v>
          </cell>
          <cell r="I236" t="str">
            <v>7</v>
          </cell>
          <cell r="J236">
            <v>80</v>
          </cell>
          <cell r="K236">
            <v>8</v>
          </cell>
          <cell r="L236">
            <v>13</v>
          </cell>
          <cell r="M236">
            <v>14</v>
          </cell>
          <cell r="N236">
            <v>11</v>
          </cell>
          <cell r="O236" t="str">
            <v>7e17</v>
          </cell>
          <cell r="P236" t="str">
            <v>Hammer</v>
          </cell>
          <cell r="Q236" t="str">
            <v>Bronze Shield</v>
          </cell>
          <cell r="R236" t="str">
            <v>Thunder Book</v>
          </cell>
          <cell r="S236" t="str">
            <v>Cure Book</v>
          </cell>
          <cell r="T236" t="str">
            <v>Bronze Armor</v>
          </cell>
          <cell r="U236" t="str">
            <v>Bronze Helm</v>
          </cell>
          <cell r="V236" t="str">
            <v>Bronze Glove</v>
          </cell>
          <cell r="X236" t="str">
            <v>Human</v>
          </cell>
        </row>
        <row r="237">
          <cell r="A237" t="str">
            <v>Unknown</v>
          </cell>
          <cell r="B237" t="str">
            <v>Unknown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0</v>
          </cell>
          <cell r="I237" t="str">
            <v>7</v>
          </cell>
          <cell r="J237">
            <v>321</v>
          </cell>
          <cell r="K237">
            <v>35</v>
          </cell>
          <cell r="L237">
            <v>29</v>
          </cell>
          <cell r="M237">
            <v>35</v>
          </cell>
          <cell r="N237">
            <v>11</v>
          </cell>
          <cell r="O237" t="str">
            <v>7e27</v>
          </cell>
          <cell r="P237" t="str">
            <v>Hammer</v>
          </cell>
          <cell r="Q237" t="str">
            <v>Bronze Shield</v>
          </cell>
          <cell r="R237" t="str">
            <v>Bronze Armor</v>
          </cell>
          <cell r="S237" t="str">
            <v>Bronze Helm</v>
          </cell>
          <cell r="T237" t="str">
            <v>Bronze Glove</v>
          </cell>
          <cell r="X237" t="str">
            <v>Human</v>
          </cell>
        </row>
        <row r="238">
          <cell r="A238" t="str">
            <v>Girl1</v>
          </cell>
          <cell r="B238" t="str">
            <v>Girl1</v>
          </cell>
          <cell r="C238" t="str">
            <v>0</v>
          </cell>
          <cell r="D238" t="str">
            <v>0</v>
          </cell>
          <cell r="E238">
            <v>0</v>
          </cell>
          <cell r="F238" t="str">
            <v>00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100</v>
          </cell>
          <cell r="K238">
            <v>16</v>
          </cell>
          <cell r="L238">
            <v>25</v>
          </cell>
          <cell r="M238">
            <v>21</v>
          </cell>
          <cell r="N238">
            <v>0</v>
          </cell>
          <cell r="O238" t="str">
            <v>7e2f</v>
          </cell>
          <cell r="P238" t="str">
            <v>Strike</v>
          </cell>
          <cell r="Q238" t="str">
            <v>JumpKick</v>
          </cell>
          <cell r="X238" t="str">
            <v>Human</v>
          </cell>
        </row>
        <row r="239">
          <cell r="A239" t="str">
            <v>Guardian</v>
          </cell>
          <cell r="B239" t="str">
            <v>Guardian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35</v>
          </cell>
          <cell r="M239">
            <v>29</v>
          </cell>
          <cell r="N239">
            <v>15</v>
          </cell>
          <cell r="O239" t="str">
            <v>7e37</v>
          </cell>
          <cell r="P239" t="str">
            <v>Gold Sword</v>
          </cell>
          <cell r="Q239" t="str">
            <v>SMG</v>
          </cell>
          <cell r="R239" t="str">
            <v>Blitz Whip</v>
          </cell>
          <cell r="S239" t="str">
            <v>Army Armor</v>
          </cell>
          <cell r="T239" t="str">
            <v>Cure Book</v>
          </cell>
          <cell r="X239" t="str">
            <v>Human</v>
          </cell>
        </row>
        <row r="240">
          <cell r="A240" t="str">
            <v>Girl2</v>
          </cell>
          <cell r="B240" t="str">
            <v>Girl2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247</v>
          </cell>
          <cell r="K240">
            <v>23</v>
          </cell>
          <cell r="L240">
            <v>33</v>
          </cell>
          <cell r="M240">
            <v>28</v>
          </cell>
          <cell r="N240">
            <v>21</v>
          </cell>
          <cell r="O240" t="str">
            <v>7e3f</v>
          </cell>
          <cell r="P240" t="str">
            <v>HeadButt</v>
          </cell>
          <cell r="Q240" t="str">
            <v>FlyingKick</v>
          </cell>
          <cell r="X240" t="str">
            <v>Human</v>
          </cell>
        </row>
        <row r="241">
          <cell r="A241" t="str">
            <v>Detectiv</v>
          </cell>
          <cell r="B241" t="str">
            <v>Detectiv</v>
          </cell>
          <cell r="C241" t="str">
            <v>3</v>
          </cell>
          <cell r="D241" t="str">
            <v>0</v>
          </cell>
          <cell r="E241">
            <v>0</v>
          </cell>
          <cell r="F241" t="str">
            <v>30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473</v>
          </cell>
          <cell r="K241">
            <v>46</v>
          </cell>
          <cell r="L241">
            <v>62</v>
          </cell>
          <cell r="M241">
            <v>39</v>
          </cell>
          <cell r="N241">
            <v>49</v>
          </cell>
          <cell r="O241" t="str">
            <v>7e47</v>
          </cell>
          <cell r="P241" t="str">
            <v>Sypha</v>
          </cell>
          <cell r="Q241" t="str">
            <v>Coin</v>
          </cell>
          <cell r="R241" t="str">
            <v>Kimono Armor</v>
          </cell>
          <cell r="S241" t="str">
            <v>Temptat</v>
          </cell>
          <cell r="X241" t="str">
            <v>Human</v>
          </cell>
        </row>
        <row r="242">
          <cell r="A242" t="str">
            <v>Samurai</v>
          </cell>
          <cell r="B242" t="str">
            <v>Samurai</v>
          </cell>
          <cell r="C242" t="str">
            <v>4</v>
          </cell>
          <cell r="D242" t="str">
            <v>0</v>
          </cell>
          <cell r="E242">
            <v>0</v>
          </cell>
          <cell r="F242" t="str">
            <v>40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551</v>
          </cell>
          <cell r="K242">
            <v>63</v>
          </cell>
          <cell r="L242">
            <v>60</v>
          </cell>
          <cell r="M242">
            <v>45</v>
          </cell>
          <cell r="N242">
            <v>56</v>
          </cell>
          <cell r="O242" t="str">
            <v>7e4f</v>
          </cell>
          <cell r="P242" t="str">
            <v>Muramas Sword</v>
          </cell>
          <cell r="Q242" t="str">
            <v>Katana</v>
          </cell>
          <cell r="R242" t="str">
            <v>Ninja Glove</v>
          </cell>
          <cell r="S242" t="str">
            <v>Kimono Armor</v>
          </cell>
          <cell r="T242" t="str">
            <v>Samurai Bow</v>
          </cell>
          <cell r="U242" t="str">
            <v>Cure Book</v>
          </cell>
          <cell r="X242" t="str">
            <v>Human</v>
          </cell>
        </row>
        <row r="243">
          <cell r="A243" t="str">
            <v>Guardian</v>
          </cell>
          <cell r="B243" t="str">
            <v>Guardian</v>
          </cell>
          <cell r="C243" t="str">
            <v>4</v>
          </cell>
          <cell r="D243" t="str">
            <v>0</v>
          </cell>
          <cell r="E243">
            <v>0</v>
          </cell>
          <cell r="F243" t="str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700</v>
          </cell>
          <cell r="K243">
            <v>70</v>
          </cell>
          <cell r="L243">
            <v>80</v>
          </cell>
          <cell r="M243">
            <v>60</v>
          </cell>
          <cell r="N243">
            <v>70</v>
          </cell>
          <cell r="O243" t="str">
            <v>7e57</v>
          </cell>
          <cell r="P243" t="str">
            <v>Defend Sword</v>
          </cell>
          <cell r="Q243" t="str">
            <v>Vulcan Cannon</v>
          </cell>
          <cell r="R243" t="str">
            <v>Magnum</v>
          </cell>
          <cell r="S243" t="str">
            <v>Battle Armor</v>
          </cell>
          <cell r="T243" t="str">
            <v>Heal Staff</v>
          </cell>
          <cell r="U243" t="str">
            <v>Cure Book</v>
          </cell>
          <cell r="X243" t="str">
            <v>Human</v>
          </cell>
        </row>
        <row r="244">
          <cell r="A244" t="str">
            <v>Ancient</v>
          </cell>
          <cell r="B244" t="str">
            <v>Ancient</v>
          </cell>
          <cell r="C244" t="str">
            <v>5</v>
          </cell>
          <cell r="D244" t="str">
            <v>0</v>
          </cell>
          <cell r="E244">
            <v>0</v>
          </cell>
          <cell r="F244" t="str">
            <v>50</v>
          </cell>
          <cell r="G244" t="str">
            <v>00</v>
          </cell>
          <cell r="H244" t="str">
            <v>2</v>
          </cell>
          <cell r="I244" t="str">
            <v>7</v>
          </cell>
          <cell r="J244">
            <v>999</v>
          </cell>
          <cell r="K244">
            <v>99</v>
          </cell>
          <cell r="L244">
            <v>99</v>
          </cell>
          <cell r="M244">
            <v>99</v>
          </cell>
          <cell r="N244">
            <v>99</v>
          </cell>
          <cell r="O244" t="str">
            <v>7e5f</v>
          </cell>
          <cell r="P244" t="str">
            <v>Masmune Magi</v>
          </cell>
          <cell r="Q244" t="str">
            <v>Aegis Magi</v>
          </cell>
          <cell r="R244" t="str">
            <v>Heart Magi</v>
          </cell>
          <cell r="S244" t="str">
            <v>TrueEye</v>
          </cell>
          <cell r="T244" t="str">
            <v>Pegasus Magi</v>
          </cell>
          <cell r="U244" t="str">
            <v>Flare</v>
          </cell>
          <cell r="V244" t="str">
            <v>O-All</v>
          </cell>
          <cell r="W244" t="str">
            <v>Recover</v>
          </cell>
          <cell r="X244" t="str">
            <v>God</v>
          </cell>
        </row>
        <row r="245">
          <cell r="A245" t="str">
            <v>Haniwa</v>
          </cell>
          <cell r="B245" t="str">
            <v>Haniwa</v>
          </cell>
          <cell r="C245" t="str">
            <v>3</v>
          </cell>
          <cell r="D245" t="str">
            <v>c</v>
          </cell>
          <cell r="E245">
            <v>12</v>
          </cell>
          <cell r="F245" t="str">
            <v>3c</v>
          </cell>
          <cell r="G245" t="str">
            <v>8b</v>
          </cell>
          <cell r="H245" t="str">
            <v>2</v>
          </cell>
          <cell r="I245" t="str">
            <v>5</v>
          </cell>
          <cell r="J245">
            <v>10000</v>
          </cell>
          <cell r="K245">
            <v>90</v>
          </cell>
          <cell r="L245">
            <v>90</v>
          </cell>
          <cell r="M245">
            <v>90</v>
          </cell>
          <cell r="N245">
            <v>90</v>
          </cell>
          <cell r="O245" t="str">
            <v>7e67</v>
          </cell>
          <cell r="P245" t="str">
            <v>Bash</v>
          </cell>
          <cell r="Q245" t="str">
            <v>Quake</v>
          </cell>
          <cell r="R245" t="str">
            <v>Flare</v>
          </cell>
          <cell r="S245" t="str">
            <v>Seven Sword</v>
          </cell>
          <cell r="T245" t="str">
            <v>O-All</v>
          </cell>
          <cell r="U245" t="str">
            <v>Recover</v>
          </cell>
          <cell r="X245" t="str">
            <v>Spirit</v>
          </cell>
        </row>
        <row r="246">
          <cell r="A246" t="str">
            <v>Dolphin</v>
          </cell>
          <cell r="B246" t="str">
            <v>Dolphin</v>
          </cell>
          <cell r="C246" t="str">
            <v>4</v>
          </cell>
          <cell r="D246" t="str">
            <v>9</v>
          </cell>
          <cell r="E246">
            <v>9</v>
          </cell>
          <cell r="F246" t="str">
            <v>49</v>
          </cell>
          <cell r="G246" t="str">
            <v>8a</v>
          </cell>
          <cell r="H246" t="str">
            <v>2</v>
          </cell>
          <cell r="I246" t="str">
            <v>7</v>
          </cell>
          <cell r="J246">
            <v>5000</v>
          </cell>
          <cell r="K246">
            <v>60</v>
          </cell>
          <cell r="L246">
            <v>60</v>
          </cell>
          <cell r="M246">
            <v>60</v>
          </cell>
          <cell r="N246">
            <v>60</v>
          </cell>
          <cell r="O246" t="str">
            <v>7e6d</v>
          </cell>
          <cell r="P246" t="str">
            <v>Electroshock</v>
          </cell>
          <cell r="Q246" t="str">
            <v>Fin</v>
          </cell>
          <cell r="R246" t="str">
            <v>Whirl</v>
          </cell>
          <cell r="S246" t="str">
            <v>Tusk</v>
          </cell>
          <cell r="T246" t="str">
            <v>Thunder</v>
          </cell>
          <cell r="U246" t="str">
            <v>Tail</v>
          </cell>
          <cell r="V246" t="str">
            <v>O-Quake</v>
          </cell>
          <cell r="W246" t="str">
            <v>O-Fire</v>
          </cell>
          <cell r="X246" t="str">
            <v>Aquatic</v>
          </cell>
        </row>
        <row r="247">
          <cell r="A247" t="str">
            <v>OdinCrow</v>
          </cell>
          <cell r="B247" t="str">
            <v>OdinCrow</v>
          </cell>
          <cell r="C247" t="str">
            <v>2</v>
          </cell>
          <cell r="D247" t="str">
            <v>7</v>
          </cell>
          <cell r="E247">
            <v>7</v>
          </cell>
          <cell r="F247" t="str">
            <v>27</v>
          </cell>
          <cell r="G247" t="str">
            <v>16</v>
          </cell>
          <cell r="H247" t="str">
            <v>2</v>
          </cell>
          <cell r="I247" t="str">
            <v>6</v>
          </cell>
          <cell r="J247">
            <v>669</v>
          </cell>
          <cell r="K247">
            <v>75</v>
          </cell>
          <cell r="L247">
            <v>85</v>
          </cell>
          <cell r="M247">
            <v>79</v>
          </cell>
          <cell r="N247">
            <v>69</v>
          </cell>
          <cell r="O247" t="str">
            <v>7bdf</v>
          </cell>
          <cell r="P247" t="str">
            <v>Nail</v>
          </cell>
          <cell r="Q247" t="str">
            <v>Beak</v>
          </cell>
          <cell r="R247" t="str">
            <v>Blind</v>
          </cell>
          <cell r="S247" t="str">
            <v>Tornado</v>
          </cell>
          <cell r="T247" t="str">
            <v>Surprise</v>
          </cell>
          <cell r="U247" t="str">
            <v>Warning</v>
          </cell>
          <cell r="V247" t="str">
            <v>O-Quake</v>
          </cell>
          <cell r="X247" t="str">
            <v>Flyer</v>
          </cell>
        </row>
        <row r="248">
          <cell r="A248" t="str">
            <v>WarMach</v>
          </cell>
          <cell r="B248" t="str">
            <v>WarMach</v>
          </cell>
          <cell r="C248" t="str">
            <v>3</v>
          </cell>
          <cell r="D248" t="str">
            <v>e</v>
          </cell>
          <cell r="E248">
            <v>14</v>
          </cell>
          <cell r="F248" t="str">
            <v>3e</v>
          </cell>
          <cell r="G248" t="str">
            <v>51</v>
          </cell>
          <cell r="H248" t="str">
            <v>3</v>
          </cell>
          <cell r="I248" t="str">
            <v>4</v>
          </cell>
          <cell r="J248">
            <v>10000</v>
          </cell>
          <cell r="K248">
            <v>120</v>
          </cell>
          <cell r="L248">
            <v>60</v>
          </cell>
          <cell r="M248">
            <v>0</v>
          </cell>
          <cell r="N248">
            <v>90</v>
          </cell>
          <cell r="O248" t="str">
            <v>7e7a</v>
          </cell>
          <cell r="P248" t="str">
            <v>Missile</v>
          </cell>
          <cell r="Q248" t="str">
            <v>NukeBomb</v>
          </cell>
          <cell r="R248" t="str">
            <v>Bash</v>
          </cell>
          <cell r="S248" t="str">
            <v>ParaNail</v>
          </cell>
          <cell r="T248" t="str">
            <v>O-Pa/Po</v>
          </cell>
          <cell r="X248" t="str">
            <v>Robot</v>
          </cell>
        </row>
        <row r="249">
          <cell r="A249" t="str">
            <v>Human M</v>
          </cell>
          <cell r="B249" t="str">
            <v>Human M</v>
          </cell>
          <cell r="C249" t="str">
            <v>1</v>
          </cell>
          <cell r="D249" t="str">
            <v>0</v>
          </cell>
          <cell r="E249">
            <v>0</v>
          </cell>
          <cell r="F249">
            <v>10</v>
          </cell>
          <cell r="G249" t="str">
            <v>00</v>
          </cell>
          <cell r="H249" t="str">
            <v>0</v>
          </cell>
          <cell r="I249" t="str">
            <v>1</v>
          </cell>
          <cell r="J249">
            <v>59</v>
          </cell>
          <cell r="K249">
            <v>6</v>
          </cell>
          <cell r="L249">
            <v>5</v>
          </cell>
          <cell r="M249">
            <v>3</v>
          </cell>
          <cell r="N249">
            <v>3</v>
          </cell>
          <cell r="O249" t="str">
            <v>7e7f</v>
          </cell>
          <cell r="P249" t="str">
            <v>Long Sword</v>
          </cell>
          <cell r="Q249" t="str">
            <v>Bronze Armor</v>
          </cell>
          <cell r="X249" t="str">
            <v>Human</v>
          </cell>
        </row>
        <row r="250">
          <cell r="A250" t="str">
            <v>Human F</v>
          </cell>
          <cell r="B250" t="str">
            <v>Human F</v>
          </cell>
          <cell r="C250" t="str">
            <v>1</v>
          </cell>
          <cell r="D250" t="str">
            <v>0</v>
          </cell>
          <cell r="E250">
            <v>0</v>
          </cell>
          <cell r="F250">
            <v>10</v>
          </cell>
          <cell r="G250" t="str">
            <v>00</v>
          </cell>
          <cell r="H250" t="str">
            <v>0</v>
          </cell>
          <cell r="I250" t="str">
            <v>1</v>
          </cell>
          <cell r="J250">
            <v>52</v>
          </cell>
          <cell r="K250">
            <v>5</v>
          </cell>
          <cell r="L250">
            <v>6</v>
          </cell>
          <cell r="M250">
            <v>4</v>
          </cell>
          <cell r="N250">
            <v>3</v>
          </cell>
          <cell r="O250" t="str">
            <v>7e81</v>
          </cell>
          <cell r="P250" t="str">
            <v>Rapier Sword</v>
          </cell>
          <cell r="Q250" t="str">
            <v>Bronze Armor</v>
          </cell>
          <cell r="X250" t="str">
            <v>Human</v>
          </cell>
        </row>
        <row r="251">
          <cell r="A251" t="str">
            <v>Mutant M</v>
          </cell>
          <cell r="B251" t="str">
            <v>Mutant M</v>
          </cell>
          <cell r="C251" t="str">
            <v>2</v>
          </cell>
          <cell r="D251" t="str">
            <v>0</v>
          </cell>
          <cell r="E251">
            <v>0</v>
          </cell>
          <cell r="F251">
            <v>20</v>
          </cell>
          <cell r="G251" t="str">
            <v>00</v>
          </cell>
          <cell r="H251" t="str">
            <v>1</v>
          </cell>
          <cell r="I251" t="str">
            <v>2</v>
          </cell>
          <cell r="J251">
            <v>52</v>
          </cell>
          <cell r="K251">
            <v>5</v>
          </cell>
          <cell r="L251">
            <v>4</v>
          </cell>
          <cell r="M251">
            <v>6</v>
          </cell>
          <cell r="N251">
            <v>3</v>
          </cell>
          <cell r="O251" t="str">
            <v>7e83</v>
          </cell>
          <cell r="P251" t="str">
            <v>Hammer</v>
          </cell>
          <cell r="Q251" t="str">
            <v>Blizzard</v>
          </cell>
          <cell r="R251" t="str">
            <v>Bronze Armor</v>
          </cell>
          <cell r="X251" t="str">
            <v>Mutant</v>
          </cell>
        </row>
        <row r="252">
          <cell r="A252" t="str">
            <v>Mutant F</v>
          </cell>
          <cell r="B252" t="str">
            <v>Mutant F</v>
          </cell>
          <cell r="C252" t="str">
            <v>2</v>
          </cell>
          <cell r="D252" t="str">
            <v>0</v>
          </cell>
          <cell r="E252">
            <v>0</v>
          </cell>
          <cell r="F252" t="str">
            <v>20</v>
          </cell>
          <cell r="G252" t="str">
            <v>00</v>
          </cell>
          <cell r="H252" t="str">
            <v>1</v>
          </cell>
          <cell r="I252" t="str">
            <v>2</v>
          </cell>
          <cell r="J252">
            <v>45</v>
          </cell>
          <cell r="K252">
            <v>4</v>
          </cell>
          <cell r="L252">
            <v>5</v>
          </cell>
          <cell r="M252">
            <v>6</v>
          </cell>
          <cell r="N252">
            <v>3</v>
          </cell>
          <cell r="O252" t="str">
            <v>7e86</v>
          </cell>
          <cell r="P252" t="str">
            <v>Bow</v>
          </cell>
          <cell r="Q252" t="str">
            <v>Flame</v>
          </cell>
          <cell r="R252" t="str">
            <v>Bronze Armor</v>
          </cell>
          <cell r="X252" t="str">
            <v>Mutant</v>
          </cell>
        </row>
        <row r="253">
          <cell r="A253" t="str">
            <v>Robot</v>
          </cell>
          <cell r="B253" t="str">
            <v>Robot</v>
          </cell>
          <cell r="C253" t="str">
            <v>1</v>
          </cell>
          <cell r="D253" t="str">
            <v>0</v>
          </cell>
          <cell r="E253">
            <v>0</v>
          </cell>
          <cell r="F253" t="str">
            <v>10</v>
          </cell>
          <cell r="G253" t="str">
            <v>00</v>
          </cell>
          <cell r="H253" t="str">
            <v>3</v>
          </cell>
          <cell r="I253" t="str">
            <v>1</v>
          </cell>
          <cell r="J253">
            <v>60</v>
          </cell>
          <cell r="K253">
            <v>6</v>
          </cell>
          <cell r="L253">
            <v>5</v>
          </cell>
          <cell r="M253">
            <v>0</v>
          </cell>
          <cell r="N253">
            <v>6</v>
          </cell>
          <cell r="O253" t="str">
            <v>7e89</v>
          </cell>
          <cell r="P253" t="str">
            <v>Colt Gun</v>
          </cell>
          <cell r="Q253" t="str">
            <v>O-Pa/Po</v>
          </cell>
          <cell r="X253" t="str">
            <v>Robot</v>
          </cell>
        </row>
        <row r="254">
          <cell r="A254" t="str">
            <v>Ooze</v>
          </cell>
          <cell r="B254" t="str">
            <v>Ooze</v>
          </cell>
          <cell r="C254">
            <v>0</v>
          </cell>
          <cell r="D254" t="str">
            <v>1</v>
          </cell>
          <cell r="E254">
            <v>1</v>
          </cell>
          <cell r="F254" t="str">
            <v>11</v>
          </cell>
          <cell r="G254" t="str">
            <v>00</v>
          </cell>
          <cell r="H254" t="str">
            <v>2</v>
          </cell>
          <cell r="I254" t="str">
            <v>1</v>
          </cell>
          <cell r="J254">
            <v>52</v>
          </cell>
          <cell r="K254">
            <v>5</v>
          </cell>
          <cell r="L254">
            <v>2</v>
          </cell>
          <cell r="M254">
            <v>6</v>
          </cell>
          <cell r="N254">
            <v>5</v>
          </cell>
          <cell r="O254" t="str">
            <v>7e8b</v>
          </cell>
          <cell r="P254" t="str">
            <v>Dissolve</v>
          </cell>
          <cell r="Q254" t="str">
            <v>P-Skin</v>
          </cell>
          <cell r="R254" t="str">
            <v>X-Fire</v>
          </cell>
          <cell r="X254" t="str">
            <v>Aberration</v>
          </cell>
        </row>
        <row r="255">
          <cell r="A255" t="str">
            <v>Hatchling</v>
          </cell>
          <cell r="B255" t="str">
            <v>Hatchling</v>
          </cell>
          <cell r="C255" t="str">
            <v>1</v>
          </cell>
          <cell r="D255" t="str">
            <v>1</v>
          </cell>
          <cell r="E255">
            <v>1</v>
          </cell>
          <cell r="F255" t="str">
            <v>11</v>
          </cell>
          <cell r="G255" t="str">
            <v>00</v>
          </cell>
          <cell r="H255" t="str">
            <v>2</v>
          </cell>
          <cell r="I255" t="str">
            <v>2</v>
          </cell>
          <cell r="J255">
            <v>45</v>
          </cell>
          <cell r="K255">
            <v>5</v>
          </cell>
          <cell r="L255">
            <v>2</v>
          </cell>
          <cell r="M255">
            <v>6</v>
          </cell>
          <cell r="N255">
            <v>5</v>
          </cell>
          <cell r="O255" t="str">
            <v>7e8d</v>
          </cell>
          <cell r="P255" t="str">
            <v>Nail</v>
          </cell>
          <cell r="Q255" t="str">
            <v>Flame</v>
          </cell>
          <cell r="R255" t="str">
            <v>O-Quake</v>
          </cell>
          <cell r="X255" t="str">
            <v>Great Reptile</v>
          </cell>
        </row>
        <row r="256">
          <cell r="A256" t="str">
            <v>Imp</v>
          </cell>
          <cell r="B256" t="str">
            <v>Imp</v>
          </cell>
          <cell r="C256" t="str">
            <v>1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45</v>
          </cell>
          <cell r="K256">
            <v>5</v>
          </cell>
          <cell r="L256">
            <v>5</v>
          </cell>
          <cell r="M256">
            <v>6</v>
          </cell>
          <cell r="N256">
            <v>5</v>
          </cell>
          <cell r="O256" t="str">
            <v>7e90</v>
          </cell>
          <cell r="P256" t="str">
            <v>Nail</v>
          </cell>
          <cell r="Q256" t="str">
            <v>Sleep</v>
          </cell>
          <cell r="R256" t="str">
            <v>Fire</v>
          </cell>
          <cell r="X256" t="str">
            <v>Spirit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80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</row>
        <row r="23">
          <cell r="A23" t="str">
            <v>EyeDrop</v>
          </cell>
          <cell r="B23" t="str">
            <v>EyeDrop</v>
          </cell>
          <cell r="C23" t="str">
            <v>EyeDrop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>Curse Potion</v>
          </cell>
          <cell r="B25" t="str">
            <v>Curse Potion</v>
          </cell>
          <cell r="C25" t="str">
            <v>Curse</v>
          </cell>
          <cell r="D25" t="str">
            <v>Potion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70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60</v>
          </cell>
          <cell r="H67">
            <v>6800</v>
          </cell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>Parasuit</v>
          </cell>
          <cell r="B75" t="str">
            <v>Parasuit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50</v>
          </cell>
          <cell r="H117">
            <v>36000</v>
          </cell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30</v>
          </cell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Tie Up</v>
          </cell>
          <cell r="B174" t="str">
            <v>Tie Up</v>
          </cell>
          <cell r="C174" t="str">
            <v>Tie Up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Toxin</v>
          </cell>
          <cell r="B177" t="str">
            <v>Toxin</v>
          </cell>
          <cell r="C177" t="str">
            <v>Toxin</v>
          </cell>
          <cell r="G177">
            <v>20</v>
          </cell>
          <cell r="L177">
            <v>9</v>
          </cell>
          <cell r="M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E178">
            <v>177</v>
          </cell>
          <cell r="F178" t="str">
            <v>B1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E179">
            <v>178</v>
          </cell>
          <cell r="F179" t="str">
            <v>B2</v>
          </cell>
          <cell r="G179">
            <v>30</v>
          </cell>
          <cell r="L179">
            <v>9</v>
          </cell>
          <cell r="M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E180">
            <v>179</v>
          </cell>
          <cell r="F180" t="str">
            <v>B3</v>
          </cell>
          <cell r="G180">
            <v>20</v>
          </cell>
          <cell r="L180">
            <v>9</v>
          </cell>
          <cell r="M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E181">
            <v>180</v>
          </cell>
          <cell r="F181" t="str">
            <v>B4</v>
          </cell>
          <cell r="G181">
            <v>30</v>
          </cell>
          <cell r="L181">
            <v>9</v>
          </cell>
          <cell r="M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E182">
            <v>181</v>
          </cell>
          <cell r="F182" t="str">
            <v>B5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E183">
            <v>182</v>
          </cell>
          <cell r="F183" t="str">
            <v>B6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E184">
            <v>183</v>
          </cell>
          <cell r="F184" t="str">
            <v>B7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E185">
            <v>184</v>
          </cell>
          <cell r="F185" t="str">
            <v>B8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E186">
            <v>185</v>
          </cell>
          <cell r="F186" t="str">
            <v>B9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E187">
            <v>186</v>
          </cell>
          <cell r="F187" t="str">
            <v>BA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E188">
            <v>187</v>
          </cell>
          <cell r="F188" t="str">
            <v>BB</v>
          </cell>
          <cell r="G188">
            <v>15</v>
          </cell>
          <cell r="L188">
            <v>9</v>
          </cell>
          <cell r="M188" t="str">
            <v xml:space="preserve"> Mana +0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E189">
            <v>188</v>
          </cell>
          <cell r="F189" t="str">
            <v>BC</v>
          </cell>
          <cell r="G189">
            <v>15</v>
          </cell>
          <cell r="L189">
            <v>9</v>
          </cell>
          <cell r="M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E190">
            <v>189</v>
          </cell>
          <cell r="F190" t="str">
            <v>BD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E191">
            <v>190</v>
          </cell>
          <cell r="F191" t="str">
            <v>BE</v>
          </cell>
          <cell r="G191">
            <v>15</v>
          </cell>
          <cell r="L191">
            <v>9</v>
          </cell>
          <cell r="M191" t="str">
            <v xml:space="preserve"> Mana +0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E192">
            <v>191</v>
          </cell>
          <cell r="F192" t="str">
            <v>BF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E193">
            <v>192</v>
          </cell>
          <cell r="F193" t="str">
            <v>C0</v>
          </cell>
          <cell r="G193">
            <v>15</v>
          </cell>
          <cell r="L193">
            <v>9</v>
          </cell>
          <cell r="M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E194">
            <v>193</v>
          </cell>
          <cell r="F194" t="str">
            <v>C1</v>
          </cell>
          <cell r="G194">
            <v>10</v>
          </cell>
          <cell r="L194">
            <v>9</v>
          </cell>
          <cell r="M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E195">
            <v>194</v>
          </cell>
          <cell r="F195" t="str">
            <v>C2</v>
          </cell>
          <cell r="G195">
            <v>15</v>
          </cell>
          <cell r="L195">
            <v>9</v>
          </cell>
          <cell r="M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E196">
            <v>195</v>
          </cell>
          <cell r="F196" t="str">
            <v>C3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E197">
            <v>196</v>
          </cell>
          <cell r="F197" t="str">
            <v>C4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E198">
            <v>197</v>
          </cell>
          <cell r="F198" t="str">
            <v>C5</v>
          </cell>
          <cell r="G198">
            <v>15</v>
          </cell>
          <cell r="L198">
            <v>9</v>
          </cell>
          <cell r="M198" t="str">
            <v xml:space="preserve"> Mana +0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E199">
            <v>198</v>
          </cell>
          <cell r="F199" t="str">
            <v>C6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E200">
            <v>199</v>
          </cell>
          <cell r="F200" t="str">
            <v>C7</v>
          </cell>
          <cell r="G200">
            <v>15</v>
          </cell>
          <cell r="L200">
            <v>9</v>
          </cell>
          <cell r="M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E201">
            <v>200</v>
          </cell>
          <cell r="F201" t="str">
            <v>C8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E202">
            <v>201</v>
          </cell>
          <cell r="F202" t="str">
            <v>C9</v>
          </cell>
          <cell r="G202">
            <v>15</v>
          </cell>
          <cell r="L202">
            <v>9</v>
          </cell>
          <cell r="M202" t="str">
            <v xml:space="preserve"> Mana +0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E203">
            <v>202</v>
          </cell>
          <cell r="F203" t="str">
            <v>CA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E204">
            <v>203</v>
          </cell>
          <cell r="F204" t="str">
            <v>CB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E205">
            <v>204</v>
          </cell>
          <cell r="F205" t="str">
            <v>CC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E206">
            <v>205</v>
          </cell>
          <cell r="F206" t="str">
            <v>CD</v>
          </cell>
          <cell r="G206">
            <v>15</v>
          </cell>
          <cell r="L206">
            <v>9</v>
          </cell>
          <cell r="M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E207">
            <v>206</v>
          </cell>
          <cell r="F207" t="str">
            <v>CE</v>
          </cell>
          <cell r="G207">
            <v>15</v>
          </cell>
          <cell r="L207">
            <v>9</v>
          </cell>
          <cell r="M207" t="str">
            <v xml:space="preserve"> Mana +0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E208">
            <v>207</v>
          </cell>
          <cell r="F208" t="str">
            <v>CF</v>
          </cell>
          <cell r="G208">
            <v>15</v>
          </cell>
          <cell r="L208">
            <v>9</v>
          </cell>
          <cell r="M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E209">
            <v>208</v>
          </cell>
          <cell r="F209" t="str">
            <v>D0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E210">
            <v>209</v>
          </cell>
          <cell r="F210" t="str">
            <v>D1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Hypnos</v>
          </cell>
          <cell r="B211" t="str">
            <v>Hypnos</v>
          </cell>
          <cell r="C211" t="str">
            <v>Hypnos</v>
          </cell>
          <cell r="E211">
            <v>210</v>
          </cell>
          <cell r="F211" t="str">
            <v>D2</v>
          </cell>
          <cell r="G211">
            <v>15</v>
          </cell>
          <cell r="L211">
            <v>9</v>
          </cell>
          <cell r="M211" t="str">
            <v xml:space="preserve"> Mana +0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E212">
            <v>211</v>
          </cell>
          <cell r="F212" t="str">
            <v>D3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Cobweb</v>
          </cell>
          <cell r="B213" t="str">
            <v>Cobweb</v>
          </cell>
          <cell r="C213" t="str">
            <v>Cobweb</v>
          </cell>
          <cell r="E213">
            <v>212</v>
          </cell>
          <cell r="F213" t="str">
            <v>D4</v>
          </cell>
          <cell r="G213">
            <v>15</v>
          </cell>
          <cell r="L213">
            <v>9</v>
          </cell>
          <cell r="M213">
            <v>0</v>
          </cell>
        </row>
        <row r="214">
          <cell r="A214" t="str">
            <v>Electroshock</v>
          </cell>
          <cell r="B214" t="str">
            <v>Electroshock</v>
          </cell>
          <cell r="C214" t="str">
            <v>Electroshock</v>
          </cell>
          <cell r="E214">
            <v>213</v>
          </cell>
          <cell r="F214" t="str">
            <v>D5</v>
          </cell>
          <cell r="G214">
            <v>15</v>
          </cell>
          <cell r="L214">
            <v>9</v>
          </cell>
          <cell r="M214" t="str">
            <v xml:space="preserve"> Mana +0</v>
          </cell>
        </row>
        <row r="215">
          <cell r="A215" t="str">
            <v>Enfeeble</v>
          </cell>
          <cell r="B215" t="str">
            <v>Enfeeble</v>
          </cell>
          <cell r="C215" t="str">
            <v>Enfeeble</v>
          </cell>
          <cell r="E215">
            <v>214</v>
          </cell>
          <cell r="F215" t="str">
            <v>D6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E216">
            <v>215</v>
          </cell>
          <cell r="F216" t="str">
            <v>D7</v>
          </cell>
          <cell r="G216">
            <v>15</v>
          </cell>
          <cell r="L216">
            <v>9</v>
          </cell>
          <cell r="M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E217">
            <v>216</v>
          </cell>
          <cell r="F217" t="str">
            <v>D8</v>
          </cell>
          <cell r="G217">
            <v>15</v>
          </cell>
          <cell r="L217">
            <v>9</v>
          </cell>
          <cell r="M217" t="str">
            <v xml:space="preserve"> Mana +0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E218">
            <v>217</v>
          </cell>
          <cell r="F218" t="str">
            <v>D9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E219">
            <v>218</v>
          </cell>
          <cell r="F219" t="str">
            <v>DA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E220">
            <v>219</v>
          </cell>
          <cell r="F220" t="str">
            <v>DB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E221">
            <v>220</v>
          </cell>
          <cell r="F221" t="str">
            <v>DC</v>
          </cell>
          <cell r="G221">
            <v>5</v>
          </cell>
          <cell r="L221">
            <v>9</v>
          </cell>
          <cell r="M221" t="str">
            <v xml:space="preserve"> Mana +0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E222">
            <v>221</v>
          </cell>
          <cell r="F222" t="str">
            <v>DD</v>
          </cell>
          <cell r="G222">
            <v>10</v>
          </cell>
          <cell r="L222">
            <v>9</v>
          </cell>
          <cell r="M222" t="str">
            <v>Agl +2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E223">
            <v>222</v>
          </cell>
          <cell r="F223" t="str">
            <v>DE</v>
          </cell>
          <cell r="G223">
            <v>1</v>
          </cell>
          <cell r="L223">
            <v>9</v>
          </cell>
          <cell r="M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E224">
            <v>223</v>
          </cell>
          <cell r="F224" t="str">
            <v>DF</v>
          </cell>
          <cell r="G224">
            <v>5</v>
          </cell>
          <cell r="L224">
            <v>9</v>
          </cell>
          <cell r="M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E225">
            <v>224</v>
          </cell>
          <cell r="F225" t="str">
            <v>E0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E226">
            <v>225</v>
          </cell>
          <cell r="F226" t="str">
            <v>E1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Repent</v>
          </cell>
          <cell r="B227" t="str">
            <v>Repent</v>
          </cell>
          <cell r="C227" t="str">
            <v>MadSong</v>
          </cell>
          <cell r="E227">
            <v>226</v>
          </cell>
          <cell r="F227" t="str">
            <v>E2</v>
          </cell>
          <cell r="G227">
            <v>5</v>
          </cell>
          <cell r="L227">
            <v>9</v>
          </cell>
          <cell r="M227" t="str">
            <v xml:space="preserve"> Mana +0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E228">
            <v>227</v>
          </cell>
          <cell r="F228" t="str">
            <v>E3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E229">
            <v>228</v>
          </cell>
          <cell r="F229" t="str">
            <v>E4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E230">
            <v>229</v>
          </cell>
          <cell r="F230" t="str">
            <v>E5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L243">
            <v>9</v>
          </cell>
          <cell r="M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E244">
            <v>243</v>
          </cell>
          <cell r="F244" t="str">
            <v>F3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E245">
            <v>244</v>
          </cell>
          <cell r="F245" t="str">
            <v>F4</v>
          </cell>
          <cell r="G245">
            <v>30</v>
          </cell>
          <cell r="L245">
            <v>9</v>
          </cell>
          <cell r="M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L246">
            <v>9</v>
          </cell>
          <cell r="M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E247">
            <v>246</v>
          </cell>
          <cell r="F247" t="str">
            <v>F6</v>
          </cell>
          <cell r="G247">
            <v>15</v>
          </cell>
          <cell r="L247">
            <v>9</v>
          </cell>
          <cell r="M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L248">
            <v>9</v>
          </cell>
          <cell r="M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E249">
            <v>253</v>
          </cell>
          <cell r="F249" t="str">
            <v>FD</v>
          </cell>
          <cell r="G249">
            <v>30</v>
          </cell>
          <cell r="L249">
            <v>9</v>
          </cell>
          <cell r="M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E250">
            <v>254</v>
          </cell>
          <cell r="F250" t="str">
            <v>FE</v>
          </cell>
          <cell r="G250">
            <v>-2</v>
          </cell>
          <cell r="L250">
            <v>9</v>
          </cell>
          <cell r="M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L251">
            <v>0</v>
          </cell>
          <cell r="M251" t="str">
            <v>Str +22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L252">
            <v>0</v>
          </cell>
          <cell r="M252" t="str">
            <v>Agl +22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L253">
            <v>0</v>
          </cell>
          <cell r="M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L254">
            <v>0</v>
          </cell>
          <cell r="M254" t="str">
            <v>Def +22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L258">
            <v>0</v>
          </cell>
          <cell r="M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G259">
            <v>-2</v>
          </cell>
        </row>
        <row r="260">
          <cell r="A260" t="str">
            <v>Tremor</v>
          </cell>
          <cell r="B260" t="str">
            <v>Tremor</v>
          </cell>
          <cell r="G260">
            <v>-2</v>
          </cell>
          <cell r="L260">
            <v>0</v>
          </cell>
        </row>
        <row r="261">
          <cell r="A261" t="str">
            <v>kW B-Exp</v>
          </cell>
          <cell r="B261" t="str">
            <v>kW B-Exp</v>
          </cell>
          <cell r="G261">
            <v>-2</v>
          </cell>
          <cell r="L261">
            <v>18</v>
          </cell>
        </row>
        <row r="262">
          <cell r="A262" t="str">
            <v>MM Book</v>
          </cell>
          <cell r="B262" t="str">
            <v>MM Book</v>
          </cell>
          <cell r="C262" t="str">
            <v>MM</v>
          </cell>
          <cell r="D262" t="str">
            <v>Book</v>
          </cell>
          <cell r="G262">
            <v>30</v>
          </cell>
          <cell r="H262">
            <v>400</v>
          </cell>
          <cell r="L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G263">
            <v>15</v>
          </cell>
          <cell r="L263">
            <v>0</v>
          </cell>
        </row>
        <row r="264">
          <cell r="A264" t="str">
            <v>Windstorm</v>
          </cell>
          <cell r="B264" t="str">
            <v>Windstorm</v>
          </cell>
          <cell r="G264">
            <v>15</v>
          </cell>
        </row>
        <row r="265">
          <cell r="A265" t="str">
            <v>Sandblast</v>
          </cell>
          <cell r="B265" t="str">
            <v>Sandblast</v>
          </cell>
          <cell r="G265">
            <v>15</v>
          </cell>
        </row>
        <row r="266">
          <cell r="A266" t="str">
            <v>O-Stun</v>
          </cell>
          <cell r="B266" t="str">
            <v>O-Stun</v>
          </cell>
          <cell r="C266" t="str">
            <v>Stun</v>
          </cell>
          <cell r="D266" t="str">
            <v>O</v>
          </cell>
          <cell r="G266">
            <v>-2</v>
          </cell>
        </row>
        <row r="267">
          <cell r="A267" t="str">
            <v>O-Thunder</v>
          </cell>
          <cell r="B267" t="str">
            <v>O-Thunder</v>
          </cell>
          <cell r="C267" t="str">
            <v>Thunder</v>
          </cell>
          <cell r="D267" t="str">
            <v>O</v>
          </cell>
          <cell r="G267">
            <v>-2</v>
          </cell>
        </row>
        <row r="268">
          <cell r="A268" t="str">
            <v>AreaCure</v>
          </cell>
          <cell r="B268" t="str">
            <v>AreaCure</v>
          </cell>
          <cell r="G268">
            <v>10</v>
          </cell>
        </row>
        <row r="269">
          <cell r="A269" t="str">
            <v>Storm Shield</v>
          </cell>
          <cell r="B269" t="str">
            <v>Storm Shield</v>
          </cell>
          <cell r="C269" t="str">
            <v>Storm</v>
          </cell>
          <cell r="D269" t="str">
            <v>Shield</v>
          </cell>
          <cell r="G269">
            <v>30</v>
          </cell>
          <cell r="L269">
            <v>81</v>
          </cell>
        </row>
        <row r="270">
          <cell r="A270" t="str">
            <v>Bite</v>
          </cell>
          <cell r="B270" t="str">
            <v>Bite</v>
          </cell>
          <cell r="C270" t="str">
            <v>Bite</v>
          </cell>
          <cell r="E270">
            <v>129</v>
          </cell>
          <cell r="F270">
            <v>81</v>
          </cell>
          <cell r="G270">
            <v>15</v>
          </cell>
          <cell r="L270">
            <v>9</v>
          </cell>
          <cell r="M270">
            <v>0</v>
          </cell>
        </row>
        <row r="271">
          <cell r="A271" t="str">
            <v>Crush</v>
          </cell>
          <cell r="B271" t="str">
            <v>Crush</v>
          </cell>
          <cell r="C271" t="str">
            <v>Crush</v>
          </cell>
          <cell r="G271">
            <v>5</v>
          </cell>
        </row>
        <row r="272">
          <cell r="A272" t="str">
            <v>Wait</v>
          </cell>
          <cell r="B272" t="str">
            <v>Wait</v>
          </cell>
          <cell r="C272" t="str">
            <v>Wait</v>
          </cell>
          <cell r="G272">
            <v>99</v>
          </cell>
        </row>
        <row r="273">
          <cell r="A273" t="str">
            <v>T-Kimono</v>
          </cell>
          <cell r="B273" t="str">
            <v>T-Kimono</v>
          </cell>
          <cell r="C273" t="str">
            <v>Kimono</v>
          </cell>
          <cell r="D273" t="str">
            <v>Torn</v>
          </cell>
          <cell r="G273">
            <v>-2</v>
          </cell>
          <cell r="I273">
            <v>2</v>
          </cell>
          <cell r="J273" t="str">
            <v>Agl</v>
          </cell>
          <cell r="K273">
            <v>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S19" sqref="S19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39" bestFit="1" customWidth="1"/>
    <col min="17" max="18" width="3.7109375" style="6" bestFit="1" customWidth="1"/>
    <col min="19" max="19" width="14.85546875" style="39" bestFit="1" customWidth="1"/>
    <col min="20" max="21" width="3.7109375" style="6" bestFit="1" customWidth="1"/>
    <col min="22" max="22" width="13.7109375" style="39" bestFit="1" customWidth="1"/>
    <col min="23" max="24" width="3.7109375" style="6" bestFit="1" customWidth="1"/>
    <col min="25" max="25" width="14.140625" style="39" bestFit="1" customWidth="1"/>
    <col min="26" max="27" width="3.7109375" style="6" bestFit="1" customWidth="1"/>
    <col min="28" max="28" width="13.42578125" style="39" bestFit="1" customWidth="1"/>
    <col min="29" max="30" width="3.7109375" style="6" bestFit="1" customWidth="1"/>
    <col min="31" max="31" width="13.28515625" style="39" bestFit="1" customWidth="1"/>
    <col min="32" max="33" width="3.7109375" style="6" bestFit="1" customWidth="1"/>
    <col min="34" max="34" width="13.28515625" style="39" bestFit="1" customWidth="1"/>
    <col min="35" max="36" width="3.7109375" style="6" bestFit="1" customWidth="1"/>
    <col min="37" max="37" width="11.28515625" style="39" bestFit="1" customWidth="1"/>
    <col min="38" max="39" width="3.7109375" style="6" bestFit="1" customWidth="1"/>
    <col min="40" max="40" width="9.140625" style="39" bestFit="1" customWidth="1"/>
    <col min="41" max="41" width="3.7109375" style="6" bestFit="1" customWidth="1"/>
    <col min="42" max="42" width="6.5703125" style="45" bestFit="1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37" customFormat="1" ht="75.75" customHeight="1" x14ac:dyDescent="0.2">
      <c r="A1" s="26" t="s">
        <v>18</v>
      </c>
      <c r="B1" s="27" t="s">
        <v>40</v>
      </c>
      <c r="C1" s="28" t="s">
        <v>71</v>
      </c>
      <c r="D1" s="27" t="s">
        <v>39</v>
      </c>
      <c r="E1" s="27" t="s">
        <v>38</v>
      </c>
      <c r="F1" s="28" t="s">
        <v>69</v>
      </c>
      <c r="G1" s="29" t="s">
        <v>37</v>
      </c>
      <c r="H1" s="30" t="s">
        <v>44</v>
      </c>
      <c r="I1" s="31" t="s">
        <v>36</v>
      </c>
      <c r="J1" s="32" t="s">
        <v>45</v>
      </c>
      <c r="K1" s="29" t="s">
        <v>35</v>
      </c>
      <c r="L1" s="30" t="s">
        <v>46</v>
      </c>
      <c r="M1" s="31" t="s">
        <v>34</v>
      </c>
      <c r="N1" s="32" t="s">
        <v>47</v>
      </c>
      <c r="O1" s="29" t="s">
        <v>33</v>
      </c>
      <c r="P1" s="38" t="s">
        <v>32</v>
      </c>
      <c r="Q1" s="33" t="s">
        <v>50</v>
      </c>
      <c r="R1" s="34" t="s">
        <v>61</v>
      </c>
      <c r="S1" s="38" t="s">
        <v>31</v>
      </c>
      <c r="T1" s="33" t="s">
        <v>52</v>
      </c>
      <c r="U1" s="34" t="s">
        <v>62</v>
      </c>
      <c r="V1" s="38" t="s">
        <v>30</v>
      </c>
      <c r="W1" s="33" t="s">
        <v>53</v>
      </c>
      <c r="X1" s="34" t="s">
        <v>63</v>
      </c>
      <c r="Y1" s="38" t="s">
        <v>29</v>
      </c>
      <c r="Z1" s="33" t="s">
        <v>54</v>
      </c>
      <c r="AA1" s="34" t="s">
        <v>64</v>
      </c>
      <c r="AB1" s="48" t="s">
        <v>28</v>
      </c>
      <c r="AC1" s="49" t="s">
        <v>55</v>
      </c>
      <c r="AD1" s="34" t="s">
        <v>65</v>
      </c>
      <c r="AE1" s="38" t="s">
        <v>27</v>
      </c>
      <c r="AF1" s="33" t="s">
        <v>56</v>
      </c>
      <c r="AG1" s="34" t="s">
        <v>66</v>
      </c>
      <c r="AH1" s="38" t="s">
        <v>26</v>
      </c>
      <c r="AI1" s="33" t="s">
        <v>57</v>
      </c>
      <c r="AJ1" s="34" t="s">
        <v>67</v>
      </c>
      <c r="AK1" s="38" t="s">
        <v>25</v>
      </c>
      <c r="AL1" s="33" t="s">
        <v>58</v>
      </c>
      <c r="AM1" s="34" t="s">
        <v>68</v>
      </c>
      <c r="AN1" s="42" t="s">
        <v>48</v>
      </c>
      <c r="AO1" s="33" t="s">
        <v>51</v>
      </c>
      <c r="AP1" s="44" t="s">
        <v>70</v>
      </c>
      <c r="AQ1" s="32" t="s">
        <v>49</v>
      </c>
      <c r="AR1" s="35" t="s">
        <v>43</v>
      </c>
      <c r="AS1" s="36" t="s">
        <v>72</v>
      </c>
      <c r="AT1" s="36" t="s">
        <v>73</v>
      </c>
    </row>
    <row r="2" spans="1:46" x14ac:dyDescent="0.25">
      <c r="A2" s="86" t="str">
        <f t="shared" ref="A2:A12" si="0">B2</f>
        <v>Rando</v>
      </c>
      <c r="B2" s="82" t="s">
        <v>93</v>
      </c>
      <c r="C2" s="21"/>
      <c r="D2" s="55" t="s">
        <v>75</v>
      </c>
      <c r="E2" s="89" t="s">
        <v>148</v>
      </c>
      <c r="F2" s="1">
        <f ca="1">VLOOKUP(B2,Toolkit!K$3:M$25,3,FALSE)</f>
        <v>38</v>
      </c>
      <c r="G2" s="2">
        <f>IF(ISBLANK(VLOOKUP($E2,[1]Monster!$A$2:$X$256,10,FALSE)),"",VLOOKUP($E2,[1]Monster!$A$2:$X$256,10,FALSE))</f>
        <v>38</v>
      </c>
      <c r="H2" s="3">
        <v>0</v>
      </c>
      <c r="I2" s="5">
        <f>IF(ISBLANK(VLOOKUP($E2,[1]Monster!$A$2:$X$256,11,FALSE)),"",VLOOKUP($E2,[1]Monster!$A$2:$X$256,11,FALSE))+H2</f>
        <v>4</v>
      </c>
      <c r="J2" s="4">
        <v>0</v>
      </c>
      <c r="K2" s="2">
        <f>IF(ISBLANK(VLOOKUP($E2,[1]Monster!$A$2:$X$256,14,FALSE)),"",VLOOKUP($E2,[1]Monster!$A$2:$X$256,14,FALSE))+J2</f>
        <v>5</v>
      </c>
      <c r="L2" s="3">
        <v>0</v>
      </c>
      <c r="M2" s="5">
        <f>IF(ISBLANK(VLOOKUP($E2,[1]Monster!$A$2:$X$256,12,FALSE)),"",VLOOKUP($E2,[1]Monster!$A$2:$X$256,12,FALSE))+L2</f>
        <v>7</v>
      </c>
      <c r="N2" s="4">
        <v>0</v>
      </c>
      <c r="O2" s="2">
        <f>IF(ISBLANK(VLOOKUP($E2,[1]Monster!$A$2:$X$256,13,FALSE)),"",VLOOKUP($E2,[1]Monster!$A$2:$X$256,13,FALSE))+N2</f>
        <v>4</v>
      </c>
      <c r="P2" s="50" t="str">
        <f>IF(ISBLANK(VLOOKUP($E2,[1]Monster!$A$2:$X$256,16,FALSE)),"",VLOOKUP($E2,[1]Monster!$A$2:$X$256,16,FALSE))</f>
        <v>Nail</v>
      </c>
      <c r="Q2" s="6">
        <v>30</v>
      </c>
      <c r="R2" s="6">
        <f>_xlfn.IFNA(IF($E2="Robot",VLOOKUP(P2,[1]Weapon!$B$1:$G$273,6,FALSE)/2,VLOOKUP(P2,[1]Weapon!$B$1:$G$273,6,FALSE)),0)</f>
        <v>30</v>
      </c>
      <c r="S2" s="50" t="str">
        <f>IF(ISBLANK(VLOOKUP($E2,[1]Monster!$A$2:$X$256,17,FALSE)),"",VLOOKUP($E2,[1]Monster!$A$2:$X$256,17,FALSE))</f>
        <v>O-Quake</v>
      </c>
      <c r="T2" s="13"/>
      <c r="U2" s="6">
        <f>_xlfn.IFNA(IF($E2="Robot",VLOOKUP(S2,[1]Weapon!$B$1:$G$273,6,FALSE)/2,VLOOKUP(S2,[1]Weapon!$B$1:$G$273,6,FALSE)),0)</f>
        <v>-2</v>
      </c>
      <c r="V2" s="50" t="str">
        <f>IF(ISBLANK(VLOOKUP($E2,[1]Monster!$A$2:$X$256,18,FALSE)),"",VLOOKUP($E2,[1]Monster!$A$2:$X$256,18,FALSE))</f>
        <v>X-Ice</v>
      </c>
      <c r="W2" s="18">
        <v>-1</v>
      </c>
      <c r="X2" s="6">
        <f>_xlfn.IFNA(IF($E2="Robot",VLOOKUP(V2,[1]Weapon!$B$1:$G$273,6,FALSE)/2,VLOOKUP(V2,[1]Weapon!$B$1:$G$273,6,FALSE)),0)</f>
        <v>-2</v>
      </c>
      <c r="Y2" s="51"/>
      <c r="Z2" s="18"/>
      <c r="AA2" s="6">
        <f>_xlfn.IFNA(IF($E2="Robot",VLOOKUP(Y2,[1]Weapon!$B$1:$G$273,6,FALSE)/2,VLOOKUP(Y2,[1]Weapon!$B$1:$G$273,6,FALSE)),0)</f>
        <v>0</v>
      </c>
      <c r="AB2" s="50" t="str">
        <f>IF(ISBLANK(VLOOKUP($E2,[1]Monster!$A$2:$X$256,20,FALSE)),"",VLOOKUP($E2,[1]Monster!$A$2:$X$256,20,FALSE))</f>
        <v/>
      </c>
      <c r="AC2" s="19"/>
      <c r="AD2" s="6">
        <f>_xlfn.IFNA(IF($E2="Robot",VLOOKUP(AB2,[1]Weapon!$B$1:$G$273,6,FALSE)/2,VLOOKUP(AB2,[1]Weapon!$B$1:$G$273,6,FALSE)),0)</f>
        <v>0</v>
      </c>
      <c r="AE2" s="50" t="str">
        <f>IF(ISBLANK(VLOOKUP($E2,[1]Monster!$A$2:$X$256,21,FALSE)),"",VLOOKUP($E2,[1]Monster!$A$2:$X$256,21,FALSE))</f>
        <v/>
      </c>
      <c r="AF2" s="12"/>
      <c r="AG2" s="6">
        <f>_xlfn.IFNA(IF($E2="Robot",VLOOKUP(AE2,[1]Weapon!$B$1:$G$273,6,FALSE)/2,VLOOKUP(AE2,[1]Weapon!$B$1:$G$273,6,FALSE)),0)</f>
        <v>0</v>
      </c>
      <c r="AH2" s="50" t="str">
        <f>IF(ISBLANK(VLOOKUP($E2,[1]Monster!$A$2:$X$256,22,FALSE)),"",VLOOKUP($E2,[1]Monster!$A$2:$X$256,22,FALSE))</f>
        <v/>
      </c>
      <c r="AJ2" s="6">
        <f>_xlfn.IFNA(IF($E2="Robot",VLOOKUP(AH2,[1]Weapon!$B$1:$G$273,6,FALSE)/2,VLOOKUP(AH2,[1]Weapon!$B$1:$G$273,6,FALSE)),0)</f>
        <v>0</v>
      </c>
      <c r="AK2" s="50" t="str">
        <f>IF(ISBLANK(VLOOKUP($E2,[1]Monster!$A$2:$X$256,23,FALSE)),"",VLOOKUP($E2,[1]Monster!$A$2:$X$256,23,FALSE))</f>
        <v/>
      </c>
      <c r="AM2" s="6">
        <f>_xlfn.IFNA(IF($E2="Robot",VLOOKUP(AK2,[1]Weapon!$B$1:$G$273,6,FALSE)/2,VLOOKUP(AK2,[1]Weapon!$B$1:$G$273,6,FALSE)),0)</f>
        <v>0</v>
      </c>
      <c r="AN2" s="43"/>
      <c r="AO2" s="10">
        <v>0</v>
      </c>
      <c r="AP2" s="45">
        <f>_xlfn.IFNA(IF($E2="Robot",VLOOKUP(AN2,[1]Weapon!$B$1:$G$273,6,FALSE)/2,VLOOKUP(AN2,[1]Weapon!$B$1:$G$273,6,FALSE)),0)</f>
        <v>0</v>
      </c>
      <c r="AQ2" s="63"/>
      <c r="AR2" s="89" t="s">
        <v>158</v>
      </c>
      <c r="AS2">
        <f>VLOOKUP(B2,Toolkit!$Q$3:$T$22,4,FALSE)</f>
        <v>115</v>
      </c>
    </row>
    <row r="3" spans="1:46" x14ac:dyDescent="0.25">
      <c r="A3" s="86" t="str">
        <f t="shared" si="0"/>
        <v>Grace</v>
      </c>
      <c r="B3" s="54" t="s">
        <v>94</v>
      </c>
      <c r="C3" s="21"/>
      <c r="D3" s="54" t="s">
        <v>95</v>
      </c>
      <c r="E3" s="55" t="s">
        <v>92</v>
      </c>
      <c r="F3" s="1">
        <f ca="1">VLOOKUP(B3,Toolkit!K$3:M$25,3,FALSE)</f>
        <v>45</v>
      </c>
      <c r="G3" s="2">
        <v>45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$274,9,FALSE),0)+_xlfn.IFNA(VLOOKUP($S3,[1]Weapon!$A$1:$M$274,9,FALSE),0)+_xlfn.IFNA(VLOOKUP($V3,[1]Weapon!$A$1:$M$274,9,FALSE),0)+_xlfn.IFNA(VLOOKUP($Y3,[1]Weapon!$A$1:$M$274,9,FALSE),0)+_xlfn.IFNA(VLOOKUP($AB3,[1]Weapon!$A$1:$M$274,9,FALSE),0)+_xlfn.IFNA(VLOOKUP($AE3,[1]Weapon!$A$1:$M$274,9,FALSE),0)+_xlfn.IFNA(VLOOKUP($AH3,[1]Weapon!$A$1:$M$274,9,FALSE),0)+_xlfn.IFNA(VLOOKUP($AK3,[1]Weapon!$A$1:$M$274,9,FALSE),0)</f>
        <v>3</v>
      </c>
      <c r="L3" s="3">
        <v>5</v>
      </c>
      <c r="M3" s="5">
        <f>L3</f>
        <v>5</v>
      </c>
      <c r="N3" s="4">
        <v>6</v>
      </c>
      <c r="O3" s="2">
        <f t="shared" ref="O3" si="2">N3</f>
        <v>6</v>
      </c>
      <c r="P3" s="56" t="s">
        <v>89</v>
      </c>
      <c r="Q3" s="6">
        <v>11</v>
      </c>
      <c r="R3" s="6">
        <f>_xlfn.IFNA(IF($E3="Robot",VLOOKUP(P3,[1]Weapon!$B$1:$G$273,6,FALSE)/2,VLOOKUP(P3,[1]Weapon!$B$1:$G$273,6,FALSE)),0)</f>
        <v>15</v>
      </c>
      <c r="S3" s="56"/>
      <c r="U3" s="6">
        <f>_xlfn.IFNA(IF($E3="Robot",VLOOKUP(S3,[1]Weapon!$B$1:$G$273,6,FALSE)/2,VLOOKUP(S3,[1]Weapon!$B$1:$G$273,6,FALSE)),0)</f>
        <v>0</v>
      </c>
      <c r="V3" s="51"/>
      <c r="W3" s="18"/>
      <c r="X3" s="6">
        <f>_xlfn.IFNA(IF($E3="Robot",VLOOKUP(V3,[1]Weapon!$B$1:$G$273,6,FALSE)/2,VLOOKUP(V3,[1]Weapon!$B$1:$G$273,6,FALSE)),0)</f>
        <v>0</v>
      </c>
      <c r="Y3" s="51"/>
      <c r="AA3" s="6">
        <f>_xlfn.IFNA(IF($E3="Robot",VLOOKUP(Y3,[1]Weapon!$B$1:$G$273,6,FALSE)/2,VLOOKUP(Y3,[1]Weapon!$B$1:$G$273,6,FALSE)),0)</f>
        <v>0</v>
      </c>
      <c r="AB3" s="56" t="s">
        <v>96</v>
      </c>
      <c r="AC3" s="6">
        <v>50</v>
      </c>
      <c r="AD3" s="6">
        <f>_xlfn.IFNA(IF($E3="Robot",VLOOKUP(AB3,[1]Weapon!$B$1:$G$273,6,FALSE)/2,VLOOKUP(AB3,[1]Weapon!$B$1:$G$273,6,FALSE)),0)</f>
        <v>50</v>
      </c>
      <c r="AE3" s="56" t="s">
        <v>97</v>
      </c>
      <c r="AG3" s="6">
        <f>_xlfn.IFNA(IF($E3="Robot",VLOOKUP(AE3,[1]Weapon!$B$1:$G$273,6,FALSE)/2,VLOOKUP(AE3,[1]Weapon!$B$1:$G$273,6,FALSE)),0)</f>
        <v>-2</v>
      </c>
      <c r="AH3" s="50"/>
      <c r="AJ3" s="6">
        <f>_xlfn.IFNA(IF($E3="Robot",VLOOKUP(AH3,[1]Weapon!$B$1:$G$273,6,FALSE)/2,VLOOKUP(AH3,[1]Weapon!$B$1:$G$273,6,FALSE)),0)</f>
        <v>0</v>
      </c>
      <c r="AK3" s="41"/>
      <c r="AM3" s="6">
        <f>_xlfn.IFNA(IF($E3="Robot",VLOOKUP(AK3,[1]Weapon!$B$1:$G$273,6,FALSE)/2,VLOOKUP(AK3,[1]Weapon!$B$1:$G$273,6,FALSE)),0)</f>
        <v>0</v>
      </c>
      <c r="AN3" s="50"/>
      <c r="AO3" s="10">
        <v>0</v>
      </c>
      <c r="AP3" s="45">
        <f>_xlfn.IFNA(IF($E3="Robot",VLOOKUP(AN3,[1]Weapon!$B$1:$G$273,6,FALSE)/2,VLOOKUP(AN3,[1]Weapon!$B$1:$G$273,6,FALSE)),0)</f>
        <v>0</v>
      </c>
      <c r="AS3">
        <f>VLOOKUP(B3,Toolkit!$Q$3:$T$22,4,FALSE)</f>
        <v>101</v>
      </c>
    </row>
    <row r="4" spans="1:46" x14ac:dyDescent="0.25">
      <c r="A4" s="86" t="str">
        <f t="shared" si="0"/>
        <v>Astrid</v>
      </c>
      <c r="B4" s="54" t="s">
        <v>98</v>
      </c>
      <c r="C4" s="21"/>
      <c r="D4" s="54" t="s">
        <v>78</v>
      </c>
      <c r="E4" s="55" t="s">
        <v>92</v>
      </c>
      <c r="F4" s="1">
        <f ca="1">VLOOKUP(B4,Toolkit!K$3:M$25,3,FALSE)</f>
        <v>45</v>
      </c>
      <c r="G4" s="2">
        <v>45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$274,9,FALSE),0)+_xlfn.IFNA(VLOOKUP($S4,[1]Weapon!$A$1:$M$274,9,FALSE),0)+_xlfn.IFNA(VLOOKUP($V4,[1]Weapon!$A$1:$M$274,9,FALSE),0)+_xlfn.IFNA(VLOOKUP($Y4,[1]Weapon!$A$1:$M$274,9,FALSE),0)+_xlfn.IFNA(VLOOKUP($AB4,[1]Weapon!$A$1:$M$274,9,FALSE),0)+_xlfn.IFNA(VLOOKUP($AE4,[1]Weapon!$A$1:$M$274,9,FALSE),0)+_xlfn.IFNA(VLOOKUP($AH4,[1]Weapon!$A$1:$M$274,9,FALSE),0)+_xlfn.IFNA(VLOOKUP($AK4,[1]Weapon!$A$1:$M$274,9,FALSE),0)</f>
        <v>3</v>
      </c>
      <c r="L4" s="3">
        <v>5</v>
      </c>
      <c r="M4" s="5">
        <f>L4</f>
        <v>5</v>
      </c>
      <c r="N4" s="4">
        <v>7</v>
      </c>
      <c r="O4" s="2">
        <f t="shared" ref="O4" si="4">N4</f>
        <v>7</v>
      </c>
      <c r="P4" s="56" t="s">
        <v>88</v>
      </c>
      <c r="Q4" s="8">
        <v>13</v>
      </c>
      <c r="R4" s="6">
        <f>_xlfn.IFNA(IF($E4="Robot",VLOOKUP(P4,[1]Weapon!$B$1:$G$273,6,FALSE)/2,VLOOKUP(P4,[1]Weapon!$B$1:$G$273,6,FALSE)),0)</f>
        <v>15</v>
      </c>
      <c r="S4" s="51"/>
      <c r="T4" s="14"/>
      <c r="U4" s="6">
        <f>_xlfn.IFNA(IF($E4="Robot",VLOOKUP(S4,[1]Weapon!$B$1:$G$273,6,FALSE)/2,VLOOKUP(S4,[1]Weapon!$B$1:$G$273,6,FALSE)),0)</f>
        <v>0</v>
      </c>
      <c r="V4" s="51"/>
      <c r="W4" s="15"/>
      <c r="X4" s="6">
        <f>_xlfn.IFNA(IF($E4="Robot",VLOOKUP(V4,[1]Weapon!$B$1:$G$273,6,FALSE)/2,VLOOKUP(V4,[1]Weapon!$B$1:$G$273,6,FALSE)),0)</f>
        <v>0</v>
      </c>
      <c r="Y4" s="51"/>
      <c r="Z4" s="15"/>
      <c r="AA4" s="6">
        <f>_xlfn.IFNA(IF($E4="Robot",VLOOKUP(Y4,[1]Weapon!$B$1:$G$273,6,FALSE)/2,VLOOKUP(Y4,[1]Weapon!$B$1:$G$273,6,FALSE)),0)</f>
        <v>0</v>
      </c>
      <c r="AB4" s="56" t="s">
        <v>96</v>
      </c>
      <c r="AC4" s="6">
        <v>49</v>
      </c>
      <c r="AD4" s="6">
        <f>_xlfn.IFNA(IF($E4="Robot",VLOOKUP(AB4,[1]Weapon!$B$1:$G$273,6,FALSE)/2,VLOOKUP(AB4,[1]Weapon!$B$1:$G$273,6,FALSE)),0)</f>
        <v>50</v>
      </c>
      <c r="AE4" s="56" t="s">
        <v>97</v>
      </c>
      <c r="AG4" s="6">
        <f>_xlfn.IFNA(IF($E4="Robot",VLOOKUP(AE4,[1]Weapon!$B$1:$G$273,6,FALSE)/2,VLOOKUP(AE4,[1]Weapon!$B$1:$G$273,6,FALSE)),0)</f>
        <v>-2</v>
      </c>
      <c r="AH4" s="51"/>
      <c r="AJ4" s="6">
        <f>_xlfn.IFNA(IF($E4="Robot",VLOOKUP(AH4,[1]Weapon!$B$1:$G$273,6,FALSE)/2,VLOOKUP(AH4,[1]Weapon!$B$1:$G$273,6,FALSE)),0)</f>
        <v>0</v>
      </c>
      <c r="AM4" s="6">
        <f>_xlfn.IFNA(IF($E4="Robot",VLOOKUP(AK4,[1]Weapon!$B$1:$G$273,6,FALSE)/2,VLOOKUP(AK4,[1]Weapon!$B$1:$G$273,6,FALSE)),0)</f>
        <v>0</v>
      </c>
      <c r="AO4" s="6">
        <v>0</v>
      </c>
      <c r="AP4" s="45">
        <f>_xlfn.IFNA(IF($E4="Robot",VLOOKUP(AN4,[1]Weapon!$B$1:$G$273,6,FALSE)/2,VLOOKUP(AN4,[1]Weapon!$B$1:$G$273,6,FALSE)),0)</f>
        <v>0</v>
      </c>
      <c r="AS4">
        <f>VLOOKUP(B4,Toolkit!$Q$3:$T$22,4,FALSE)</f>
        <v>86</v>
      </c>
    </row>
    <row r="5" spans="1:46" x14ac:dyDescent="0.25">
      <c r="A5" s="86" t="str">
        <f t="shared" si="0"/>
        <v>Cuthbert</v>
      </c>
      <c r="B5" s="54" t="s">
        <v>99</v>
      </c>
      <c r="C5" s="21"/>
      <c r="D5" s="54" t="s">
        <v>100</v>
      </c>
      <c r="E5" s="85" t="s">
        <v>144</v>
      </c>
      <c r="F5" s="1">
        <f ca="1">VLOOKUP(B5,Toolkit!K$3:M$25,3,FALSE)</f>
        <v>62</v>
      </c>
      <c r="G5" s="2">
        <f>IF(ISBLANK(VLOOKUP($E5,[1]Monster!$A$2:$X$256,10,FALSE)),"",VLOOKUP($E5,[1]Monster!$A$2:$X$256,10,FALSE))</f>
        <v>81</v>
      </c>
      <c r="H5" s="3">
        <v>0</v>
      </c>
      <c r="I5" s="5">
        <f>IF(ISBLANK(VLOOKUP($E5,[1]Monster!$A$2:$X$256,11,FALSE)),"",VLOOKUP($E5,[1]Monster!$A$2:$X$256,11,FALSE))+H5</f>
        <v>10</v>
      </c>
      <c r="J5" s="4">
        <v>0</v>
      </c>
      <c r="K5" s="2">
        <f>IF(ISBLANK(VLOOKUP($E5,[1]Monster!$A$2:$X$256,14,FALSE)),"",VLOOKUP($E5,[1]Monster!$A$2:$X$256,14,FALSE))+J5</f>
        <v>8</v>
      </c>
      <c r="L5" s="3">
        <v>0</v>
      </c>
      <c r="M5" s="5">
        <f>IF(ISBLANK(VLOOKUP($E5,[1]Monster!$A$2:$X$256,12,FALSE)),"",VLOOKUP($E5,[1]Monster!$A$2:$X$256,12,FALSE))+L5</f>
        <v>9</v>
      </c>
      <c r="N5" s="4">
        <v>0</v>
      </c>
      <c r="O5" s="2">
        <f>IF(ISBLANK(VLOOKUP($E5,[1]Monster!$A$2:$X$256,13,FALSE)),"",VLOOKUP($E5,[1]Monster!$A$2:$X$256,13,FALSE))+N5</f>
        <v>5</v>
      </c>
      <c r="P5" s="50" t="str">
        <f>IF(ISBLANK(VLOOKUP($E5,[1]Monster!$A$2:$X$256,16,FALSE)),"",VLOOKUP($E5,[1]Monster!$A$2:$X$256,16,FALSE))</f>
        <v>Beak</v>
      </c>
      <c r="Q5" s="6">
        <v>27</v>
      </c>
      <c r="R5" s="6">
        <f>_xlfn.IFNA(IF($E5="Robot",VLOOKUP(P5,[1]Weapon!$B$1:$G$273,6,FALSE)/2,VLOOKUP(P5,[1]Weapon!$B$1:$G$273,6,FALSE)),0)</f>
        <v>30</v>
      </c>
      <c r="S5" s="50" t="str">
        <f>IF(ISBLANK(VLOOKUP($E5,[1]Monster!$A$2:$X$256,17,FALSE)),"",VLOOKUP($E5,[1]Monster!$A$2:$X$256,17,FALSE))</f>
        <v>O-Quake</v>
      </c>
      <c r="T5" s="13"/>
      <c r="U5" s="6">
        <f>_xlfn.IFNA(IF($E5="Robot",VLOOKUP(S5,[1]Weapon!$B$1:$G$273,6,FALSE)/2,VLOOKUP(S5,[1]Weapon!$B$1:$G$273,6,FALSE)),0)</f>
        <v>-2</v>
      </c>
      <c r="V5" s="50" t="str">
        <f>IF(ISBLANK(VLOOKUP($E5,[1]Monster!$A$2:$X$256,18,FALSE)),"",VLOOKUP($E5,[1]Monster!$A$2:$X$256,18,FALSE))</f>
        <v/>
      </c>
      <c r="W5" s="18"/>
      <c r="X5" s="6">
        <f>_xlfn.IFNA(IF($E5="Robot",VLOOKUP(V5,[1]Weapon!$B$1:$G$273,6,FALSE)/2,VLOOKUP(V5,[1]Weapon!$B$1:$G$273,6,FALSE)),0)</f>
        <v>0</v>
      </c>
      <c r="Y5" s="51"/>
      <c r="Z5" s="18"/>
      <c r="AA5" s="6">
        <f>_xlfn.IFNA(IF($E5="Robot",VLOOKUP(Y5,[1]Weapon!$B$1:$G$273,6,FALSE)/2,VLOOKUP(Y5,[1]Weapon!$B$1:$G$273,6,FALSE)),0)</f>
        <v>0</v>
      </c>
      <c r="AB5" s="50" t="str">
        <f>IF(ISBLANK(VLOOKUP($E5,[1]Monster!$A$2:$X$256,20,FALSE)),"",VLOOKUP($E5,[1]Monster!$A$2:$X$256,20,FALSE))</f>
        <v/>
      </c>
      <c r="AC5" s="19"/>
      <c r="AD5" s="6">
        <f>_xlfn.IFNA(IF($E5="Robot",VLOOKUP(AB5,[1]Weapon!$B$1:$G$273,6,FALSE)/2,VLOOKUP(AB5,[1]Weapon!$B$1:$G$273,6,FALSE)),0)</f>
        <v>0</v>
      </c>
      <c r="AE5" s="50" t="str">
        <f>IF(ISBLANK(VLOOKUP($E5,[1]Monster!$A$2:$X$256,21,FALSE)),"",VLOOKUP($E5,[1]Monster!$A$2:$X$256,21,FALSE))</f>
        <v/>
      </c>
      <c r="AF5" s="12"/>
      <c r="AG5" s="6">
        <f>_xlfn.IFNA(IF($E5="Robot",VLOOKUP(AE5,[1]Weapon!$B$1:$G$273,6,FALSE)/2,VLOOKUP(AE5,[1]Weapon!$B$1:$G$273,6,FALSE)),0)</f>
        <v>0</v>
      </c>
      <c r="AH5" s="50" t="str">
        <f>IF(ISBLANK(VLOOKUP($E5,[1]Monster!$A$2:$X$256,22,FALSE)),"",VLOOKUP($E5,[1]Monster!$A$2:$X$256,22,FALSE))</f>
        <v/>
      </c>
      <c r="AJ5" s="6">
        <f>_xlfn.IFNA(IF($E5="Robot",VLOOKUP(AH5,[1]Weapon!$B$1:$G$273,6,FALSE)/2,VLOOKUP(AH5,[1]Weapon!$B$1:$G$273,6,FALSE)),0)</f>
        <v>0</v>
      </c>
      <c r="AK5" s="50" t="str">
        <f>IF(ISBLANK(VLOOKUP($E5,[1]Monster!$A$2:$X$256,23,FALSE)),"",VLOOKUP($E5,[1]Monster!$A$2:$X$256,23,FALSE))</f>
        <v/>
      </c>
      <c r="AM5" s="6">
        <f>_xlfn.IFNA(IF($E5="Robot",VLOOKUP(AK5,[1]Weapon!$B$1:$G$273,6,FALSE)/2,VLOOKUP(AK5,[1]Weapon!$B$1:$G$273,6,FALSE)),0)</f>
        <v>0</v>
      </c>
      <c r="AO5" s="6">
        <v>0</v>
      </c>
      <c r="AP5" s="45">
        <f>_xlfn.IFNA(IF($E5="Robot",VLOOKUP(AN5,[1]Weapon!$B$1:$G$273,6,FALSE)/2,VLOOKUP(AN5,[1]Weapon!$B$1:$G$273,6,FALSE)),0)</f>
        <v>0</v>
      </c>
      <c r="AS5">
        <f>VLOOKUP(B5,Toolkit!$Q$3:$T$22,4,FALSE)</f>
        <v>101</v>
      </c>
    </row>
    <row r="6" spans="1:46" x14ac:dyDescent="0.25">
      <c r="A6" s="86" t="str">
        <f t="shared" si="0"/>
        <v>Sandy</v>
      </c>
      <c r="B6" s="54" t="s">
        <v>76</v>
      </c>
      <c r="C6" s="21"/>
      <c r="D6" s="54" t="s">
        <v>77</v>
      </c>
      <c r="E6" s="55" t="s">
        <v>60</v>
      </c>
      <c r="F6" s="1">
        <f ca="1">VLOOKUP(B6,Toolkit!K$3:M$25,3,FALSE)</f>
        <v>52</v>
      </c>
      <c r="G6" s="2">
        <v>52</v>
      </c>
      <c r="H6" s="3">
        <v>4</v>
      </c>
      <c r="I6" s="5">
        <f t="shared" ref="I6:I11" si="5">H6</f>
        <v>4</v>
      </c>
      <c r="J6" s="4">
        <v>0</v>
      </c>
      <c r="K6" s="2">
        <f>J6+_xlfn.IFNA(VLOOKUP($P6,[1]Weapon!$A$1:$M$274,9,FALSE),0)+_xlfn.IFNA(VLOOKUP($S6,[1]Weapon!$A$1:$M$274,9,FALSE),0)+_xlfn.IFNA(VLOOKUP($V6,[1]Weapon!$A$1:$M$274,9,FALSE),0)+_xlfn.IFNA(VLOOKUP($Y6,[1]Weapon!$A$1:$M$274,9,FALSE),0)+_xlfn.IFNA(VLOOKUP($AB6,[1]Weapon!$A$1:$M$274,9,FALSE),0)+_xlfn.IFNA(VLOOKUP($AE6,[1]Weapon!$A$1:$M$274,9,FALSE),0)+_xlfn.IFNA(VLOOKUP($AH6,[1]Weapon!$A$1:$M$274,9,FALSE),0)+_xlfn.IFNA(VLOOKUP($AK6,[1]Weapon!$A$1:$M$274,9,FALSE),0)</f>
        <v>3</v>
      </c>
      <c r="L6" s="3">
        <v>5</v>
      </c>
      <c r="M6" s="5">
        <f>L6</f>
        <v>5</v>
      </c>
      <c r="N6" s="4">
        <v>5</v>
      </c>
      <c r="O6" s="2">
        <f t="shared" ref="O6" si="6">N6</f>
        <v>5</v>
      </c>
      <c r="P6" s="61" t="s">
        <v>122</v>
      </c>
      <c r="Q6" s="9">
        <v>77</v>
      </c>
      <c r="R6" s="6">
        <f>_xlfn.IFNA(IF($E6="Robot",VLOOKUP(P6,[1]Weapon!$B$1:$G$273,6,FALSE)/2,VLOOKUP(P6,[1]Weapon!$B$1:$G$273,6,FALSE)),0)</f>
        <v>80</v>
      </c>
      <c r="S6" s="56" t="s">
        <v>97</v>
      </c>
      <c r="U6" s="6">
        <f>_xlfn.IFNA(IF($E6="Robot",VLOOKUP(S6,[1]Weapon!$B$1:$G$273,6,FALSE)/2,VLOOKUP(S6,[1]Weapon!$B$1:$G$273,6,FALSE)),0)</f>
        <v>-2</v>
      </c>
      <c r="V6" s="51"/>
      <c r="X6" s="6">
        <f>_xlfn.IFNA(IF($E6="Robot",VLOOKUP(V6,[1]Weapon!$B$1:$G$273,6,FALSE)/2,VLOOKUP(V6,[1]Weapon!$B$1:$G$273,6,FALSE)),0)</f>
        <v>0</v>
      </c>
      <c r="Y6" s="51"/>
      <c r="AA6" s="6">
        <f>_xlfn.IFNA(IF($E6="Robot",VLOOKUP(Y6,[1]Weapon!$B$1:$G$273,6,FALSE)/2,VLOOKUP(Y6,[1]Weapon!$B$1:$G$273,6,FALSE)),0)</f>
        <v>0</v>
      </c>
      <c r="AB6" s="50"/>
      <c r="AD6" s="6">
        <f>_xlfn.IFNA(IF($E6="Robot",VLOOKUP(AB6,[1]Weapon!$B$1:$G$273,6,FALSE)/2,VLOOKUP(AB6,[1]Weapon!$B$1:$G$273,6,FALSE)),0)</f>
        <v>0</v>
      </c>
      <c r="AE6" s="50"/>
      <c r="AG6" s="6">
        <f>_xlfn.IFNA(IF($E6="Robot",VLOOKUP(AE6,[1]Weapon!$B$1:$G$273,6,FALSE)/2,VLOOKUP(AE6,[1]Weapon!$B$1:$G$273,6,FALSE)),0)</f>
        <v>0</v>
      </c>
      <c r="AH6" s="50"/>
      <c r="AJ6" s="6">
        <f>_xlfn.IFNA(IF($E6="Robot",VLOOKUP(AH6,[1]Weapon!$B$1:$G$273,6,FALSE)/2,VLOOKUP(AH6,[1]Weapon!$B$1:$G$273,6,FALSE)),0)</f>
        <v>0</v>
      </c>
      <c r="AM6" s="6">
        <f>_xlfn.IFNA(IF($E6="Robot",VLOOKUP(AK6,[1]Weapon!$B$1:$G$273,6,FALSE)/2,VLOOKUP(AK6,[1]Weapon!$B$1:$G$273,6,FALSE)),0)</f>
        <v>0</v>
      </c>
      <c r="AO6" s="6">
        <v>0</v>
      </c>
      <c r="AP6" s="45">
        <f>_xlfn.IFNA(IF($E6="Robot",VLOOKUP(AN6,[1]Weapon!$B$1:$G$273,6,FALSE)/2,VLOOKUP(AN6,[1]Weapon!$B$1:$G$273,6,FALSE)),0)</f>
        <v>0</v>
      </c>
      <c r="AR6" s="25"/>
      <c r="AS6">
        <f>VLOOKUP(B6,Toolkit!$Q$3:$T$22,4,FALSE)</f>
        <v>86</v>
      </c>
    </row>
    <row r="7" spans="1:46" x14ac:dyDescent="0.25">
      <c r="A7" s="86" t="str">
        <f t="shared" si="0"/>
        <v>Roy</v>
      </c>
      <c r="B7" s="57" t="s">
        <v>102</v>
      </c>
      <c r="C7" s="21"/>
      <c r="D7" s="57" t="s">
        <v>103</v>
      </c>
      <c r="E7" s="58" t="s">
        <v>91</v>
      </c>
      <c r="F7" s="1">
        <f ca="1">VLOOKUP(B7,Toolkit!K$3:M$25,3,FALSE)</f>
        <v>20</v>
      </c>
      <c r="G7" s="2">
        <f>24+_xlfn.IFNA(VLOOKUP($P7,[1]Weapon!$A$1:$M$274,12,FALSE),0)+_xlfn.IFNA(VLOOKUP($S7,[1]Weapon!$A$1:$M$274,12,FALSE),0)+_xlfn.IFNA(VLOOKUP($V7,[1]Weapon!$A$1:$M$274,12,FALSE),0)+_xlfn.IFNA(VLOOKUP($Y7,[1]Weapon!$A$1:$M$274,12,FALSE),0)+_xlfn.IFNA(VLOOKUP($AB7,[1]Weapon!$A$1:$M$274,12,FALSE),0)+_xlfn.IFNA(VLOOKUP($AE7,[1]Weapon!$A$1:$M$274,12,FALSE),0)+_xlfn.IFNA(VLOOKUP($AH7,[1]Weapon!$A$1:$M$274,12,FALSE),0)+_xlfn.IFNA(VLOOKUP($AK7,[1]Weapon!$A$1:$M$274,12,FALSE),0)</f>
        <v>60</v>
      </c>
      <c r="H7" s="3">
        <v>0</v>
      </c>
      <c r="I7" s="60">
        <f>H7+6</f>
        <v>6</v>
      </c>
      <c r="J7" s="4">
        <v>6</v>
      </c>
      <c r="K7" s="2">
        <f>J7+_xlfn.IFNA(VLOOKUP($P7,[1]Weapon!$A$1:$M$274,9,FALSE),0)+_xlfn.IFNA(VLOOKUP($S7,[1]Weapon!$A$1:$M$274,9,FALSE),0)+_xlfn.IFNA(VLOOKUP($V7,[1]Weapon!$A$1:$M$274,9,FALSE),0)+_xlfn.IFNA(VLOOKUP($Y7,[1]Weapon!$A$1:$M$274,9,FALSE),0)+_xlfn.IFNA(VLOOKUP($AB7,[1]Weapon!$A$1:$M$274,9,FALSE),0)+_xlfn.IFNA(VLOOKUP($AE7,[1]Weapon!$A$1:$M$274,9,FALSE),0)+_xlfn.IFNA(VLOOKUP($AH7,[1]Weapon!$A$1:$M$274,9,FALSE),0)+_xlfn.IFNA(VLOOKUP($AK7,[1]Weapon!$A$1:$M$274,9,FALSE),0)</f>
        <v>6</v>
      </c>
      <c r="L7" s="3">
        <v>5</v>
      </c>
      <c r="M7" s="5">
        <f t="shared" ref="M7:M10" si="7">L7</f>
        <v>5</v>
      </c>
      <c r="N7" s="4">
        <v>0</v>
      </c>
      <c r="O7" s="2">
        <f t="shared" ref="O7:O15" si="8">N7</f>
        <v>0</v>
      </c>
      <c r="P7" s="59" t="s">
        <v>104</v>
      </c>
      <c r="R7" s="6">
        <f>_xlfn.IFNA(IF($E7="Robot",VLOOKUP(P7,[1]Weapon!$B$1:$G$273,6,FALSE)/2,VLOOKUP(P7,[1]Weapon!$B$1:$G$273,6,FALSE)),0)</f>
        <v>-1</v>
      </c>
      <c r="S7" s="59" t="s">
        <v>105</v>
      </c>
      <c r="T7" s="6">
        <v>23</v>
      </c>
      <c r="U7" s="6">
        <f>_xlfn.IFNA(IF($E7="Robot",VLOOKUP(S7,[1]Weapon!$B$1:$G$273,6,FALSE)/2,VLOOKUP(S7,[1]Weapon!$B$1:$G$273,6,FALSE)),0)</f>
        <v>25</v>
      </c>
      <c r="V7" s="50"/>
      <c r="W7" s="16"/>
      <c r="X7" s="6">
        <f>_xlfn.IFNA(IF($E7="Robot",VLOOKUP(V7,[1]Weapon!$B$1:$G$273,6,FALSE)/2,VLOOKUP(V7,[1]Weapon!$B$1:$G$273,6,FALSE)),0)</f>
        <v>0</v>
      </c>
      <c r="Y7" s="52"/>
      <c r="AA7" s="6">
        <f>_xlfn.IFNA(IF($E7="Robot",VLOOKUP(Y7,[1]Weapon!$B$1:$G$273,6,FALSE)/2,VLOOKUP(Y7,[1]Weapon!$B$1:$G$273,6,FALSE)),0)</f>
        <v>0</v>
      </c>
      <c r="AB7" s="50"/>
      <c r="AD7" s="6">
        <f>_xlfn.IFNA(IF($E7="Robot",VLOOKUP(AB7,[1]Weapon!$B$1:$G$273,6,FALSE)/2,VLOOKUP(AB7,[1]Weapon!$B$1:$G$273,6,FALSE)),0)</f>
        <v>0</v>
      </c>
      <c r="AE7" s="50"/>
      <c r="AG7" s="6">
        <f>_xlfn.IFNA(IF($E7="Robot",VLOOKUP(AE7,[1]Weapon!$B$1:$G$273,6,FALSE)/2,VLOOKUP(AE7,[1]Weapon!$B$1:$G$273,6,FALSE)),0)</f>
        <v>0</v>
      </c>
      <c r="AH7" s="51"/>
      <c r="AJ7" s="6">
        <f>_xlfn.IFNA(IF($E7="Robot",VLOOKUP(AH7,[1]Weapon!$B$1:$G$273,6,FALSE)/2,VLOOKUP(AH7,[1]Weapon!$B$1:$G$273,6,FALSE)),0)</f>
        <v>0</v>
      </c>
      <c r="AM7" s="6">
        <f>_xlfn.IFNA(IF($E7="Robot",VLOOKUP(AK7,[1]Weapon!$B$1:$G$273,6,FALSE)/2,VLOOKUP(AK7,[1]Weapon!$B$1:$G$273,6,FALSE)),0)</f>
        <v>0</v>
      </c>
      <c r="AO7" s="6">
        <v>0</v>
      </c>
      <c r="AP7" s="45">
        <f>_xlfn.IFNA(IF($E7="Robot",VLOOKUP(AN7,[1]Weapon!$B$1:$G$273,6,FALSE)/2,VLOOKUP(AN7,[1]Weapon!$B$1:$G$273,6,FALSE)),0)</f>
        <v>0</v>
      </c>
      <c r="AS7">
        <f>VLOOKUP(B7,Toolkit!$Q$3:$T$22,4,FALSE)</f>
        <v>86</v>
      </c>
    </row>
    <row r="8" spans="1:46" x14ac:dyDescent="0.25">
      <c r="A8" s="86" t="str">
        <f t="shared" si="0"/>
        <v>Saffron</v>
      </c>
      <c r="B8" s="57" t="s">
        <v>106</v>
      </c>
      <c r="C8" s="21"/>
      <c r="D8" s="57" t="s">
        <v>107</v>
      </c>
      <c r="E8" s="58" t="s">
        <v>60</v>
      </c>
      <c r="F8" s="1">
        <f ca="1">VLOOKUP(B8,Toolkit!K$3:M$25,3,FALSE)</f>
        <v>59</v>
      </c>
      <c r="G8" s="2">
        <v>59</v>
      </c>
      <c r="H8" s="3">
        <v>7</v>
      </c>
      <c r="I8" s="5">
        <f t="shared" si="5"/>
        <v>7</v>
      </c>
      <c r="J8" s="4">
        <v>0</v>
      </c>
      <c r="K8" s="2">
        <f>J8+_xlfn.IFNA(VLOOKUP($P8,[1]Weapon!$A$1:$M$274,9,FALSE),0)+_xlfn.IFNA(VLOOKUP($S8,[1]Weapon!$A$1:$M$274,9,FALSE),0)+_xlfn.IFNA(VLOOKUP($V8,[1]Weapon!$A$1:$M$274,9,FALSE),0)+_xlfn.IFNA(VLOOKUP($Y8,[1]Weapon!$A$1:$M$274,9,FALSE),0)+_xlfn.IFNA(VLOOKUP($AB8,[1]Weapon!$A$1:$M$274,9,FALSE),0)+_xlfn.IFNA(VLOOKUP($AE8,[1]Weapon!$A$1:$M$274,9,FALSE),0)+_xlfn.IFNA(VLOOKUP($AH8,[1]Weapon!$A$1:$M$274,9,FALSE),0)+_xlfn.IFNA(VLOOKUP($AK8,[1]Weapon!$A$1:$M$274,9,FALSE),0)</f>
        <v>3</v>
      </c>
      <c r="L8" s="3">
        <v>5</v>
      </c>
      <c r="M8" s="5">
        <f t="shared" si="7"/>
        <v>5</v>
      </c>
      <c r="N8" s="4">
        <v>3</v>
      </c>
      <c r="O8" s="2">
        <f t="shared" si="8"/>
        <v>3</v>
      </c>
      <c r="P8" s="59" t="s">
        <v>41</v>
      </c>
      <c r="Q8" s="11">
        <v>46</v>
      </c>
      <c r="R8" s="6">
        <f>_xlfn.IFNA(IF($E8="Robot",VLOOKUP(P8,[1]Weapon!$B$1:$G$273,6,FALSE)/2,VLOOKUP(P8,[1]Weapon!$B$1:$G$273,6,FALSE)),0)</f>
        <v>50</v>
      </c>
      <c r="S8" s="59" t="s">
        <v>97</v>
      </c>
      <c r="T8" s="11"/>
      <c r="U8" s="6">
        <f>_xlfn.IFNA(IF($E8="Robot",VLOOKUP(S8,[1]Weapon!$B$1:$G$273,6,FALSE)/2,VLOOKUP(S8,[1]Weapon!$B$1:$G$273,6,FALSE)),0)</f>
        <v>-2</v>
      </c>
      <c r="V8" s="50"/>
      <c r="W8" s="15"/>
      <c r="X8" s="6">
        <f>_xlfn.IFNA(IF($E8="Robot",VLOOKUP(V8,[1]Weapon!$B$1:$G$273,6,FALSE)/2,VLOOKUP(V8,[1]Weapon!$B$1:$G$273,6,FALSE)),0)</f>
        <v>0</v>
      </c>
      <c r="Y8" s="51"/>
      <c r="Z8" s="15"/>
      <c r="AA8" s="6">
        <f>_xlfn.IFNA(IF($E8="Robot",VLOOKUP(Y8,[1]Weapon!$B$1:$G$273,6,FALSE)/2,VLOOKUP(Y8,[1]Weapon!$B$1:$G$273,6,FALSE)),0)</f>
        <v>0</v>
      </c>
      <c r="AB8" s="50"/>
      <c r="AD8" s="6">
        <f>_xlfn.IFNA(IF($E8="Robot",VLOOKUP(AB8,[1]Weapon!$B$1:$G$273,6,FALSE)/2,VLOOKUP(AB8,[1]Weapon!$B$1:$G$273,6,FALSE)),0)</f>
        <v>0</v>
      </c>
      <c r="AE8" s="50"/>
      <c r="AG8" s="6">
        <f>_xlfn.IFNA(IF($E8="Robot",VLOOKUP(AE8,[1]Weapon!$B$1:$G$273,6,FALSE)/2,VLOOKUP(AE8,[1]Weapon!$B$1:$G$273,6,FALSE)),0)</f>
        <v>0</v>
      </c>
      <c r="AH8" s="51"/>
      <c r="AJ8" s="6">
        <f>_xlfn.IFNA(IF($E8="Robot",VLOOKUP(AH8,[1]Weapon!$B$1:$G$273,6,FALSE)/2,VLOOKUP(AH8,[1]Weapon!$B$1:$G$273,6,FALSE)),0)</f>
        <v>0</v>
      </c>
      <c r="AM8" s="6">
        <f>_xlfn.IFNA(IF($E8="Robot",VLOOKUP(AK8,[1]Weapon!$B$1:$G$273,6,FALSE)/2,VLOOKUP(AK8,[1]Weapon!$B$1:$G$273,6,FALSE)),0)</f>
        <v>0</v>
      </c>
      <c r="AO8" s="6">
        <v>0</v>
      </c>
      <c r="AP8" s="45">
        <f>_xlfn.IFNA(IF($E8="Robot",VLOOKUP(AN8,[1]Weapon!$B$1:$G$273,6,FALSE)/2,VLOOKUP(AN8,[1]Weapon!$B$1:$G$273,6,FALSE)),0)</f>
        <v>0</v>
      </c>
      <c r="AS8">
        <f>VLOOKUP(B8,Toolkit!$Q$3:$T$22,4,FALSE)</f>
        <v>101</v>
      </c>
    </row>
    <row r="9" spans="1:46" x14ac:dyDescent="0.25">
      <c r="A9" s="86" t="str">
        <f t="shared" si="0"/>
        <v>Elishar</v>
      </c>
      <c r="B9" s="57" t="s">
        <v>108</v>
      </c>
      <c r="C9" s="21"/>
      <c r="D9" s="57" t="s">
        <v>109</v>
      </c>
      <c r="E9" s="58" t="s">
        <v>60</v>
      </c>
      <c r="F9" s="1">
        <f ca="1">VLOOKUP(B9,Toolkit!K$3:M$25,3,FALSE)</f>
        <v>31</v>
      </c>
      <c r="G9" s="2">
        <v>52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$274,9,FALSE),0)+_xlfn.IFNA(VLOOKUP($S9,[1]Weapon!$A$1:$M$274,9,FALSE),0)+_xlfn.IFNA(VLOOKUP($V9,[1]Weapon!$A$1:$M$274,9,FALSE),0)+_xlfn.IFNA(VLOOKUP($Y9,[1]Weapon!$A$1:$M$274,9,FALSE),0)+_xlfn.IFNA(VLOOKUP($AB9,[1]Weapon!$A$1:$M$274,9,FALSE),0)+_xlfn.IFNA(VLOOKUP($AE9,[1]Weapon!$A$1:$M$274,9,FALSE),0)+_xlfn.IFNA(VLOOKUP($AH9,[1]Weapon!$A$1:$M$274,9,FALSE),0)+_xlfn.IFNA(VLOOKUP($AK9,[1]Weapon!$A$1:$M$274,9,FALSE),0)</f>
        <v>3</v>
      </c>
      <c r="L9" s="3">
        <v>5</v>
      </c>
      <c r="M9" s="5">
        <f t="shared" si="7"/>
        <v>5</v>
      </c>
      <c r="N9" s="4">
        <v>6</v>
      </c>
      <c r="O9" s="2">
        <f t="shared" si="8"/>
        <v>6</v>
      </c>
      <c r="P9" s="59" t="s">
        <v>101</v>
      </c>
      <c r="Q9" s="6">
        <v>26</v>
      </c>
      <c r="R9" s="6">
        <f>_xlfn.IFNA(IF($E9="Robot",VLOOKUP(P9,[1]Weapon!$B$1:$G$273,6,FALSE)/2,VLOOKUP(P9,[1]Weapon!$B$1:$G$273,6,FALSE)),0)</f>
        <v>30</v>
      </c>
      <c r="S9" s="59" t="s">
        <v>97</v>
      </c>
      <c r="U9" s="6">
        <f>_xlfn.IFNA(IF($E9="Robot",VLOOKUP(S9,[1]Weapon!$B$1:$G$273,6,FALSE)/2,VLOOKUP(S9,[1]Weapon!$B$1:$G$273,6,FALSE)),0)</f>
        <v>-2</v>
      </c>
      <c r="V9" s="51"/>
      <c r="X9" s="6">
        <f>_xlfn.IFNA(IF($E9="Robot",VLOOKUP(V9,[1]Weapon!$B$1:$G$273,6,FALSE)/2,VLOOKUP(V9,[1]Weapon!$B$1:$G$273,6,FALSE)),0)</f>
        <v>0</v>
      </c>
      <c r="Y9" s="50"/>
      <c r="AA9" s="6">
        <f>_xlfn.IFNA(IF($E9="Robot",VLOOKUP(Y9,[1]Weapon!$B$1:$G$273,6,FALSE)/2,VLOOKUP(Y9,[1]Weapon!$B$1:$G$273,6,FALSE)),0)</f>
        <v>0</v>
      </c>
      <c r="AB9" s="50"/>
      <c r="AD9" s="6">
        <f>_xlfn.IFNA(IF($E9="Robot",VLOOKUP(AB9,[1]Weapon!$B$1:$G$273,6,FALSE)/2,VLOOKUP(AB9,[1]Weapon!$B$1:$G$273,6,FALSE)),0)</f>
        <v>0</v>
      </c>
      <c r="AE9" s="50"/>
      <c r="AG9" s="6">
        <f>_xlfn.IFNA(IF($E9="Robot",VLOOKUP(AE9,[1]Weapon!$B$1:$G$273,6,FALSE)/2,VLOOKUP(AE9,[1]Weapon!$B$1:$G$273,6,FALSE)),0)</f>
        <v>0</v>
      </c>
      <c r="AH9" s="50"/>
      <c r="AJ9" s="6">
        <f>_xlfn.IFNA(IF($E9="Robot",VLOOKUP(AH9,[1]Weapon!$B$1:$G$273,6,FALSE)/2,VLOOKUP(AH9,[1]Weapon!$B$1:$G$273,6,FALSE)),0)</f>
        <v>0</v>
      </c>
      <c r="AK9" s="41"/>
      <c r="AM9" s="6">
        <f>_xlfn.IFNA(IF($E9="Robot",VLOOKUP(AK9,[1]Weapon!$B$1:$G$273,6,FALSE)/2,VLOOKUP(AK9,[1]Weapon!$B$1:$G$273,6,FALSE)),0)</f>
        <v>0</v>
      </c>
      <c r="AO9" s="6">
        <v>0</v>
      </c>
      <c r="AP9" s="45">
        <f>_xlfn.IFNA(IF($E9="Robot",VLOOKUP(AN9,[1]Weapon!$B$1:$G$273,6,FALSE)/2,VLOOKUP(AN9,[1]Weapon!$B$1:$G$273,6,FALSE)),0)</f>
        <v>0</v>
      </c>
      <c r="AS9">
        <f>VLOOKUP(B9,Toolkit!$Q$3:$T$22,4,FALSE)</f>
        <v>115</v>
      </c>
    </row>
    <row r="10" spans="1:46" x14ac:dyDescent="0.25">
      <c r="A10" s="86" t="str">
        <f t="shared" si="0"/>
        <v>Malli</v>
      </c>
      <c r="B10" s="57" t="s">
        <v>110</v>
      </c>
      <c r="C10" s="21"/>
      <c r="D10" s="57" t="s">
        <v>111</v>
      </c>
      <c r="E10" s="58" t="s">
        <v>92</v>
      </c>
      <c r="F10" s="1">
        <f ca="1">VLOOKUP(B10,Toolkit!K$3:M$25,3,FALSE)</f>
        <v>45</v>
      </c>
      <c r="G10" s="2">
        <v>45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$274,9,FALSE),0)+_xlfn.IFNA(VLOOKUP($S10,[1]Weapon!$A$1:$M$274,9,FALSE),0)+_xlfn.IFNA(VLOOKUP($V10,[1]Weapon!$A$1:$M$274,9,FALSE),0)+_xlfn.IFNA(VLOOKUP($Y10,[1]Weapon!$A$1:$M$274,9,FALSE),0)+_xlfn.IFNA(VLOOKUP($AB10,[1]Weapon!$A$1:$M$274,9,FALSE),0)+_xlfn.IFNA(VLOOKUP($AE10,[1]Weapon!$A$1:$M$274,9,FALSE),0)+_xlfn.IFNA(VLOOKUP($AH10,[1]Weapon!$A$1:$M$274,9,FALSE),0)+_xlfn.IFNA(VLOOKUP($AK10,[1]Weapon!$A$1:$M$274,9,FALSE),0)</f>
        <v>3</v>
      </c>
      <c r="L10" s="3">
        <v>4</v>
      </c>
      <c r="M10" s="5">
        <f t="shared" si="7"/>
        <v>4</v>
      </c>
      <c r="N10" s="4">
        <v>6</v>
      </c>
      <c r="O10" s="2">
        <f t="shared" si="8"/>
        <v>6</v>
      </c>
      <c r="P10" s="59" t="s">
        <v>89</v>
      </c>
      <c r="Q10" s="6">
        <v>12</v>
      </c>
      <c r="R10" s="6">
        <f>_xlfn.IFNA(IF($E10="Robot",VLOOKUP(P10,[1]Weapon!$B$1:$G$273,6,FALSE)/2,VLOOKUP(P10,[1]Weapon!$B$1:$G$273,6,FALSE)),0)</f>
        <v>15</v>
      </c>
      <c r="S10" s="50"/>
      <c r="U10" s="6">
        <f>_xlfn.IFNA(IF($E10="Robot",VLOOKUP(S10,[1]Weapon!$B$1:$G$273,6,FALSE)/2,VLOOKUP(S10,[1]Weapon!$B$1:$G$273,6,FALSE)),0)</f>
        <v>0</v>
      </c>
      <c r="V10" s="50"/>
      <c r="X10" s="6">
        <f>_xlfn.IFNA(IF($E10="Robot",VLOOKUP(V10,[1]Weapon!$B$1:$G$273,6,FALSE)/2,VLOOKUP(V10,[1]Weapon!$B$1:$G$273,6,FALSE)),0)</f>
        <v>0</v>
      </c>
      <c r="Y10" s="51"/>
      <c r="AA10" s="6">
        <f>_xlfn.IFNA(IF($E10="Robot",VLOOKUP(Y10,[1]Weapon!$B$1:$G$273,6,FALSE)/2,VLOOKUP(Y10,[1]Weapon!$B$1:$G$273,6,FALSE)),0)</f>
        <v>0</v>
      </c>
      <c r="AB10" s="59" t="s">
        <v>112</v>
      </c>
      <c r="AC10" s="6">
        <v>49</v>
      </c>
      <c r="AD10" s="6">
        <f>_xlfn.IFNA(IF($E10="Robot",VLOOKUP(AB10,[1]Weapon!$B$1:$G$273,6,FALSE)/2,VLOOKUP(AB10,[1]Weapon!$B$1:$G$273,6,FALSE)),0)</f>
        <v>50</v>
      </c>
      <c r="AE10" s="59" t="s">
        <v>97</v>
      </c>
      <c r="AG10" s="6">
        <f>_xlfn.IFNA(IF($E10="Robot",VLOOKUP(AE10,[1]Weapon!$B$1:$G$273,6,FALSE)/2,VLOOKUP(AE10,[1]Weapon!$B$1:$G$273,6,FALSE)),0)</f>
        <v>-2</v>
      </c>
      <c r="AH10" s="51"/>
      <c r="AJ10" s="6">
        <f>_xlfn.IFNA(IF($E10="Robot",VLOOKUP(AH10,[1]Weapon!$B$1:$G$273,6,FALSE)/2,VLOOKUP(AH10,[1]Weapon!$B$1:$G$273,6,FALSE)),0)</f>
        <v>0</v>
      </c>
      <c r="AM10" s="6">
        <f>_xlfn.IFNA(IF($E10="Robot",VLOOKUP(AK10,[1]Weapon!$B$1:$G$273,6,FALSE)/2,VLOOKUP(AK10,[1]Weapon!$B$1:$G$273,6,FALSE)),0)</f>
        <v>0</v>
      </c>
      <c r="AO10" s="6">
        <v>0</v>
      </c>
      <c r="AP10" s="45">
        <f>_xlfn.IFNA(IF($E10="Robot",VLOOKUP(AN10,[1]Weapon!$B$1:$G$273,6,FALSE)/2,VLOOKUP(AN10,[1]Weapon!$B$1:$G$273,6,FALSE)),0)</f>
        <v>0</v>
      </c>
      <c r="AS10">
        <f>VLOOKUP(B10,Toolkit!$Q$3:$T$22,4,FALSE)</f>
        <v>155</v>
      </c>
    </row>
    <row r="11" spans="1:46" x14ac:dyDescent="0.25">
      <c r="A11" s="86" t="str">
        <f t="shared" si="0"/>
        <v>Jaelyn</v>
      </c>
      <c r="B11" s="57" t="s">
        <v>74</v>
      </c>
      <c r="C11" s="21"/>
      <c r="D11" s="57" t="s">
        <v>113</v>
      </c>
      <c r="E11" s="58" t="s">
        <v>92</v>
      </c>
      <c r="F11" s="1">
        <f ca="1">VLOOKUP(B11,Toolkit!K$3:M$25,3,FALSE)</f>
        <v>45</v>
      </c>
      <c r="G11" s="2">
        <v>52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$274,9,FALSE),0)+_xlfn.IFNA(VLOOKUP($S11,[1]Weapon!$A$1:$M$274,9,FALSE),0)+_xlfn.IFNA(VLOOKUP($V11,[1]Weapon!$A$1:$M$274,9,FALSE),0)+_xlfn.IFNA(VLOOKUP($Y11,[1]Weapon!$A$1:$M$274,9,FALSE),0)+_xlfn.IFNA(VLOOKUP($AB11,[1]Weapon!$A$1:$M$274,9,FALSE),0)+_xlfn.IFNA(VLOOKUP($AE11,[1]Weapon!$A$1:$M$274,9,FALSE),0)+_xlfn.IFNA(VLOOKUP($AH11,[1]Weapon!$A$1:$M$274,9,FALSE),0)+_xlfn.IFNA(VLOOKUP($AK11,[1]Weapon!$A$1:$M$274,9,FALSE),0)</f>
        <v>2</v>
      </c>
      <c r="L11" s="97">
        <v>4</v>
      </c>
      <c r="M11" s="60">
        <f>L11+1</f>
        <v>5</v>
      </c>
      <c r="N11" s="4">
        <v>6</v>
      </c>
      <c r="O11" s="2">
        <f t="shared" si="8"/>
        <v>6</v>
      </c>
      <c r="P11" s="59" t="s">
        <v>88</v>
      </c>
      <c r="Q11" s="6">
        <v>11</v>
      </c>
      <c r="R11" s="6">
        <f>_xlfn.IFNA(IF($E11="Robot",VLOOKUP(P11,[1]Weapon!$B$1:$G$273,6,FALSE)/2,VLOOKUP(P11,[1]Weapon!$B$1:$G$273,6,FALSE)),0)</f>
        <v>15</v>
      </c>
      <c r="S11" s="96" t="s">
        <v>149</v>
      </c>
      <c r="T11" s="6">
        <v>15</v>
      </c>
      <c r="U11" s="6">
        <f>_xlfn.IFNA(IF($E11="Robot",VLOOKUP(S11,[1]Weapon!$B$1:$G$273,6,FALSE)/2,VLOOKUP(S11,[1]Weapon!$B$1:$G$273,6,FALSE)),0)</f>
        <v>15</v>
      </c>
      <c r="V11" s="50"/>
      <c r="X11" s="6">
        <f>_xlfn.IFNA(IF($E11="Robot",VLOOKUP(V11,[1]Weapon!$B$1:$G$273,6,FALSE)/2,VLOOKUP(V11,[1]Weapon!$B$1:$G$273,6,FALSE)),0)</f>
        <v>0</v>
      </c>
      <c r="Y11" s="51"/>
      <c r="AA11" s="6">
        <f>_xlfn.IFNA(IF($E11="Robot",VLOOKUP(Y11,[1]Weapon!$B$1:$G$273,6,FALSE)/2,VLOOKUP(Y11,[1]Weapon!$B$1:$G$273,6,FALSE)),0)</f>
        <v>0</v>
      </c>
      <c r="AB11" s="59" t="s">
        <v>112</v>
      </c>
      <c r="AC11" s="6">
        <v>49</v>
      </c>
      <c r="AD11" s="6">
        <f>_xlfn.IFNA(IF($E11="Robot",VLOOKUP(AB11,[1]Weapon!$B$1:$G$273,6,FALSE)/2,VLOOKUP(AB11,[1]Weapon!$B$1:$G$273,6,FALSE)),0)</f>
        <v>50</v>
      </c>
      <c r="AE11" s="59" t="s">
        <v>114</v>
      </c>
      <c r="AG11" s="6">
        <f>_xlfn.IFNA(IF($E11="Robot",VLOOKUP(AE11,[1]Weapon!$B$1:$G$273,6,FALSE)/2,VLOOKUP(AE11,[1]Weapon!$B$1:$G$273,6,FALSE)),0)</f>
        <v>-2</v>
      </c>
      <c r="AH11" s="50"/>
      <c r="AJ11" s="6">
        <f>_xlfn.IFNA(IF($E11="Robot",VLOOKUP(AH11,[1]Weapon!$B$1:$G$273,6,FALSE)/2,VLOOKUP(AH11,[1]Weapon!$B$1:$G$273,6,FALSE)),0)</f>
        <v>0</v>
      </c>
      <c r="AM11" s="6">
        <f>_xlfn.IFNA(IF($E11="Robot",VLOOKUP(AK11,[1]Weapon!$B$1:$G$273,6,FALSE)/2,VLOOKUP(AK11,[1]Weapon!$B$1:$G$273,6,FALSE)),0)</f>
        <v>0</v>
      </c>
      <c r="AO11" s="6">
        <v>0</v>
      </c>
      <c r="AP11" s="45">
        <f>_xlfn.IFNA(IF($E11="Robot",VLOOKUP(AN11,[1]Weapon!$B$1:$G$273,6,FALSE)/2,VLOOKUP(AN11,[1]Weapon!$B$1:$G$273,6,FALSE)),0)</f>
        <v>0</v>
      </c>
      <c r="AR11" s="25"/>
      <c r="AS11">
        <f>VLOOKUP(B11,Toolkit!$Q$3:$T$22,4,FALSE)</f>
        <v>115</v>
      </c>
    </row>
    <row r="12" spans="1:46" x14ac:dyDescent="0.25">
      <c r="A12" s="86" t="str">
        <f t="shared" si="0"/>
        <v>DAD-E</v>
      </c>
      <c r="B12" s="57" t="s">
        <v>115</v>
      </c>
      <c r="C12" s="23"/>
      <c r="D12" s="57" t="s">
        <v>116</v>
      </c>
      <c r="E12" s="58" t="s">
        <v>91</v>
      </c>
      <c r="F12" s="1">
        <f ca="1">VLOOKUP(B12,Toolkit!K$3:M$25,3,FALSE)</f>
        <v>57</v>
      </c>
      <c r="G12" s="2">
        <f>24+_xlfn.IFNA(VLOOKUP($P12,[1]Weapon!$A$1:$M$274,12,FALSE),0)+_xlfn.IFNA(VLOOKUP($S12,[1]Weapon!$A$1:$M$274,12,FALSE),0)+_xlfn.IFNA(VLOOKUP($V12,[1]Weapon!$A$1:$M$274,12,FALSE),0)+_xlfn.IFNA(VLOOKUP($Y12,[1]Weapon!$A$1:$M$274,12,FALSE),0)+_xlfn.IFNA(VLOOKUP($AB12,[1]Weapon!$A$1:$M$274,12,FALSE),0)+_xlfn.IFNA(VLOOKUP($AE12,[1]Weapon!$A$1:$M$274,12,FALSE),0)+_xlfn.IFNA(VLOOKUP($AH12,[1]Weapon!$A$1:$M$274,12,FALSE),0)+_xlfn.IFNA(VLOOKUP($AK12,[1]Weapon!$A$1:$M$274,12,FALSE),0)</f>
        <v>60</v>
      </c>
      <c r="H12" s="3">
        <v>0</v>
      </c>
      <c r="I12" s="5">
        <f t="shared" ref="I12" si="9">H12</f>
        <v>0</v>
      </c>
      <c r="J12" s="4">
        <v>6</v>
      </c>
      <c r="K12" s="2">
        <f>J12+_xlfn.IFNA(VLOOKUP($P12,[1]Weapon!$A$1:$M$274,9,FALSE),0)+_xlfn.IFNA(VLOOKUP($S12,[1]Weapon!$A$1:$M$274,9,FALSE),0)+_xlfn.IFNA(VLOOKUP($V12,[1]Weapon!$A$1:$M$274,9,FALSE),0)+_xlfn.IFNA(VLOOKUP($Y12,[1]Weapon!$A$1:$M$274,9,FALSE),0)+_xlfn.IFNA(VLOOKUP($AB12,[1]Weapon!$A$1:$M$274,9,FALSE),0)+_xlfn.IFNA(VLOOKUP($AE12,[1]Weapon!$A$1:$M$274,9,FALSE),0)+_xlfn.IFNA(VLOOKUP($AH12,[1]Weapon!$A$1:$M$274,9,FALSE),0)+_xlfn.IFNA(VLOOKUP($AK12,[1]Weapon!$A$1:$M$274,9,FALSE),0)</f>
        <v>6</v>
      </c>
      <c r="L12" s="3">
        <v>5</v>
      </c>
      <c r="M12" s="60">
        <f>L12+4</f>
        <v>9</v>
      </c>
      <c r="N12" s="4">
        <v>0</v>
      </c>
      <c r="O12" s="2">
        <f t="shared" si="8"/>
        <v>0</v>
      </c>
      <c r="P12" s="59" t="s">
        <v>104</v>
      </c>
      <c r="R12" s="6">
        <f>_xlfn.IFNA(IF($E12="Robot",VLOOKUP(P12,[1]Weapon!$B$1:$G$273,6,FALSE)/2,VLOOKUP(P12,[1]Weapon!$B$1:$G$273,6,FALSE)),0)</f>
        <v>-1</v>
      </c>
      <c r="S12" s="59" t="s">
        <v>117</v>
      </c>
      <c r="T12" s="6">
        <v>17</v>
      </c>
      <c r="U12" s="6">
        <f>_xlfn.IFNA(IF($E12="Robot",VLOOKUP(S12,[1]Weapon!$B$1:$G$273,6,FALSE)/2,VLOOKUP(S12,[1]Weapon!$B$1:$G$273,6,FALSE)),0)</f>
        <v>20</v>
      </c>
      <c r="V12" s="51"/>
      <c r="W12" s="16"/>
      <c r="X12" s="6">
        <f>_xlfn.IFNA(IF($E12="Robot",VLOOKUP(V12,[1]Weapon!$B$1:$G$273,6,FALSE)/2,VLOOKUP(V12,[1]Weapon!$B$1:$G$273,6,FALSE)),0)</f>
        <v>0</v>
      </c>
      <c r="Y12" s="51"/>
      <c r="AA12" s="6">
        <f>_xlfn.IFNA(IF($E12="Robot",VLOOKUP(Y12,[1]Weapon!$B$1:$G$273,6,FALSE)/2,VLOOKUP(Y12,[1]Weapon!$B$1:$G$273,6,FALSE)),0)</f>
        <v>0</v>
      </c>
      <c r="AB12" s="50"/>
      <c r="AD12" s="6">
        <f>_xlfn.IFNA(IF($E12="Robot",VLOOKUP(AB12,[1]Weapon!$B$1:$G$273,6,FALSE)/2,VLOOKUP(AB12,[1]Weapon!$B$1:$G$273,6,FALSE)),0)</f>
        <v>0</v>
      </c>
      <c r="AE12" s="50"/>
      <c r="AG12" s="6">
        <f>_xlfn.IFNA(IF($E12="Robot",VLOOKUP(AE12,[1]Weapon!$B$1:$G$273,6,FALSE)/2,VLOOKUP(AE12,[1]Weapon!$B$1:$G$273,6,FALSE)),0)</f>
        <v>0</v>
      </c>
      <c r="AH12" s="51"/>
      <c r="AJ12" s="6">
        <f>_xlfn.IFNA(IF($E12="Robot",VLOOKUP(AH12,[1]Weapon!$B$1:$G$273,6,FALSE)/2,VLOOKUP(AH12,[1]Weapon!$B$1:$G$273,6,FALSE)),0)</f>
        <v>0</v>
      </c>
      <c r="AM12" s="6">
        <f>_xlfn.IFNA(IF($E12="Robot",VLOOKUP(AK12,[1]Weapon!$B$1:$G$273,6,FALSE)/2,VLOOKUP(AK12,[1]Weapon!$B$1:$G$273,6,FALSE)),0)</f>
        <v>0</v>
      </c>
      <c r="AO12" s="6">
        <v>0</v>
      </c>
      <c r="AP12" s="45">
        <f>_xlfn.IFNA(IF($E12="Robot",VLOOKUP(AN12,[1]Weapon!$B$1:$G$273,6,FALSE)/2,VLOOKUP(AN12,[1]Weapon!$B$1:$G$273,6,FALSE)),0)</f>
        <v>0</v>
      </c>
      <c r="AS12">
        <f>VLOOKUP(B12,Toolkit!$Q$3:$T$22,4,FALSE)</f>
        <v>101</v>
      </c>
    </row>
    <row r="13" spans="1:46" x14ac:dyDescent="0.25">
      <c r="A13" s="86" t="str">
        <f t="shared" ref="A13:A17" si="10">B13</f>
        <v>Tankbot</v>
      </c>
      <c r="B13" s="57" t="s">
        <v>118</v>
      </c>
      <c r="C13" s="21"/>
      <c r="D13" s="57" t="s">
        <v>119</v>
      </c>
      <c r="E13" s="58" t="s">
        <v>91</v>
      </c>
      <c r="F13" s="1">
        <f ca="1">VLOOKUP(B13,Toolkit!K$3:M$25,3,FALSE)</f>
        <v>51</v>
      </c>
      <c r="G13" s="2">
        <f>24+_xlfn.IFNA(VLOOKUP($P13,[1]Weapon!$A$1:$M$274,12,FALSE),0)+_xlfn.IFNA(VLOOKUP($S13,[1]Weapon!$A$1:$M$274,12,FALSE),0)+_xlfn.IFNA(VLOOKUP($V13,[1]Weapon!$A$1:$M$274,12,FALSE),0)+_xlfn.IFNA(VLOOKUP($Y13,[1]Weapon!$A$1:$M$274,12,FALSE),0)+_xlfn.IFNA(VLOOKUP($AB13,[1]Weapon!$A$1:$M$274,12,FALSE),0)+_xlfn.IFNA(VLOOKUP($AE13,[1]Weapon!$A$1:$M$274,12,FALSE),0)+_xlfn.IFNA(VLOOKUP($AH13,[1]Weapon!$A$1:$M$274,12,FALSE),0)+_xlfn.IFNA(VLOOKUP($AK13,[1]Weapon!$A$1:$M$274,12,FALSE),0)</f>
        <v>51</v>
      </c>
      <c r="H13" s="3">
        <v>0</v>
      </c>
      <c r="I13" s="64">
        <f>H13</f>
        <v>0</v>
      </c>
      <c r="J13" s="84">
        <f>6+2</f>
        <v>8</v>
      </c>
      <c r="K13" s="2">
        <f>J13+_xlfn.IFNA(VLOOKUP($P13,[1]Weapon!$A$1:$M$274,9,FALSE),0)+_xlfn.IFNA(VLOOKUP($S13,[1]Weapon!$A$1:$M$274,9,FALSE),0)+_xlfn.IFNA(VLOOKUP($V13,[1]Weapon!$A$1:$M$274,9,FALSE),0)+_xlfn.IFNA(VLOOKUP($Y13,[1]Weapon!$A$1:$M$274,9,FALSE),0)+_xlfn.IFNA(VLOOKUP($AB13,[1]Weapon!$A$1:$M$274,9,FALSE),0)+_xlfn.IFNA(VLOOKUP($AE13,[1]Weapon!$A$1:$M$274,9,FALSE),0)+_xlfn.IFNA(VLOOKUP($AH13,[1]Weapon!$A$1:$M$274,9,FALSE),0)+_xlfn.IFNA(VLOOKUP($AK13,[1]Weapon!$A$1:$M$274,9,FALSE),0)</f>
        <v>10</v>
      </c>
      <c r="L13" s="3">
        <v>5</v>
      </c>
      <c r="M13" s="5">
        <f>L13</f>
        <v>5</v>
      </c>
      <c r="N13" s="4">
        <v>0</v>
      </c>
      <c r="O13" s="2">
        <f t="shared" si="8"/>
        <v>0</v>
      </c>
      <c r="P13" s="59" t="s">
        <v>104</v>
      </c>
      <c r="R13" s="6">
        <f>_xlfn.IFNA(IF($E13="Robot",VLOOKUP(P13,[1]Weapon!$B$1:$G$273,6,FALSE)/2,VLOOKUP(P13,[1]Weapon!$B$1:$G$273,6,FALSE)),0)</f>
        <v>-1</v>
      </c>
      <c r="S13" s="61" t="s">
        <v>125</v>
      </c>
      <c r="T13" s="6">
        <v>21</v>
      </c>
      <c r="U13" s="6">
        <f>_xlfn.IFNA(IF($E13="Robot",VLOOKUP(S13,[1]Weapon!$B$1:$G$273,6,FALSE)/2,VLOOKUP(S13,[1]Weapon!$B$1:$G$273,6,FALSE)),0)</f>
        <v>25</v>
      </c>
      <c r="V13" s="96" t="s">
        <v>155</v>
      </c>
      <c r="X13" s="6">
        <f>_xlfn.IFNA(IF($E13="Robot",VLOOKUP(V13,[1]Weapon!$B$1:$G$273,6,FALSE)/2,VLOOKUP(V13,[1]Weapon!$B$1:$G$273,6,FALSE)),0)</f>
        <v>-1</v>
      </c>
      <c r="Y13" s="51"/>
      <c r="AA13" s="6">
        <f>_xlfn.IFNA(IF($E13="Robot",VLOOKUP(Y13,[1]Weapon!$B$1:$G$273,6,FALSE)/2,VLOOKUP(Y13,[1]Weapon!$B$1:$G$273,6,FALSE)),0)</f>
        <v>0</v>
      </c>
      <c r="AB13" s="50"/>
      <c r="AD13" s="6">
        <f>_xlfn.IFNA(IF($E13="Robot",VLOOKUP(AB13,[1]Weapon!$B$1:$G$273,6,FALSE)/2,VLOOKUP(AB13,[1]Weapon!$B$1:$G$273,6,FALSE)),0)</f>
        <v>0</v>
      </c>
      <c r="AE13" s="50"/>
      <c r="AG13" s="6">
        <f>_xlfn.IFNA(IF($E13="Robot",VLOOKUP(AE13,[1]Weapon!$B$1:$G$273,6,FALSE)/2,VLOOKUP(AE13,[1]Weapon!$B$1:$G$273,6,FALSE)),0)</f>
        <v>0</v>
      </c>
      <c r="AH13" s="50"/>
      <c r="AJ13" s="6">
        <f>_xlfn.IFNA(IF($E13="Robot",VLOOKUP(AH13,[1]Weapon!$B$1:$G$273,6,FALSE)/2,VLOOKUP(AH13,[1]Weapon!$B$1:$G$273,6,FALSE)),0)</f>
        <v>0</v>
      </c>
      <c r="AM13" s="6">
        <f>_xlfn.IFNA(IF($E13="Robot",VLOOKUP(AK13,[1]Weapon!$B$1:$G$273,6,FALSE)/2,VLOOKUP(AK13,[1]Weapon!$B$1:$G$273,6,FALSE)),0)</f>
        <v>0</v>
      </c>
      <c r="AO13" s="6">
        <v>0</v>
      </c>
      <c r="AP13" s="45">
        <f>_xlfn.IFNA(IF($E13="Robot",VLOOKUP(AN13,[1]Weapon!$B$1:$G$273,6,FALSE)/2,VLOOKUP(AN13,[1]Weapon!$B$1:$G$273,6,FALSE)),0)</f>
        <v>0</v>
      </c>
      <c r="AR13" s="25"/>
      <c r="AS13">
        <f>VLOOKUP(B13,Toolkit!$Q$3:$T$22,4,FALSE)</f>
        <v>115</v>
      </c>
    </row>
    <row r="14" spans="1:46" x14ac:dyDescent="0.25">
      <c r="A14" s="86" t="str">
        <f t="shared" si="10"/>
        <v>DM</v>
      </c>
      <c r="B14" s="57" t="s">
        <v>120</v>
      </c>
      <c r="C14" s="21"/>
      <c r="D14" s="57" t="s">
        <v>121</v>
      </c>
      <c r="E14" s="58" t="s">
        <v>90</v>
      </c>
      <c r="F14" s="1">
        <f ca="1">VLOOKUP(B14,Toolkit!K$3:M$25,3,FALSE)</f>
        <v>16</v>
      </c>
      <c r="G14" s="2">
        <f>IF(ISBLANK(VLOOKUP($E14,[1]Monster!$A$2:$X$256,10,FALSE)),"",VLOOKUP($E14,[1]Monster!$A$2:$X$256,10,FALSE))</f>
        <v>45</v>
      </c>
      <c r="H14" s="3">
        <v>0</v>
      </c>
      <c r="I14" s="5">
        <f>IF(ISBLANK(VLOOKUP($E14,[1]Monster!$A$2:$X$256,11,FALSE)),"",VLOOKUP($E14,[1]Monster!$A$2:$X$256,11,FALSE))+H14</f>
        <v>5</v>
      </c>
      <c r="J14" s="4">
        <v>0</v>
      </c>
      <c r="K14" s="2">
        <f>IF(ISBLANK(VLOOKUP($E14,[1]Monster!$A$2:$X$256,14,FALSE)),"",VLOOKUP($E14,[1]Monster!$A$2:$X$256,14,FALSE))+J14</f>
        <v>5</v>
      </c>
      <c r="L14" s="3">
        <v>0</v>
      </c>
      <c r="M14" s="5">
        <f>IF(ISBLANK(VLOOKUP($E14,[1]Monster!$A$2:$X$256,12,FALSE)),"",VLOOKUP($E14,[1]Monster!$A$2:$X$256,12,FALSE))+L14</f>
        <v>2</v>
      </c>
      <c r="N14" s="4">
        <v>0</v>
      </c>
      <c r="O14" s="2">
        <f>IF(ISBLANK(VLOOKUP($E14,[1]Monster!$A$2:$X$256,13,FALSE)),"",VLOOKUP($E14,[1]Monster!$A$2:$X$256,13,FALSE))+N14</f>
        <v>6</v>
      </c>
      <c r="P14" s="50" t="str">
        <f>IF(ISBLANK(VLOOKUP($E14,[1]Monster!$A$2:$X$256,16,FALSE)),"",VLOOKUP($E14,[1]Monster!$A$2:$X$256,16,FALSE))</f>
        <v>Nail</v>
      </c>
      <c r="Q14" s="7">
        <v>30</v>
      </c>
      <c r="R14" s="6">
        <f>_xlfn.IFNA(IF($E14="Robot",VLOOKUP(P14,[1]Weapon!$B$1:$G$273,6,FALSE)/2,VLOOKUP(P14,[1]Weapon!$B$1:$G$273,6,FALSE)),0)</f>
        <v>30</v>
      </c>
      <c r="S14" s="50" t="str">
        <f>IF(ISBLANK(VLOOKUP($E14,[1]Monster!$A$2:$X$256,17,FALSE)),"",VLOOKUP($E14,[1]Monster!$A$2:$X$256,17,FALSE))</f>
        <v>Flame</v>
      </c>
      <c r="T14" s="6">
        <v>11</v>
      </c>
      <c r="U14" s="6">
        <f>_xlfn.IFNA(IF($E14="Robot",VLOOKUP(S14,[1]Weapon!$B$1:$G$273,6,FALSE)/2,VLOOKUP(S14,[1]Weapon!$B$1:$G$273,6,FALSE)),0)</f>
        <v>15</v>
      </c>
      <c r="V14" s="51" t="str">
        <f>IF(ISBLANK(VLOOKUP($E14,[1]Monster!$A$2:$X$256,18,FALSE)),"",VLOOKUP($E14,[1]Monster!$A$2:$X$256,18,FALSE))</f>
        <v>O-Quake</v>
      </c>
      <c r="W14" s="17">
        <v>-1</v>
      </c>
      <c r="X14" s="6">
        <f>_xlfn.IFNA(IF($E14="Robot",VLOOKUP(V14,[1]Weapon!$B$1:$G$273,6,FALSE)/2,VLOOKUP(V14,[1]Weapon!$B$1:$G$273,6,FALSE)),0)</f>
        <v>-2</v>
      </c>
      <c r="Y14" s="51"/>
      <c r="AA14" s="6">
        <f>_xlfn.IFNA(IF($E14="Robot",VLOOKUP(Y14,[1]Weapon!$B$1:$G$273,6,FALSE)/2,VLOOKUP(Y14,[1]Weapon!$B$1:$G$273,6,FALSE)),0)</f>
        <v>0</v>
      </c>
      <c r="AB14" s="50" t="str">
        <f>IF(ISBLANK(VLOOKUP($E14,[1]Monster!$A$2:$X$256,20,FALSE)),"",VLOOKUP($E14,[1]Monster!$A$2:$X$256,20,FALSE))</f>
        <v/>
      </c>
      <c r="AD14" s="6">
        <f>_xlfn.IFNA(IF($E14="Robot",VLOOKUP(AB14,[1]Weapon!$B$1:$G$273,6,FALSE)/2,VLOOKUP(AB14,[1]Weapon!$B$1:$G$273,6,FALSE)),0)</f>
        <v>0</v>
      </c>
      <c r="AE14" s="50" t="str">
        <f>IF(ISBLANK(VLOOKUP($E14,[1]Monster!$A$2:$X$256,21,FALSE)),"",VLOOKUP($E14,[1]Monster!$A$2:$X$256,21,FALSE))</f>
        <v/>
      </c>
      <c r="AG14" s="6">
        <f>_xlfn.IFNA(IF($E14="Robot",VLOOKUP(AE14,[1]Weapon!$B$1:$G$273,6,FALSE)/2,VLOOKUP(AE14,[1]Weapon!$B$1:$G$273,6,FALSE)),0)</f>
        <v>0</v>
      </c>
      <c r="AH14" s="51" t="str">
        <f>IF(ISBLANK(VLOOKUP($E14,[1]Monster!$A$2:$X$256,22,FALSE)),"",VLOOKUP($E14,[1]Monster!$A$2:$X$256,22,FALSE))</f>
        <v/>
      </c>
      <c r="AJ14" s="6">
        <f>_xlfn.IFNA(IF($E14="Robot",VLOOKUP(AH14,[1]Weapon!$B$1:$G$273,6,FALSE)/2,VLOOKUP(AH14,[1]Weapon!$B$1:$G$273,6,FALSE)),0)</f>
        <v>0</v>
      </c>
      <c r="AK14" s="39" t="str">
        <f>IF(ISBLANK(VLOOKUP($E14,[1]Monster!$A$2:$X$256,23,FALSE)),"",VLOOKUP($E14,[1]Monster!$A$2:$X$256,23,FALSE))</f>
        <v/>
      </c>
      <c r="AM14" s="6">
        <f>_xlfn.IFNA(IF($E14="Robot",VLOOKUP(AK14,[1]Weapon!$B$1:$G$273,6,FALSE)/2,VLOOKUP(AK14,[1]Weapon!$B$1:$G$273,6,FALSE)),0)</f>
        <v>0</v>
      </c>
      <c r="AO14" s="6">
        <v>0</v>
      </c>
      <c r="AP14" s="45">
        <f>_xlfn.IFNA(IF($E14="Robot",VLOOKUP(AN14,[1]Weapon!$B$1:$G$273,6,FALSE)/2,VLOOKUP(AN14,[1]Weapon!$B$1:$G$273,6,FALSE)),0)</f>
        <v>0</v>
      </c>
      <c r="AR14" s="25"/>
      <c r="AS14">
        <f>VLOOKUP(B14,Toolkit!$Q$3:$T$22,4,FALSE)</f>
        <v>155</v>
      </c>
    </row>
    <row r="15" spans="1:46" x14ac:dyDescent="0.25">
      <c r="A15" s="86" t="str">
        <f t="shared" si="10"/>
        <v>Lictus</v>
      </c>
      <c r="B15" s="65" t="s">
        <v>128</v>
      </c>
      <c r="C15" s="21"/>
      <c r="D15" s="62" t="s">
        <v>123</v>
      </c>
      <c r="E15" s="63" t="s">
        <v>60</v>
      </c>
      <c r="F15" s="1">
        <f ca="1">VLOOKUP(B15,Toolkit!K$3:M$25,3,FALSE)</f>
        <v>52</v>
      </c>
      <c r="G15" s="2">
        <v>52</v>
      </c>
      <c r="H15" s="3">
        <v>5</v>
      </c>
      <c r="I15" s="5">
        <f t="shared" ref="I15" si="11">H15</f>
        <v>5</v>
      </c>
      <c r="J15" s="4">
        <v>0</v>
      </c>
      <c r="K15" s="2">
        <f>J15+_xlfn.IFNA(VLOOKUP($P15,[1]Weapon!$A$1:$M$274,9,FALSE),0)+_xlfn.IFNA(VLOOKUP($S15,[1]Weapon!$A$1:$M$274,9,FALSE),0)+_xlfn.IFNA(VLOOKUP($V15,[1]Weapon!$A$1:$M$274,9,FALSE),0)+_xlfn.IFNA(VLOOKUP($Y15,[1]Weapon!$A$1:$M$274,9,FALSE),0)+_xlfn.IFNA(VLOOKUP($AB15,[1]Weapon!$A$1:$M$274,9,FALSE),0)+_xlfn.IFNA(VLOOKUP($AE15,[1]Weapon!$A$1:$M$274,9,FALSE),0)+_xlfn.IFNA(VLOOKUP($AH15,[1]Weapon!$A$1:$M$274,9,FALSE),0)+_xlfn.IFNA(VLOOKUP($AK15,[1]Weapon!$A$1:$M$274,9,FALSE),0)</f>
        <v>3</v>
      </c>
      <c r="L15" s="3">
        <v>8</v>
      </c>
      <c r="M15" s="5">
        <f t="shared" ref="M15:M16" si="12">L15</f>
        <v>8</v>
      </c>
      <c r="N15" s="4">
        <v>4</v>
      </c>
      <c r="O15" s="2">
        <f t="shared" si="8"/>
        <v>4</v>
      </c>
      <c r="P15" s="61" t="s">
        <v>124</v>
      </c>
      <c r="Q15" s="6">
        <v>46</v>
      </c>
      <c r="R15" s="6">
        <f>_xlfn.IFNA(IF($E15="Robot",VLOOKUP(P15,[1]Weapon!$B$1:$G$273,6,FALSE)/2,VLOOKUP(P15,[1]Weapon!$B$1:$G$273,6,FALSE)),0)</f>
        <v>50</v>
      </c>
      <c r="S15" s="61" t="s">
        <v>97</v>
      </c>
      <c r="U15" s="6">
        <f>_xlfn.IFNA(IF($E15="Robot",VLOOKUP(S15,[1]Weapon!$B$1:$G$273,6,FALSE)/2,VLOOKUP(S15,[1]Weapon!$B$1:$G$273,6,FALSE)),0)</f>
        <v>-2</v>
      </c>
      <c r="V15" s="51"/>
      <c r="X15" s="6">
        <f>_xlfn.IFNA(IF($E15="Robot",VLOOKUP(V15,[1]Weapon!$B$1:$G$273,6,FALSE)/2,VLOOKUP(V15,[1]Weapon!$B$1:$G$273,6,FALSE)),0)</f>
        <v>0</v>
      </c>
      <c r="Y15" s="51"/>
      <c r="AA15" s="6">
        <f>_xlfn.IFNA(IF($E15="Robot",VLOOKUP(Y15,[1]Weapon!$B$1:$G$273,6,FALSE)/2,VLOOKUP(Y15,[1]Weapon!$B$1:$G$273,6,FALSE)),0)</f>
        <v>0</v>
      </c>
      <c r="AB15" s="50"/>
      <c r="AD15" s="6">
        <f>_xlfn.IFNA(IF($E15="Robot",VLOOKUP(AB15,[1]Weapon!$B$1:$G$273,6,FALSE)/2,VLOOKUP(AB15,[1]Weapon!$B$1:$G$273,6,FALSE)),0)</f>
        <v>0</v>
      </c>
      <c r="AE15" s="50"/>
      <c r="AG15" s="6">
        <f>_xlfn.IFNA(IF($E15="Robot",VLOOKUP(AE15,[1]Weapon!$B$1:$G$273,6,FALSE)/2,VLOOKUP(AE15,[1]Weapon!$B$1:$G$273,6,FALSE)),0)</f>
        <v>0</v>
      </c>
      <c r="AH15" s="50"/>
      <c r="AJ15" s="6">
        <f>_xlfn.IFNA(IF($E15="Robot",VLOOKUP(AH15,[1]Weapon!$B$1:$G$273,6,FALSE)/2,VLOOKUP(AH15,[1]Weapon!$B$1:$G$273,6,FALSE)),0)</f>
        <v>0</v>
      </c>
      <c r="AM15" s="6">
        <f>_xlfn.IFNA(IF($E15="Robot",VLOOKUP(AK15,[1]Weapon!$B$1:$G$273,6,FALSE)/2,VLOOKUP(AK15,[1]Weapon!$B$1:$G$273,6,FALSE)),0)</f>
        <v>0</v>
      </c>
      <c r="AO15" s="6">
        <v>0</v>
      </c>
      <c r="AP15" s="45">
        <f>_xlfn.IFNA(IF($E15="Robot",VLOOKUP(AN15,[1]Weapon!$B$1:$G$273,6,FALSE)/2,VLOOKUP(AN15,[1]Weapon!$B$1:$G$273,6,FALSE)),0)</f>
        <v>0</v>
      </c>
      <c r="AR15" s="25"/>
      <c r="AS15">
        <f>VLOOKUP(B15,Toolkit!$Q$3:$T$22,4,FALSE)</f>
        <v>86</v>
      </c>
    </row>
    <row r="16" spans="1:46" x14ac:dyDescent="0.25">
      <c r="A16" s="86" t="str">
        <f t="shared" si="10"/>
        <v>BYTE</v>
      </c>
      <c r="B16" s="65" t="s">
        <v>126</v>
      </c>
      <c r="C16" s="21"/>
      <c r="D16" s="65" t="s">
        <v>127</v>
      </c>
      <c r="E16" s="58" t="s">
        <v>91</v>
      </c>
      <c r="F16" s="1">
        <f ca="1">VLOOKUP(B16,Toolkit!K$3:M$25,3,FALSE)</f>
        <v>45</v>
      </c>
      <c r="G16" s="2">
        <f>24+_xlfn.IFNA(VLOOKUP($P16,[1]Weapon!$A$1:$M$274,12,FALSE),0)+_xlfn.IFNA(VLOOKUP($S16,[1]Weapon!$A$1:$M$274,12,FALSE),0)+_xlfn.IFNA(VLOOKUP($V16,[1]Weapon!$A$1:$M$274,12,FALSE),0)+_xlfn.IFNA(VLOOKUP($Y16,[1]Weapon!$A$1:$M$274,12,FALSE),0)+_xlfn.IFNA(VLOOKUP($AB16,[1]Weapon!$A$1:$M$274,12,FALSE),0)+_xlfn.IFNA(VLOOKUP($AE16,[1]Weapon!$A$1:$M$274,12,FALSE),0)+_xlfn.IFNA(VLOOKUP($AH16,[1]Weapon!$A$1:$M$274,12,FALSE),0)+_xlfn.IFNA(VLOOKUP($AK16,[1]Weapon!$A$1:$M$274,12,FALSE),0)</f>
        <v>60</v>
      </c>
      <c r="H16" s="3">
        <v>0</v>
      </c>
      <c r="I16" s="60">
        <f>H16+6</f>
        <v>6</v>
      </c>
      <c r="J16" s="4">
        <v>6</v>
      </c>
      <c r="K16" s="2">
        <f>J16+_xlfn.IFNA(VLOOKUP($P16,[1]Weapon!$A$1:$M$274,9,FALSE),0)+_xlfn.IFNA(VLOOKUP($S16,[1]Weapon!$A$1:$M$274,9,FALSE),0)+_xlfn.IFNA(VLOOKUP($V16,[1]Weapon!$A$1:$M$274,9,FALSE),0)+_xlfn.IFNA(VLOOKUP($Y16,[1]Weapon!$A$1:$M$274,9,FALSE),0)+_xlfn.IFNA(VLOOKUP($AB16,[1]Weapon!$A$1:$M$274,9,FALSE),0)+_xlfn.IFNA(VLOOKUP($AE16,[1]Weapon!$A$1:$M$274,9,FALSE),0)+_xlfn.IFNA(VLOOKUP($AH16,[1]Weapon!$A$1:$M$274,9,FALSE),0)+_xlfn.IFNA(VLOOKUP($AK16,[1]Weapon!$A$1:$M$274,9,FALSE),0)</f>
        <v>6</v>
      </c>
      <c r="L16" s="3">
        <v>5</v>
      </c>
      <c r="M16" s="5">
        <f t="shared" si="12"/>
        <v>5</v>
      </c>
      <c r="N16" s="4">
        <v>0</v>
      </c>
      <c r="O16" s="2">
        <f t="shared" ref="O16" si="13">N16</f>
        <v>0</v>
      </c>
      <c r="P16" s="59" t="s">
        <v>104</v>
      </c>
      <c r="R16" s="6">
        <f>_xlfn.IFNA(IF($E16="Robot",VLOOKUP(P16,[1]Weapon!$B$1:$G$273,6,FALSE)/2,VLOOKUP(P16,[1]Weapon!$B$1:$G$273,6,FALSE)),0)</f>
        <v>-1</v>
      </c>
      <c r="S16" s="59" t="s">
        <v>105</v>
      </c>
      <c r="T16" s="6">
        <v>21</v>
      </c>
      <c r="U16" s="6">
        <f>_xlfn.IFNA(IF($E16="Robot",VLOOKUP(S16,[1]Weapon!$B$1:$G$273,6,FALSE)/2,VLOOKUP(S16,[1]Weapon!$B$1:$G$273,6,FALSE)),0)</f>
        <v>25</v>
      </c>
      <c r="V16" s="51"/>
      <c r="X16" s="6">
        <f>_xlfn.IFNA(IF($E16="Robot",VLOOKUP(V16,[1]Weapon!$B$1:$G$273,6,FALSE)/2,VLOOKUP(V16,[1]Weapon!$B$1:$G$273,6,FALSE)),0)</f>
        <v>0</v>
      </c>
      <c r="Y16" s="50"/>
      <c r="AA16" s="6">
        <f>_xlfn.IFNA(IF($E16="Robot",VLOOKUP(Y16,[1]Weapon!$B$1:$G$273,6,FALSE)/2,VLOOKUP(Y16,[1]Weapon!$B$1:$G$273,6,FALSE)),0)</f>
        <v>0</v>
      </c>
      <c r="AB16" s="50"/>
      <c r="AD16" s="6">
        <f>_xlfn.IFNA(IF($E16="Robot",VLOOKUP(AB16,[1]Weapon!$B$1:$G$273,6,FALSE)/2,VLOOKUP(AB16,[1]Weapon!$B$1:$G$273,6,FALSE)),0)</f>
        <v>0</v>
      </c>
      <c r="AE16" s="50"/>
      <c r="AG16" s="6">
        <f>_xlfn.IFNA(IF($E16="Robot",VLOOKUP(AE16,[1]Weapon!$B$1:$G$273,6,FALSE)/2,VLOOKUP(AE16,[1]Weapon!$B$1:$G$273,6,FALSE)),0)</f>
        <v>0</v>
      </c>
      <c r="AH16" s="51"/>
      <c r="AJ16" s="6">
        <f>_xlfn.IFNA(IF($E16="Robot",VLOOKUP(AH16,[1]Weapon!$B$1:$G$273,6,FALSE)/2,VLOOKUP(AH16,[1]Weapon!$B$1:$G$273,6,FALSE)),0)</f>
        <v>0</v>
      </c>
      <c r="AM16" s="6">
        <f>_xlfn.IFNA(IF($E16="Robot",VLOOKUP(AK16,[1]Weapon!$B$1:$G$273,6,FALSE)/2,VLOOKUP(AK16,[1]Weapon!$B$1:$G$273,6,FALSE)),0)</f>
        <v>0</v>
      </c>
      <c r="AO16" s="6">
        <v>0</v>
      </c>
      <c r="AP16" s="45">
        <f>_xlfn.IFNA(IF($E16="Robot",VLOOKUP(AN16,[1]Weapon!$B$1:$G$273,6,FALSE)/2,VLOOKUP(AN16,[1]Weapon!$B$1:$G$273,6,FALSE)),0)</f>
        <v>0</v>
      </c>
      <c r="AR16" s="25"/>
      <c r="AS16">
        <f>VLOOKUP(B16,Toolkit!$Q$3:$T$22,4,FALSE)</f>
        <v>155</v>
      </c>
    </row>
    <row r="17" spans="1:45" x14ac:dyDescent="0.25">
      <c r="A17" s="86" t="str">
        <f t="shared" si="10"/>
        <v>Mr. S</v>
      </c>
      <c r="B17" s="82" t="s">
        <v>137</v>
      </c>
      <c r="C17" s="21"/>
      <c r="D17" s="82" t="s">
        <v>138</v>
      </c>
      <c r="E17" s="83" t="s">
        <v>139</v>
      </c>
      <c r="F17" s="1">
        <v>185</v>
      </c>
      <c r="G17" s="2">
        <f>IF(ISBLANK(VLOOKUP($E17,[1]Monster!$A$2:$X$256,10,FALSE)),"",VLOOKUP($E17,[1]Monster!$A$2:$X$256,10,FALSE))</f>
        <v>185</v>
      </c>
      <c r="H17" s="3">
        <v>0</v>
      </c>
      <c r="I17" s="5">
        <f>IF(ISBLANK(VLOOKUP($E17,[1]Monster!$A$2:$X$256,11,FALSE)),"",VLOOKUP($E17,[1]Monster!$A$2:$X$256,11,FALSE))+H17</f>
        <v>18</v>
      </c>
      <c r="J17" s="4">
        <v>0</v>
      </c>
      <c r="K17" s="2">
        <f>IF(ISBLANK(VLOOKUP($E17,[1]Monster!$A$2:$X$256,14,FALSE)),"",VLOOKUP($E17,[1]Monster!$A$2:$X$256,14,FALSE))+J17</f>
        <v>18</v>
      </c>
      <c r="L17" s="3">
        <v>0</v>
      </c>
      <c r="M17" s="5">
        <f>IF(ISBLANK(VLOOKUP($E17,[1]Monster!$A$2:$X$256,12,FALSE)),"",VLOOKUP($E17,[1]Monster!$A$2:$X$256,12,FALSE))+L17</f>
        <v>15</v>
      </c>
      <c r="N17" s="4">
        <v>0</v>
      </c>
      <c r="O17" s="2">
        <f>IF(ISBLANK(VLOOKUP($E17,[1]Monster!$A$2:$X$256,13,FALSE)),"",VLOOKUP($E17,[1]Monster!$A$2:$X$256,13,FALSE))+N17</f>
        <v>19</v>
      </c>
      <c r="P17" s="50" t="str">
        <f>IF(ISBLANK(VLOOKUP($E17,[1]Monster!$A$2:$X$256,16,FALSE)),"",VLOOKUP($E17,[1]Monster!$A$2:$X$256,16,FALSE))</f>
        <v>Dissolve</v>
      </c>
      <c r="Q17" s="7">
        <v>15</v>
      </c>
      <c r="R17" s="6">
        <f>_xlfn.IFNA(IF($E17="Robot",VLOOKUP(P17,[1]Weapon!$B$1:$G$273,6,FALSE)/2,VLOOKUP(P17,[1]Weapon!$B$1:$G$273,6,FALSE)),0)</f>
        <v>15</v>
      </c>
      <c r="S17" s="50" t="str">
        <f>IF(ISBLANK(VLOOKUP($E17,[1]Monster!$A$2:$X$256,17,FALSE)),"",VLOOKUP($E17,[1]Monster!$A$2:$X$256,17,FALSE))</f>
        <v>Fire</v>
      </c>
      <c r="T17" s="6">
        <v>15</v>
      </c>
      <c r="U17" s="6">
        <f>_xlfn.IFNA(IF($E17="Robot",VLOOKUP(S17,[1]Weapon!$B$1:$G$273,6,FALSE)/2,VLOOKUP(S17,[1]Weapon!$B$1:$G$273,6,FALSE)),0)</f>
        <v>15</v>
      </c>
      <c r="V17" s="51" t="str">
        <f>IF(ISBLANK(VLOOKUP($E17,[1]Monster!$A$2:$X$256,18,FALSE)),"",VLOOKUP($E17,[1]Monster!$A$2:$X$256,18,FALSE))</f>
        <v>Cure</v>
      </c>
      <c r="W17" s="17">
        <v>15</v>
      </c>
      <c r="X17" s="6">
        <f>_xlfn.IFNA(IF($E17="Robot",VLOOKUP(V17,[1]Weapon!$B$1:$G$273,6,FALSE)/2,VLOOKUP(V17,[1]Weapon!$B$1:$G$273,6,FALSE)),0)</f>
        <v>15</v>
      </c>
      <c r="Y17" s="51"/>
      <c r="AA17" s="6">
        <f>_xlfn.IFNA(IF($E17="Robot",VLOOKUP(Y17,[1]Weapon!$B$1:$G$273,6,FALSE)/2,VLOOKUP(Y17,[1]Weapon!$B$1:$G$273,6,FALSE)),0)</f>
        <v>0</v>
      </c>
      <c r="AB17" s="50" t="str">
        <f>IF(ISBLANK(VLOOKUP($E17,[1]Monster!$A$2:$X$256,20,FALSE)),"",VLOOKUP($E17,[1]Monster!$A$2:$X$256,20,FALSE))</f>
        <v/>
      </c>
      <c r="AD17" s="6">
        <f>_xlfn.IFNA(IF($E17="Robot",VLOOKUP(AB17,[1]Weapon!$B$1:$G$273,6,FALSE)/2,VLOOKUP(AB17,[1]Weapon!$B$1:$G$273,6,FALSE)),0)</f>
        <v>0</v>
      </c>
      <c r="AE17" s="50" t="str">
        <f>IF(ISBLANK(VLOOKUP($E17,[1]Monster!$A$2:$X$256,21,FALSE)),"",VLOOKUP($E17,[1]Monster!$A$2:$X$256,21,FALSE))</f>
        <v/>
      </c>
      <c r="AG17" s="6">
        <f>_xlfn.IFNA(IF($E17="Robot",VLOOKUP(AE17,[1]Weapon!$B$1:$G$273,6,FALSE)/2,VLOOKUP(AE17,[1]Weapon!$B$1:$G$273,6,FALSE)),0)</f>
        <v>0</v>
      </c>
      <c r="AH17" s="51" t="str">
        <f>IF(ISBLANK(VLOOKUP($E17,[1]Monster!$A$2:$X$256,22,FALSE)),"",VLOOKUP($E17,[1]Monster!$A$2:$X$256,22,FALSE))</f>
        <v/>
      </c>
      <c r="AJ17" s="6">
        <f>_xlfn.IFNA(IF($E17="Robot",VLOOKUP(AH17,[1]Weapon!$B$1:$G$273,6,FALSE)/2,VLOOKUP(AH17,[1]Weapon!$B$1:$G$273,6,FALSE)),0)</f>
        <v>0</v>
      </c>
      <c r="AK17" s="39" t="str">
        <f>IF(ISBLANK(VLOOKUP($E17,[1]Monster!$A$2:$X$256,23,FALSE)),"",VLOOKUP($E17,[1]Monster!$A$2:$X$256,23,FALSE))</f>
        <v/>
      </c>
      <c r="AM17" s="6">
        <f>_xlfn.IFNA(IF($E17="Robot",VLOOKUP(AK17,[1]Weapon!$B$1:$G$273,6,FALSE)/2,VLOOKUP(AK17,[1]Weapon!$B$1:$G$273,6,FALSE)),0)</f>
        <v>0</v>
      </c>
      <c r="AO17" s="6">
        <v>0</v>
      </c>
      <c r="AP17" s="45">
        <f>_xlfn.IFNA(IF($E17="Robot",VLOOKUP(AN17,[1]Weapon!$B$1:$G$273,6,FALSE)/2,VLOOKUP(AN17,[1]Weapon!$B$1:$G$273,6,FALSE)),0)</f>
        <v>0</v>
      </c>
      <c r="AR17" s="25"/>
      <c r="AS17">
        <v>0</v>
      </c>
    </row>
    <row r="18" spans="1:45" x14ac:dyDescent="0.25">
      <c r="B18" s="47"/>
      <c r="C18" s="21"/>
      <c r="D18" s="47"/>
      <c r="E18" s="22"/>
      <c r="F18" s="20"/>
      <c r="J18" s="4"/>
      <c r="N18" s="4"/>
      <c r="P18" s="50"/>
      <c r="S18" s="50"/>
      <c r="V18" s="50"/>
      <c r="Y18" s="50"/>
      <c r="AB18" s="52"/>
      <c r="AE18" s="50"/>
      <c r="AH18" s="51"/>
      <c r="AR18" s="25"/>
    </row>
    <row r="19" spans="1:45" x14ac:dyDescent="0.25">
      <c r="B19" s="47"/>
      <c r="C19" s="21"/>
      <c r="D19" s="47"/>
      <c r="E19" s="46"/>
      <c r="F19" s="20"/>
      <c r="J19" s="4"/>
      <c r="N19" s="4"/>
      <c r="P19" s="51"/>
      <c r="S19" s="51"/>
      <c r="V19" s="51"/>
      <c r="Y19" s="51"/>
      <c r="AB19" s="51"/>
      <c r="AR19" s="25"/>
    </row>
    <row r="20" spans="1:45" x14ac:dyDescent="0.25">
      <c r="B20" s="53"/>
      <c r="D20" s="53"/>
      <c r="E20" s="53"/>
      <c r="P20" s="52"/>
      <c r="S20" s="52"/>
      <c r="V20" s="52"/>
      <c r="Y20" s="52"/>
      <c r="AB20" s="52"/>
      <c r="AH20" s="40"/>
      <c r="AK20" s="40"/>
    </row>
  </sheetData>
  <conditionalFormatting sqref="A20:A1048576 A1:A12">
    <cfRule type="notContainsBlanks" dxfId="13" priority="23">
      <formula>LEN(TRIM(A1))&gt;0</formula>
    </cfRule>
  </conditionalFormatting>
  <conditionalFormatting sqref="Q20:AP20 Q10:AP12 Q9:X9 AI9:AP9 Q6:AG6 AI6:AP6 Q4:AP4 Q3:AG3 AI3:AP3 Q7:AP8 Z9:AG9 Q2:X2 Z2:AP2 AN5:AP5">
    <cfRule type="cellIs" dxfId="12" priority="21" operator="lessThan">
      <formula>0</formula>
    </cfRule>
  </conditionalFormatting>
  <conditionalFormatting sqref="A13:A19">
    <cfRule type="notContainsBlanks" dxfId="11" priority="12">
      <formula>LEN(TRIM(A13))&gt;0</formula>
    </cfRule>
  </conditionalFormatting>
  <conditionalFormatting sqref="Q13:AP13 Q15:AP15 AN14:AP14 Q18:AP19 V16:AP16 AN17:AP17">
    <cfRule type="cellIs" dxfId="10" priority="11" operator="lessThan">
      <formula>0</formula>
    </cfRule>
  </conditionalFormatting>
  <conditionalFormatting sqref="AH9">
    <cfRule type="cellIs" dxfId="9" priority="10" operator="lessThan">
      <formula>0</formula>
    </cfRule>
  </conditionalFormatting>
  <conditionalFormatting sqref="AH6">
    <cfRule type="cellIs" dxfId="8" priority="9" operator="lessThan">
      <formula>0</formula>
    </cfRule>
  </conditionalFormatting>
  <conditionalFormatting sqref="AH3">
    <cfRule type="cellIs" dxfId="7" priority="8" operator="lessThan">
      <formula>0</formula>
    </cfRule>
  </conditionalFormatting>
  <conditionalFormatting sqref="Y9">
    <cfRule type="cellIs" dxfId="6" priority="7" operator="lessThan">
      <formula>0</formula>
    </cfRule>
  </conditionalFormatting>
  <conditionalFormatting sqref="Y2">
    <cfRule type="cellIs" dxfId="5" priority="6" operator="lessThan">
      <formula>0</formula>
    </cfRule>
  </conditionalFormatting>
  <conditionalFormatting sqref="Q5:X5 Z5:AM5">
    <cfRule type="cellIs" dxfId="4" priority="5" operator="lessThan">
      <formula>0</formula>
    </cfRule>
  </conditionalFormatting>
  <conditionalFormatting sqref="Y5">
    <cfRule type="cellIs" dxfId="3" priority="4" operator="lessThan">
      <formula>0</formula>
    </cfRule>
  </conditionalFormatting>
  <conditionalFormatting sqref="Q14:AM14">
    <cfRule type="cellIs" dxfId="2" priority="3" operator="lessThan">
      <formula>0</formula>
    </cfRule>
  </conditionalFormatting>
  <conditionalFormatting sqref="Q16:U16">
    <cfRule type="cellIs" dxfId="1" priority="2" operator="lessThan">
      <formula>0</formula>
    </cfRule>
  </conditionalFormatting>
  <conditionalFormatting sqref="Q17:AM17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21</xdr:row>
                    <xdr:rowOff>66675</xdr:rowOff>
                  </from>
                  <to>
                    <xdr:col>3</xdr:col>
                    <xdr:colOff>295275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T33"/>
  <sheetViews>
    <sheetView workbookViewId="0">
      <selection activeCell="H14" sqref="H14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9.85546875" customWidth="1"/>
    <col min="13" max="13" width="10.85546875" bestFit="1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.5703125" bestFit="1" customWidth="1"/>
    <col min="19" max="19" width="12.5703125" customWidth="1"/>
  </cols>
  <sheetData>
    <row r="1" spans="1:20" ht="18.75" thickBot="1" x14ac:dyDescent="0.3">
      <c r="A1" s="90" t="s">
        <v>135</v>
      </c>
      <c r="B1" s="91"/>
      <c r="C1" s="91"/>
      <c r="D1" s="91"/>
      <c r="E1" s="91"/>
      <c r="F1" s="91"/>
      <c r="G1" s="91"/>
      <c r="H1" s="91"/>
      <c r="I1" s="92"/>
      <c r="K1" s="93" t="s">
        <v>136</v>
      </c>
      <c r="L1" s="94"/>
      <c r="M1" s="94"/>
      <c r="N1" s="94"/>
      <c r="O1" s="95"/>
      <c r="Q1" s="93" t="s">
        <v>140</v>
      </c>
      <c r="R1" s="94"/>
      <c r="S1" s="94"/>
      <c r="T1" s="95"/>
    </row>
    <row r="2" spans="1:20" x14ac:dyDescent="0.2">
      <c r="A2" s="78" t="s">
        <v>40</v>
      </c>
      <c r="B2" s="79" t="s">
        <v>8</v>
      </c>
      <c r="C2" s="79" t="s">
        <v>85</v>
      </c>
      <c r="D2" s="79" t="s">
        <v>82</v>
      </c>
      <c r="E2" s="80" t="s">
        <v>79</v>
      </c>
      <c r="F2" s="80" t="s">
        <v>80</v>
      </c>
      <c r="G2" s="79" t="s">
        <v>83</v>
      </c>
      <c r="H2" s="79" t="s">
        <v>81</v>
      </c>
      <c r="I2" s="81" t="s">
        <v>86</v>
      </c>
      <c r="K2" s="71" t="s">
        <v>132</v>
      </c>
      <c r="L2" s="72" t="s">
        <v>150</v>
      </c>
      <c r="M2" s="72" t="s">
        <v>69</v>
      </c>
      <c r="N2" s="72" t="s">
        <v>133</v>
      </c>
      <c r="O2" s="73" t="s">
        <v>134</v>
      </c>
      <c r="Q2" s="71" t="s">
        <v>132</v>
      </c>
      <c r="R2" s="72" t="s">
        <v>141</v>
      </c>
      <c r="S2" s="72" t="s">
        <v>142</v>
      </c>
      <c r="T2" s="73" t="s">
        <v>143</v>
      </c>
    </row>
    <row r="3" spans="1:20" ht="15" x14ac:dyDescent="0.25">
      <c r="A3" s="67" t="s">
        <v>120</v>
      </c>
      <c r="B3" s="74">
        <f ca="1">VLOOKUP(A3,Players!$B$2:$O$20,5,FALSE)</f>
        <v>16</v>
      </c>
      <c r="C3" s="74">
        <f>VLOOKUP(A3,Players!$B$2:$O$20,6,FALSE)</f>
        <v>45</v>
      </c>
      <c r="D3" s="74">
        <f>VLOOKUP(A3,Players!$B$2:$O$20,14,FALSE)</f>
        <v>6</v>
      </c>
      <c r="E3" s="74" t="s">
        <v>84</v>
      </c>
      <c r="F3" s="74" t="s">
        <v>137</v>
      </c>
      <c r="G3" s="74">
        <f>VLOOKUP(F3,Players!$B$2:$O$20,14,FALSE)</f>
        <v>19</v>
      </c>
      <c r="H3" s="74">
        <f>IF(E3="Cure Potion",30,IF(E3="Spell",PRODUCT(4,D3+G3),0))</f>
        <v>100</v>
      </c>
      <c r="I3" s="75">
        <f ca="1">IF(SUM(H3+B3)&lt;C3,SUM(H3+B3),C3)</f>
        <v>45</v>
      </c>
      <c r="K3" s="68" t="s">
        <v>93</v>
      </c>
      <c r="L3" s="98" t="s">
        <v>151</v>
      </c>
      <c r="M3" s="99">
        <f ca="1">VLOOKUP($K3,INDIRECT("'"&amp;L3&amp;"'!$A$2:$F$10"),6,FALSE)</f>
        <v>38</v>
      </c>
      <c r="N3" s="74" t="s">
        <v>157</v>
      </c>
      <c r="O3" s="75" t="s">
        <v>147</v>
      </c>
      <c r="Q3" s="68" t="s">
        <v>93</v>
      </c>
      <c r="R3">
        <v>115</v>
      </c>
      <c r="S3" s="74"/>
      <c r="T3" s="75">
        <f>S3+R3</f>
        <v>115</v>
      </c>
    </row>
    <row r="4" spans="1:20" ht="15" x14ac:dyDescent="0.25">
      <c r="A4" s="67"/>
      <c r="B4" s="74"/>
      <c r="C4" s="74"/>
      <c r="D4" s="74"/>
      <c r="E4" s="74"/>
      <c r="F4" s="74"/>
      <c r="G4" s="74"/>
      <c r="H4" s="74"/>
      <c r="I4" s="75"/>
      <c r="K4" s="68" t="s">
        <v>94</v>
      </c>
      <c r="L4" s="98" t="s">
        <v>154</v>
      </c>
      <c r="M4" s="99">
        <f t="shared" ref="M4:M17" ca="1" si="0">VLOOKUP($K4,INDIRECT("'"&amp;L4&amp;"'!$A$2:$F$10"),6,FALSE)</f>
        <v>45</v>
      </c>
      <c r="N4" s="74" t="s">
        <v>89</v>
      </c>
      <c r="O4" s="75"/>
      <c r="Q4" s="68" t="s">
        <v>94</v>
      </c>
      <c r="R4">
        <v>101</v>
      </c>
      <c r="S4" s="74"/>
      <c r="T4" s="75">
        <f t="shared" ref="T4:T17" si="1">S4+R4</f>
        <v>101</v>
      </c>
    </row>
    <row r="5" spans="1:20" ht="15" x14ac:dyDescent="0.25">
      <c r="A5" s="67"/>
      <c r="B5" s="74"/>
      <c r="C5" s="74"/>
      <c r="D5" s="74"/>
      <c r="E5" s="74"/>
      <c r="F5" s="74"/>
      <c r="G5" s="74"/>
      <c r="H5" s="74"/>
      <c r="I5" s="75"/>
      <c r="K5" s="68" t="s">
        <v>98</v>
      </c>
      <c r="L5" s="98" t="s">
        <v>152</v>
      </c>
      <c r="M5" s="99">
        <f t="shared" ca="1" si="0"/>
        <v>45</v>
      </c>
      <c r="N5" s="74" t="s">
        <v>88</v>
      </c>
      <c r="O5" s="75"/>
      <c r="Q5" s="68" t="s">
        <v>98</v>
      </c>
      <c r="R5">
        <v>86</v>
      </c>
      <c r="S5" s="74"/>
      <c r="T5" s="75">
        <f t="shared" si="1"/>
        <v>86</v>
      </c>
    </row>
    <row r="6" spans="1:20" ht="15" x14ac:dyDescent="0.25">
      <c r="A6" s="67"/>
      <c r="B6" s="74"/>
      <c r="C6" s="74"/>
      <c r="D6" s="74"/>
      <c r="E6" s="74"/>
      <c r="F6" s="74"/>
      <c r="G6" s="74"/>
      <c r="H6" s="74"/>
      <c r="I6" s="75"/>
      <c r="K6" s="68" t="s">
        <v>99</v>
      </c>
      <c r="L6" s="98" t="s">
        <v>154</v>
      </c>
      <c r="M6" s="99">
        <f t="shared" ca="1" si="0"/>
        <v>62</v>
      </c>
      <c r="N6" s="74" t="s">
        <v>146</v>
      </c>
      <c r="O6" s="75" t="s">
        <v>130</v>
      </c>
      <c r="Q6" s="68" t="s">
        <v>99</v>
      </c>
      <c r="R6">
        <v>101</v>
      </c>
      <c r="S6" s="74"/>
      <c r="T6" s="75">
        <f t="shared" si="1"/>
        <v>101</v>
      </c>
    </row>
    <row r="7" spans="1:20" ht="15" x14ac:dyDescent="0.25">
      <c r="A7" s="67"/>
      <c r="B7" s="74"/>
      <c r="C7" s="74"/>
      <c r="D7" s="74"/>
      <c r="E7" s="74"/>
      <c r="F7" s="74"/>
      <c r="G7" s="74"/>
      <c r="H7" s="74"/>
      <c r="I7" s="75"/>
      <c r="K7" s="68" t="s">
        <v>76</v>
      </c>
      <c r="L7" s="98" t="s">
        <v>152</v>
      </c>
      <c r="M7" s="99">
        <f t="shared" ca="1" si="0"/>
        <v>52</v>
      </c>
      <c r="N7" s="74" t="s">
        <v>122</v>
      </c>
      <c r="O7" s="75" t="s">
        <v>131</v>
      </c>
      <c r="Q7" s="68" t="s">
        <v>76</v>
      </c>
      <c r="R7">
        <v>86</v>
      </c>
      <c r="S7" s="74"/>
      <c r="T7" s="75">
        <f t="shared" si="1"/>
        <v>86</v>
      </c>
    </row>
    <row r="8" spans="1:20" ht="15" x14ac:dyDescent="0.25">
      <c r="A8" s="67"/>
      <c r="B8" s="74"/>
      <c r="C8" s="74"/>
      <c r="D8" s="74"/>
      <c r="E8" s="74"/>
      <c r="F8" s="74"/>
      <c r="G8" s="74"/>
      <c r="H8" s="74"/>
      <c r="I8" s="75"/>
      <c r="K8" s="69" t="s">
        <v>102</v>
      </c>
      <c r="L8" s="98" t="s">
        <v>152</v>
      </c>
      <c r="M8" s="99">
        <f t="shared" ca="1" si="0"/>
        <v>20</v>
      </c>
      <c r="N8" s="74" t="s">
        <v>105</v>
      </c>
      <c r="O8" s="75" t="s">
        <v>129</v>
      </c>
      <c r="Q8" s="69" t="s">
        <v>102</v>
      </c>
      <c r="R8">
        <v>86</v>
      </c>
      <c r="S8" s="74"/>
      <c r="T8" s="75">
        <f t="shared" si="1"/>
        <v>86</v>
      </c>
    </row>
    <row r="9" spans="1:20" ht="15" x14ac:dyDescent="0.25">
      <c r="A9" s="67"/>
      <c r="B9" s="74"/>
      <c r="C9" s="74"/>
      <c r="D9" s="74"/>
      <c r="E9" s="74"/>
      <c r="F9" s="74"/>
      <c r="G9" s="74"/>
      <c r="H9" s="74"/>
      <c r="I9" s="75"/>
      <c r="K9" s="69" t="s">
        <v>106</v>
      </c>
      <c r="L9" s="98" t="s">
        <v>154</v>
      </c>
      <c r="M9" s="99">
        <f t="shared" ca="1" si="0"/>
        <v>59</v>
      </c>
      <c r="N9" s="74" t="s">
        <v>41</v>
      </c>
      <c r="O9" s="75" t="s">
        <v>129</v>
      </c>
      <c r="Q9" s="69" t="s">
        <v>106</v>
      </c>
      <c r="R9">
        <v>101</v>
      </c>
      <c r="S9" s="74"/>
      <c r="T9" s="75">
        <f t="shared" si="1"/>
        <v>101</v>
      </c>
    </row>
    <row r="10" spans="1:20" ht="15" x14ac:dyDescent="0.25">
      <c r="A10" s="67"/>
      <c r="B10" s="74"/>
      <c r="C10" s="74"/>
      <c r="D10" s="74"/>
      <c r="E10" s="74"/>
      <c r="F10" s="74"/>
      <c r="G10" s="74"/>
      <c r="H10" s="74"/>
      <c r="I10" s="75"/>
      <c r="K10" s="69" t="s">
        <v>108</v>
      </c>
      <c r="L10" s="98" t="s">
        <v>151</v>
      </c>
      <c r="M10" s="99">
        <f t="shared" ca="1" si="0"/>
        <v>31</v>
      </c>
      <c r="N10" s="74" t="s">
        <v>101</v>
      </c>
      <c r="O10" s="75" t="s">
        <v>147</v>
      </c>
      <c r="Q10" s="69" t="s">
        <v>108</v>
      </c>
      <c r="R10">
        <v>115</v>
      </c>
      <c r="S10" s="74"/>
      <c r="T10" s="75">
        <f t="shared" si="1"/>
        <v>115</v>
      </c>
    </row>
    <row r="11" spans="1:20" ht="15.75" thickBot="1" x14ac:dyDescent="0.3">
      <c r="A11" s="66"/>
      <c r="B11" s="76"/>
      <c r="C11" s="76"/>
      <c r="D11" s="76"/>
      <c r="E11" s="76"/>
      <c r="F11" s="76"/>
      <c r="G11" s="76"/>
      <c r="H11" s="76"/>
      <c r="I11" s="77"/>
      <c r="K11" s="69" t="s">
        <v>110</v>
      </c>
      <c r="L11" s="98" t="s">
        <v>153</v>
      </c>
      <c r="M11" s="99">
        <f t="shared" ca="1" si="0"/>
        <v>45</v>
      </c>
      <c r="N11" s="74" t="s">
        <v>89</v>
      </c>
      <c r="O11" s="75"/>
      <c r="Q11" s="69" t="s">
        <v>110</v>
      </c>
      <c r="R11">
        <v>155</v>
      </c>
      <c r="S11" s="74"/>
      <c r="T11" s="75">
        <f t="shared" si="1"/>
        <v>155</v>
      </c>
    </row>
    <row r="12" spans="1:20" ht="15" x14ac:dyDescent="0.25">
      <c r="K12" s="69" t="s">
        <v>74</v>
      </c>
      <c r="L12" s="98" t="s">
        <v>151</v>
      </c>
      <c r="M12" s="99">
        <f t="shared" ca="1" si="0"/>
        <v>45</v>
      </c>
      <c r="N12" s="74" t="s">
        <v>149</v>
      </c>
      <c r="O12" s="75" t="s">
        <v>147</v>
      </c>
      <c r="Q12" s="69" t="s">
        <v>74</v>
      </c>
      <c r="R12">
        <v>115</v>
      </c>
      <c r="S12" s="74"/>
      <c r="T12" s="75">
        <f t="shared" si="1"/>
        <v>115</v>
      </c>
    </row>
    <row r="13" spans="1:20" ht="15" x14ac:dyDescent="0.25">
      <c r="K13" s="69" t="s">
        <v>115</v>
      </c>
      <c r="L13" s="98" t="s">
        <v>154</v>
      </c>
      <c r="M13" s="99">
        <f t="shared" ca="1" si="0"/>
        <v>57</v>
      </c>
      <c r="N13" s="74" t="s">
        <v>117</v>
      </c>
      <c r="O13" s="75" t="s">
        <v>131</v>
      </c>
      <c r="Q13" s="69" t="s">
        <v>115</v>
      </c>
      <c r="R13">
        <v>101</v>
      </c>
      <c r="S13" s="74"/>
      <c r="T13" s="75">
        <f t="shared" si="1"/>
        <v>101</v>
      </c>
    </row>
    <row r="14" spans="1:20" ht="15" x14ac:dyDescent="0.25">
      <c r="K14" s="69" t="s">
        <v>118</v>
      </c>
      <c r="L14" s="98" t="s">
        <v>151</v>
      </c>
      <c r="M14" s="99">
        <f t="shared" ca="1" si="0"/>
        <v>51</v>
      </c>
      <c r="N14" s="74" t="s">
        <v>125</v>
      </c>
      <c r="O14" s="75"/>
      <c r="Q14" s="69" t="s">
        <v>118</v>
      </c>
      <c r="R14">
        <v>115</v>
      </c>
      <c r="S14" s="74"/>
      <c r="T14" s="75">
        <f t="shared" si="1"/>
        <v>115</v>
      </c>
    </row>
    <row r="15" spans="1:20" ht="15" x14ac:dyDescent="0.25">
      <c r="K15" s="69" t="s">
        <v>120</v>
      </c>
      <c r="L15" s="98" t="s">
        <v>153</v>
      </c>
      <c r="M15" s="99">
        <f t="shared" ca="1" si="0"/>
        <v>16</v>
      </c>
      <c r="N15" s="74" t="s">
        <v>88</v>
      </c>
      <c r="O15" s="75"/>
      <c r="Q15" s="69" t="s">
        <v>120</v>
      </c>
      <c r="R15">
        <v>155</v>
      </c>
      <c r="S15" s="74"/>
      <c r="T15" s="75">
        <f t="shared" si="1"/>
        <v>155</v>
      </c>
    </row>
    <row r="16" spans="1:20" ht="15" x14ac:dyDescent="0.25">
      <c r="K16" s="70" t="s">
        <v>128</v>
      </c>
      <c r="L16" s="98" t="s">
        <v>152</v>
      </c>
      <c r="M16" s="99">
        <f t="shared" ca="1" si="0"/>
        <v>52</v>
      </c>
      <c r="N16" s="74" t="s">
        <v>124</v>
      </c>
      <c r="O16" s="75" t="s">
        <v>131</v>
      </c>
      <c r="Q16" s="70" t="s">
        <v>128</v>
      </c>
      <c r="R16">
        <v>86</v>
      </c>
      <c r="S16" s="74"/>
      <c r="T16" s="75">
        <f t="shared" si="1"/>
        <v>86</v>
      </c>
    </row>
    <row r="17" spans="1:20" ht="15" x14ac:dyDescent="0.25">
      <c r="K17" s="70" t="s">
        <v>126</v>
      </c>
      <c r="L17" s="98" t="s">
        <v>153</v>
      </c>
      <c r="M17" s="99">
        <f t="shared" ca="1" si="0"/>
        <v>45</v>
      </c>
      <c r="N17" s="74" t="s">
        <v>105</v>
      </c>
      <c r="O17" s="75" t="s">
        <v>147</v>
      </c>
      <c r="Q17" s="70" t="s">
        <v>126</v>
      </c>
      <c r="R17">
        <v>155</v>
      </c>
      <c r="S17" s="74"/>
      <c r="T17" s="75">
        <f t="shared" si="1"/>
        <v>155</v>
      </c>
    </row>
    <row r="18" spans="1:20" x14ac:dyDescent="0.2">
      <c r="K18" s="67"/>
      <c r="L18" s="87"/>
      <c r="M18" s="87"/>
      <c r="N18" s="74"/>
      <c r="O18" s="75"/>
      <c r="Q18" s="67"/>
      <c r="R18" s="74"/>
      <c r="S18" s="74"/>
      <c r="T18" s="75"/>
    </row>
    <row r="19" spans="1:20" x14ac:dyDescent="0.2">
      <c r="K19" s="67"/>
      <c r="L19" s="87"/>
      <c r="M19" s="87"/>
      <c r="N19" s="74"/>
      <c r="O19" s="75"/>
      <c r="Q19" s="67"/>
      <c r="R19" s="74"/>
      <c r="S19" s="74"/>
      <c r="T19" s="75"/>
    </row>
    <row r="20" spans="1:20" x14ac:dyDescent="0.2">
      <c r="K20" s="67"/>
      <c r="L20" s="87"/>
      <c r="M20" s="87"/>
      <c r="N20" s="74"/>
      <c r="O20" s="75"/>
      <c r="Q20" s="67"/>
      <c r="R20" s="74"/>
      <c r="S20" s="74"/>
      <c r="T20" s="75"/>
    </row>
    <row r="21" spans="1:20" x14ac:dyDescent="0.2">
      <c r="K21" s="67"/>
      <c r="L21" s="87"/>
      <c r="M21" s="87"/>
      <c r="N21" s="74"/>
      <c r="O21" s="75"/>
      <c r="Q21" s="67"/>
      <c r="R21" s="74"/>
      <c r="S21" s="74"/>
      <c r="T21" s="75"/>
    </row>
    <row r="22" spans="1:20" ht="13.5" thickBot="1" x14ac:dyDescent="0.25">
      <c r="K22" s="66"/>
      <c r="L22" s="88"/>
      <c r="M22" s="88"/>
      <c r="N22" s="76"/>
      <c r="O22" s="77"/>
      <c r="Q22" s="66"/>
      <c r="R22" s="76"/>
      <c r="S22" s="76"/>
      <c r="T22" s="77"/>
    </row>
    <row r="25" spans="1:20" x14ac:dyDescent="0.2">
      <c r="A25">
        <v>4</v>
      </c>
      <c r="B25" t="str">
        <f>INDEX(SheetNames,A25)</f>
        <v>Alpha</v>
      </c>
    </row>
    <row r="26" spans="1:20" x14ac:dyDescent="0.2">
      <c r="A26">
        <v>5</v>
      </c>
      <c r="B26" t="str">
        <f t="shared" ref="B26:B33" si="2">INDEX(SheetNames,A26)</f>
        <v>Gamma</v>
      </c>
    </row>
    <row r="27" spans="1:20" x14ac:dyDescent="0.2">
      <c r="A27">
        <v>6</v>
      </c>
      <c r="B27" t="str">
        <f t="shared" si="2"/>
        <v>Zeta</v>
      </c>
    </row>
    <row r="28" spans="1:20" x14ac:dyDescent="0.2">
      <c r="A28">
        <v>7</v>
      </c>
      <c r="B28" t="str">
        <f t="shared" si="2"/>
        <v>Omega</v>
      </c>
    </row>
    <row r="29" spans="1:20" x14ac:dyDescent="0.2">
      <c r="A29">
        <v>8</v>
      </c>
      <c r="B29" t="e">
        <f t="shared" si="2"/>
        <v>#REF!</v>
      </c>
    </row>
    <row r="30" spans="1:20" x14ac:dyDescent="0.2">
      <c r="A30">
        <v>9</v>
      </c>
      <c r="B30" t="e">
        <f t="shared" si="2"/>
        <v>#REF!</v>
      </c>
    </row>
    <row r="31" spans="1:20" x14ac:dyDescent="0.2">
      <c r="A31">
        <v>10</v>
      </c>
      <c r="B31" t="e">
        <f t="shared" si="2"/>
        <v>#REF!</v>
      </c>
    </row>
    <row r="32" spans="1:20" x14ac:dyDescent="0.2">
      <c r="A32">
        <v>11</v>
      </c>
      <c r="B32" t="e">
        <f t="shared" si="2"/>
        <v>#REF!</v>
      </c>
    </row>
    <row r="33" spans="1:2" x14ac:dyDescent="0.2">
      <c r="A33">
        <v>12</v>
      </c>
      <c r="B33" t="e">
        <f t="shared" si="2"/>
        <v>#REF!</v>
      </c>
    </row>
  </sheetData>
  <mergeCells count="3">
    <mergeCell ref="A1:I1"/>
    <mergeCell ref="K1:O1"/>
    <mergeCell ref="Q1:T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7"/>
  <sheetViews>
    <sheetView tabSelected="1" workbookViewId="0">
      <selection activeCell="L7" sqref="L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118</v>
      </c>
      <c r="B2" t="s">
        <v>16</v>
      </c>
      <c r="C2">
        <v>1</v>
      </c>
      <c r="D2">
        <v>1</v>
      </c>
      <c r="F2">
        <v>51</v>
      </c>
      <c r="K2" t="str">
        <f>IF(NOT($B2="Enemy"),VLOOKUP($A2,Toolkit!$K$2:$O$37,4,FALSE),"")</f>
        <v>Bronze Shield</v>
      </c>
      <c r="L2">
        <f>IF(NOT($B2="Enemy"),VLOOKUP($A2,Toolkit!$K$2:$O$37,5,FALSE),"")</f>
        <v>0</v>
      </c>
    </row>
    <row r="3" spans="1:22" x14ac:dyDescent="0.2">
      <c r="A3" t="s">
        <v>93</v>
      </c>
      <c r="B3" t="s">
        <v>16</v>
      </c>
      <c r="C3">
        <v>1</v>
      </c>
      <c r="D3">
        <v>2</v>
      </c>
      <c r="F3">
        <v>38</v>
      </c>
      <c r="K3" t="str">
        <f>IF(NOT($B3="Enemy"),VLOOKUP($A3,Toolkit!$K$2:$O$37,4,FALSE),"")</f>
        <v>Nail</v>
      </c>
      <c r="L3" t="str">
        <f>IF(NOT($B3="Enemy"),VLOOKUP($A3,Toolkit!$K$2:$O$37,5,FALSE),"")</f>
        <v>Gang</v>
      </c>
    </row>
    <row r="4" spans="1:22" x14ac:dyDescent="0.2">
      <c r="A4" t="s">
        <v>108</v>
      </c>
      <c r="B4" t="s">
        <v>16</v>
      </c>
      <c r="C4">
        <v>1</v>
      </c>
      <c r="D4">
        <v>3</v>
      </c>
      <c r="F4">
        <v>31</v>
      </c>
      <c r="K4" t="str">
        <f>IF(NOT($B4="Enemy"),VLOOKUP($A4,Toolkit!$K$2:$O$37,4,FALSE),"")</f>
        <v>MM Book</v>
      </c>
      <c r="L4" t="str">
        <f>IF(NOT($B4="Enemy"),VLOOKUP($A4,Toolkit!$K$2:$O$37,5,FALSE),"")</f>
        <v>Gang</v>
      </c>
    </row>
    <row r="5" spans="1:22" x14ac:dyDescent="0.2">
      <c r="A5" t="s">
        <v>74</v>
      </c>
      <c r="B5" t="s">
        <v>16</v>
      </c>
      <c r="C5">
        <v>1</v>
      </c>
      <c r="D5">
        <v>4</v>
      </c>
      <c r="F5">
        <v>45</v>
      </c>
      <c r="K5" t="str">
        <f>IF(NOT($B5="Enemy"),VLOOKUP($A5,Toolkit!$K$2:$O$37,4,FALSE),"")</f>
        <v>Sleep</v>
      </c>
      <c r="L5" t="str">
        <f>IF(NOT($B5="Enemy"),VLOOKUP($A5,Toolkit!$K$2:$O$37,5,FALSE),"")</f>
        <v>Gang</v>
      </c>
    </row>
    <row r="6" spans="1:22" x14ac:dyDescent="0.2">
      <c r="A6" t="s">
        <v>137</v>
      </c>
      <c r="B6" t="s">
        <v>138</v>
      </c>
      <c r="C6">
        <v>1</v>
      </c>
      <c r="D6">
        <v>5</v>
      </c>
      <c r="K6" t="s">
        <v>145</v>
      </c>
      <c r="L6" t="s">
        <v>147</v>
      </c>
    </row>
    <row r="7" spans="1:22" x14ac:dyDescent="0.2">
      <c r="A7" t="s">
        <v>147</v>
      </c>
      <c r="B7" t="s">
        <v>17</v>
      </c>
      <c r="C7">
        <v>4</v>
      </c>
    </row>
  </sheetData>
  <dataValidations count="1">
    <dataValidation type="list" allowBlank="1" showInputMessage="1" showErrorMessage="1" sqref="L6:L28" xr:uid="{CD0C094A-3DD5-4259-8BD1-591C43C3DE05}">
      <formula1>$A$2:$A$28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9"/>
  <sheetViews>
    <sheetView workbookViewId="0">
      <selection activeCell="L7" sqref="L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102</v>
      </c>
      <c r="B2" t="s">
        <v>16</v>
      </c>
      <c r="C2">
        <v>1</v>
      </c>
      <c r="D2">
        <v>1</v>
      </c>
      <c r="F2">
        <v>20</v>
      </c>
      <c r="K2" t="str">
        <f>IF(NOT($B2="Enemy"),VLOOKUP($A2,Toolkit!$K$2:$O$37,4,FALSE),"")</f>
        <v>Colt Gun</v>
      </c>
      <c r="L2" t="str">
        <f>IF(NOT($B2="Enemy"),VLOOKUP($A2,Toolkit!$K$2:$O$37,5,FALSE),"")</f>
        <v>Jaguar</v>
      </c>
    </row>
    <row r="3" spans="1:22" x14ac:dyDescent="0.2">
      <c r="A3" t="s">
        <v>76</v>
      </c>
      <c r="B3" t="s">
        <v>16</v>
      </c>
      <c r="C3">
        <v>1</v>
      </c>
      <c r="D3">
        <v>2</v>
      </c>
      <c r="F3">
        <v>52</v>
      </c>
      <c r="K3" t="str">
        <f>IF(NOT($B3="Enemy"),VLOOKUP($A3,Toolkit!$K$2:$O$37,4,FALSE),"")</f>
        <v>Strike</v>
      </c>
      <c r="L3" t="str">
        <f>IF(NOT($B3="Enemy"),VLOOKUP($A3,Toolkit!$K$2:$O$37,5,FALSE),"")</f>
        <v>Spider</v>
      </c>
    </row>
    <row r="4" spans="1:22" x14ac:dyDescent="0.2">
      <c r="A4" t="s">
        <v>98</v>
      </c>
      <c r="B4" t="s">
        <v>16</v>
      </c>
      <c r="C4">
        <v>1</v>
      </c>
      <c r="D4">
        <v>3</v>
      </c>
      <c r="F4">
        <v>45</v>
      </c>
      <c r="K4" t="str">
        <f>IF(NOT($B4="Enemy"),VLOOKUP($A4,Toolkit!$K$2:$O$37,4,FALSE),"")</f>
        <v>Flame</v>
      </c>
      <c r="L4">
        <f>IF(NOT($B4="Enemy"),VLOOKUP($A4,Toolkit!$K$2:$O$37,5,FALSE),"")</f>
        <v>0</v>
      </c>
    </row>
    <row r="5" spans="1:22" x14ac:dyDescent="0.2">
      <c r="A5" t="s">
        <v>128</v>
      </c>
      <c r="B5" t="s">
        <v>16</v>
      </c>
      <c r="C5">
        <v>1</v>
      </c>
      <c r="D5">
        <v>4</v>
      </c>
      <c r="F5">
        <v>52</v>
      </c>
      <c r="K5" t="str">
        <f>IF(NOT($B5="Enemy"),VLOOKUP($A5,Toolkit!$K$2:$O$37,4,FALSE),"")</f>
        <v>Rapier</v>
      </c>
      <c r="L5" t="str">
        <f>IF(NOT($B5="Enemy"),VLOOKUP($A5,Toolkit!$K$2:$O$37,5,FALSE),"")</f>
        <v>Spider</v>
      </c>
    </row>
    <row r="6" spans="1:22" x14ac:dyDescent="0.2">
      <c r="A6" t="s">
        <v>137</v>
      </c>
      <c r="B6" t="s">
        <v>138</v>
      </c>
      <c r="C6">
        <v>1</v>
      </c>
      <c r="D6">
        <v>5</v>
      </c>
      <c r="K6" t="s">
        <v>145</v>
      </c>
      <c r="L6" t="s">
        <v>130</v>
      </c>
    </row>
    <row r="7" spans="1:22" x14ac:dyDescent="0.2">
      <c r="A7" t="s">
        <v>131</v>
      </c>
      <c r="B7" t="s">
        <v>17</v>
      </c>
      <c r="C7">
        <v>1</v>
      </c>
    </row>
    <row r="8" spans="1:22" x14ac:dyDescent="0.2">
      <c r="A8" t="s">
        <v>130</v>
      </c>
      <c r="B8" t="s">
        <v>17</v>
      </c>
      <c r="C8">
        <v>1</v>
      </c>
    </row>
    <row r="9" spans="1:22" x14ac:dyDescent="0.2">
      <c r="A9" t="s">
        <v>129</v>
      </c>
      <c r="B9" t="s">
        <v>17</v>
      </c>
      <c r="C9">
        <v>1</v>
      </c>
    </row>
  </sheetData>
  <dataValidations count="1">
    <dataValidation type="list" allowBlank="1" showInputMessage="1" showErrorMessage="1" sqref="L6:L29" xr:uid="{92B02EC9-250A-4C6F-84C0-38DB0791A413}">
      <formula1>$A$2:$A$29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9"/>
  <sheetViews>
    <sheetView workbookViewId="0">
      <selection activeCell="L7" sqref="L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115</v>
      </c>
      <c r="B2" t="s">
        <v>16</v>
      </c>
      <c r="C2">
        <v>1</v>
      </c>
      <c r="D2">
        <v>1</v>
      </c>
      <c r="F2">
        <v>57</v>
      </c>
      <c r="K2" t="str">
        <f>IF(NOT($B2="Enemy"),VLOOKUP($A2,Toolkit!$K$2:$O$37,4,FALSE),"")</f>
        <v>Stun Gun</v>
      </c>
      <c r="L2" t="str">
        <f>IF(NOT($B2="Enemy"),VLOOKUP($A2,Toolkit!$K$2:$O$37,5,FALSE),"")</f>
        <v>Spider</v>
      </c>
    </row>
    <row r="3" spans="1:22" x14ac:dyDescent="0.2">
      <c r="A3" t="s">
        <v>99</v>
      </c>
      <c r="B3" t="s">
        <v>16</v>
      </c>
      <c r="C3">
        <v>1</v>
      </c>
      <c r="D3">
        <v>2</v>
      </c>
      <c r="F3">
        <v>62</v>
      </c>
      <c r="K3" t="str">
        <f>IF(NOT($B3="Enemy"),VLOOKUP($A3,Toolkit!$K$2:$O$37,4,FALSE),"")</f>
        <v>Beak</v>
      </c>
      <c r="L3" t="str">
        <f>IF(NOT($B3="Enemy"),VLOOKUP($A3,Toolkit!$K$2:$O$37,5,FALSE),"")</f>
        <v>Skelton</v>
      </c>
    </row>
    <row r="4" spans="1:22" x14ac:dyDescent="0.2">
      <c r="A4" t="s">
        <v>94</v>
      </c>
      <c r="B4" t="s">
        <v>16</v>
      </c>
      <c r="C4">
        <v>1</v>
      </c>
      <c r="D4">
        <v>3</v>
      </c>
      <c r="F4">
        <v>45</v>
      </c>
      <c r="K4" t="str">
        <f>IF(NOT($B4="Enemy"),VLOOKUP($A4,Toolkit!$K$2:$O$37,4,FALSE),"")</f>
        <v>Blizzard</v>
      </c>
      <c r="L4">
        <f>IF(NOT($B4="Enemy"),VLOOKUP($A4,Toolkit!$K$2:$O$37,5,FALSE),"")</f>
        <v>0</v>
      </c>
    </row>
    <row r="5" spans="1:22" x14ac:dyDescent="0.2">
      <c r="A5" t="s">
        <v>106</v>
      </c>
      <c r="B5" t="s">
        <v>16</v>
      </c>
      <c r="C5">
        <v>1</v>
      </c>
      <c r="D5">
        <v>4</v>
      </c>
      <c r="F5">
        <v>59</v>
      </c>
      <c r="K5" t="str">
        <f>IF(NOT($B5="Enemy"),VLOOKUP($A5,Toolkit!$K$2:$O$37,4,FALSE),"")</f>
        <v>Long Sword</v>
      </c>
      <c r="L5" t="str">
        <f>IF(NOT($B5="Enemy"),VLOOKUP($A5,Toolkit!$K$2:$O$37,5,FALSE),"")</f>
        <v>Jaguar</v>
      </c>
    </row>
    <row r="6" spans="1:22" x14ac:dyDescent="0.2">
      <c r="A6" t="s">
        <v>137</v>
      </c>
      <c r="B6" t="s">
        <v>138</v>
      </c>
      <c r="C6">
        <v>1</v>
      </c>
      <c r="D6">
        <v>5</v>
      </c>
      <c r="K6" t="s">
        <v>156</v>
      </c>
      <c r="L6" t="s">
        <v>130</v>
      </c>
    </row>
    <row r="7" spans="1:22" x14ac:dyDescent="0.2">
      <c r="A7" t="s">
        <v>131</v>
      </c>
      <c r="B7" t="s">
        <v>17</v>
      </c>
      <c r="C7">
        <v>1</v>
      </c>
    </row>
    <row r="8" spans="1:22" x14ac:dyDescent="0.2">
      <c r="A8" t="s">
        <v>130</v>
      </c>
      <c r="B8" t="s">
        <v>17</v>
      </c>
      <c r="C8">
        <v>1</v>
      </c>
    </row>
    <row r="9" spans="1:22" x14ac:dyDescent="0.2">
      <c r="A9" t="s">
        <v>129</v>
      </c>
      <c r="B9" t="s">
        <v>17</v>
      </c>
      <c r="C9">
        <v>1</v>
      </c>
    </row>
  </sheetData>
  <dataValidations count="1">
    <dataValidation type="list" allowBlank="1" showInputMessage="1" showErrorMessage="1" sqref="L6:L27" xr:uid="{EBB04A11-21ED-4407-A460-0F9206DD93AC}">
      <formula1>$A$2:$A$27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FDC6B-5634-4141-9801-5FC0C998168B}">
  <sheetPr codeName="Sheet6"/>
  <dimension ref="A1:V6"/>
  <sheetViews>
    <sheetView workbookViewId="0">
      <selection activeCell="K6" sqref="K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126</v>
      </c>
      <c r="B2" t="s">
        <v>16</v>
      </c>
      <c r="C2">
        <v>1</v>
      </c>
      <c r="D2">
        <v>1</v>
      </c>
      <c r="F2">
        <v>45</v>
      </c>
      <c r="K2" t="str">
        <f>IF(NOT($B2="Enemy"),VLOOKUP($A2,Toolkit!$K$2:$O$37,4,FALSE),"")</f>
        <v>Colt Gun</v>
      </c>
      <c r="L2" t="str">
        <f>IF(NOT($B2="Enemy"),VLOOKUP($A2,Toolkit!$K$2:$O$37,5,FALSE),"")</f>
        <v>Gang</v>
      </c>
    </row>
    <row r="3" spans="1:22" x14ac:dyDescent="0.2">
      <c r="A3" t="s">
        <v>120</v>
      </c>
      <c r="B3" t="s">
        <v>16</v>
      </c>
      <c r="C3">
        <v>1</v>
      </c>
      <c r="D3">
        <v>2</v>
      </c>
      <c r="F3">
        <v>16</v>
      </c>
      <c r="K3" t="str">
        <f>IF(NOT($B3="Enemy"),VLOOKUP($A3,Toolkit!$K$2:$O$37,4,FALSE),"")</f>
        <v>Flame</v>
      </c>
      <c r="L3">
        <f>IF(NOT($B3="Enemy"),VLOOKUP($A3,Toolkit!$K$2:$O$37,5,FALSE),"")</f>
        <v>0</v>
      </c>
    </row>
    <row r="4" spans="1:22" x14ac:dyDescent="0.2">
      <c r="A4" t="s">
        <v>110</v>
      </c>
      <c r="B4" t="s">
        <v>16</v>
      </c>
      <c r="C4">
        <v>1</v>
      </c>
      <c r="D4">
        <v>3</v>
      </c>
      <c r="F4">
        <v>45</v>
      </c>
      <c r="K4" t="str">
        <f>IF(NOT($B4="Enemy"),VLOOKUP($A4,Toolkit!$K$2:$O$37,4,FALSE),"")</f>
        <v>Blizzard</v>
      </c>
      <c r="L4">
        <f>IF(NOT($B4="Enemy"),VLOOKUP($A4,Toolkit!$K$2:$O$37,5,FALSE),"")</f>
        <v>0</v>
      </c>
    </row>
    <row r="5" spans="1:22" x14ac:dyDescent="0.2">
      <c r="A5" t="s">
        <v>137</v>
      </c>
      <c r="B5" t="s">
        <v>138</v>
      </c>
      <c r="C5">
        <v>1</v>
      </c>
      <c r="D5">
        <v>5</v>
      </c>
      <c r="K5" t="s">
        <v>156</v>
      </c>
      <c r="L5" t="s">
        <v>147</v>
      </c>
    </row>
    <row r="6" spans="1:22" x14ac:dyDescent="0.2">
      <c r="A6" t="s">
        <v>147</v>
      </c>
      <c r="B6" t="s">
        <v>17</v>
      </c>
      <c r="C6">
        <v>4</v>
      </c>
    </row>
  </sheetData>
  <dataValidations count="1">
    <dataValidation type="list" allowBlank="1" showInputMessage="1" showErrorMessage="1" sqref="L5:L27" xr:uid="{AB40B9BA-E671-4E04-9BBC-8CA94AE48C53}">
      <formula1>$A$2:$A$27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Alpha</vt:lpstr>
      <vt:lpstr>Gamma</vt:lpstr>
      <vt:lpstr>Zeta</vt:lpstr>
      <vt:lpstr>Omega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2020-01-03T17:29:56Z</dcterms:modified>
</cp:coreProperties>
</file>