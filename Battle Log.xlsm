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bookViews>
    <workbookView xWindow="-120" yWindow="-120" windowWidth="29040" windowHeight="15840" tabRatio="838" activeTab="4"/>
  </bookViews>
  <sheets>
    <sheet name="Players" sheetId="16" r:id="rId1"/>
    <sheet name="Template" sheetId="1" r:id="rId2"/>
    <sheet name="Stand" sheetId="27" r:id="rId3"/>
    <sheet name="Defend" sheetId="28" r:id="rId4"/>
    <sheet name="Brave" sheetId="29" r:id="rId5"/>
  </sheets>
  <externalReferences>
    <externalReference r:id="rId6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0" i="16" l="1"/>
  <c r="I16" i="16" l="1"/>
  <c r="I15" i="16"/>
  <c r="K9" i="16"/>
  <c r="K10" i="16"/>
  <c r="I14" i="16"/>
  <c r="I7" i="16"/>
  <c r="O6" i="16"/>
  <c r="M6" i="16"/>
  <c r="I6" i="16"/>
  <c r="M5" i="16"/>
  <c r="M2" i="16"/>
  <c r="P17" i="16" l="1"/>
  <c r="R17" i="16" s="1"/>
  <c r="AM17" i="16"/>
  <c r="AJ17" i="16"/>
  <c r="AG17" i="16"/>
  <c r="AD17" i="16"/>
  <c r="AA17" i="16"/>
  <c r="AM12" i="16"/>
  <c r="AJ12" i="16"/>
  <c r="AG12" i="16"/>
  <c r="AD12" i="16"/>
  <c r="AA12" i="16"/>
  <c r="AM11" i="16"/>
  <c r="AJ11" i="16"/>
  <c r="AG11" i="16"/>
  <c r="AD11" i="16"/>
  <c r="AA11" i="16"/>
  <c r="G17" i="16" l="1"/>
  <c r="S17" i="16"/>
  <c r="U17" i="16" s="1"/>
  <c r="P12" i="16"/>
  <c r="R12" i="16" s="1"/>
  <c r="J11" i="16"/>
  <c r="G11" i="16"/>
  <c r="L12" i="16"/>
  <c r="M12" i="16" s="1"/>
  <c r="H11" i="16"/>
  <c r="I11" i="16" s="1"/>
  <c r="N12" i="16"/>
  <c r="O12" i="16" s="1"/>
  <c r="V17" i="16"/>
  <c r="X17" i="16" s="1"/>
  <c r="L11" i="16"/>
  <c r="M11" i="16" s="1"/>
  <c r="S12" i="16"/>
  <c r="U12" i="16" s="1"/>
  <c r="H17" i="16"/>
  <c r="I17" i="16" s="1"/>
  <c r="V12" i="16"/>
  <c r="X12" i="16" s="1"/>
  <c r="P11" i="16"/>
  <c r="R11" i="16" s="1"/>
  <c r="G12" i="16"/>
  <c r="L17" i="16"/>
  <c r="M17" i="16" s="1"/>
  <c r="J17" i="16"/>
  <c r="S11" i="16"/>
  <c r="U11" i="16" s="1"/>
  <c r="H12" i="16"/>
  <c r="I12" i="16" s="1"/>
  <c r="N17" i="16"/>
  <c r="O17" i="16" s="1"/>
  <c r="N11" i="16"/>
  <c r="O11" i="16" s="1"/>
  <c r="H4" i="16"/>
  <c r="I4" i="16" s="1"/>
  <c r="V11" i="16"/>
  <c r="X11" i="16" s="1"/>
  <c r="J12" i="16"/>
  <c r="V4" i="16"/>
  <c r="S4" i="16"/>
  <c r="J4" i="16"/>
  <c r="L4" i="16"/>
  <c r="M4" i="16" s="1"/>
  <c r="N4" i="16"/>
  <c r="O4" i="16" s="1"/>
  <c r="P4" i="16"/>
  <c r="AP3" i="16"/>
  <c r="AK3" i="16"/>
  <c r="AM3" i="16" s="1"/>
  <c r="AH3" i="16"/>
  <c r="AJ3" i="16" s="1"/>
  <c r="AE3" i="16"/>
  <c r="AG3" i="16" s="1"/>
  <c r="AB3" i="16"/>
  <c r="AD3" i="16" s="1"/>
  <c r="Y3" i="16"/>
  <c r="AA3" i="16" s="1"/>
  <c r="V3" i="16"/>
  <c r="X3" i="16" s="1"/>
  <c r="S3" i="16"/>
  <c r="U3" i="16" s="1"/>
  <c r="P3" i="16"/>
  <c r="R3" i="16" s="1"/>
  <c r="N3" i="16"/>
  <c r="O3" i="16" s="1"/>
  <c r="L3" i="16"/>
  <c r="M3" i="16" s="1"/>
  <c r="J3" i="16"/>
  <c r="H3" i="16"/>
  <c r="I3" i="16" s="1"/>
  <c r="G3" i="16"/>
  <c r="K17" i="16" l="1"/>
  <c r="K12" i="16"/>
  <c r="K11" i="16"/>
  <c r="K3" i="16"/>
  <c r="K4" i="16"/>
  <c r="G4" i="16" l="1"/>
  <c r="O16" i="16"/>
  <c r="O15" i="16"/>
  <c r="O14" i="16"/>
  <c r="O13" i="16"/>
  <c r="O10" i="16"/>
  <c r="O9" i="16"/>
  <c r="O8" i="16"/>
  <c r="O7" i="16"/>
  <c r="O5" i="16"/>
  <c r="O2" i="16"/>
  <c r="M16" i="16"/>
  <c r="M15" i="16"/>
  <c r="M14" i="16"/>
  <c r="M13" i="16"/>
  <c r="M9" i="16"/>
  <c r="M8" i="16"/>
  <c r="M7" i="16"/>
  <c r="K15" i="16"/>
  <c r="I13" i="16"/>
  <c r="I10" i="16"/>
  <c r="I9" i="16"/>
  <c r="I8" i="16"/>
  <c r="I2" i="16"/>
  <c r="A16" i="16" l="1"/>
  <c r="A17" i="16"/>
  <c r="A18" i="16"/>
  <c r="I18" i="16" l="1"/>
  <c r="O18" i="16"/>
  <c r="M18" i="16"/>
  <c r="A15" i="16" l="1"/>
  <c r="A14" i="16" l="1"/>
  <c r="A13" i="16" l="1"/>
  <c r="A12" i="16" l="1"/>
  <c r="A11" i="16" l="1"/>
  <c r="A10" i="16"/>
  <c r="A9" i="16" l="1"/>
  <c r="A8" i="16" l="1"/>
  <c r="A2" i="16" l="1"/>
  <c r="A3" i="16"/>
  <c r="A4" i="16"/>
  <c r="A5" i="16"/>
  <c r="A6" i="16"/>
  <c r="A7" i="16"/>
  <c r="AJ13" i="16" l="1"/>
  <c r="AG5" i="16"/>
  <c r="AG13" i="16"/>
  <c r="AD5" i="16"/>
  <c r="AD13" i="16"/>
  <c r="AA5" i="16"/>
  <c r="AA6" i="16"/>
  <c r="AG7" i="16"/>
  <c r="AA7" i="16"/>
  <c r="AA15" i="16"/>
  <c r="AG8" i="16"/>
  <c r="AA16" i="16"/>
  <c r="AJ2" i="16"/>
  <c r="AJ14" i="16"/>
  <c r="AG2" i="16"/>
  <c r="AG14" i="16"/>
  <c r="AD2" i="16"/>
  <c r="AD6" i="16"/>
  <c r="AD14" i="16"/>
  <c r="AA10" i="16"/>
  <c r="AD7" i="16"/>
  <c r="AD8" i="16"/>
  <c r="U7" i="16"/>
  <c r="U15" i="16"/>
  <c r="R7" i="16"/>
  <c r="U16" i="16"/>
  <c r="X5" i="16"/>
  <c r="U9" i="16"/>
  <c r="X10" i="16"/>
  <c r="U10" i="16"/>
  <c r="R6" i="16"/>
  <c r="X16" i="16"/>
  <c r="R16" i="16"/>
  <c r="U5" i="16"/>
  <c r="R5" i="16"/>
  <c r="X6" i="16"/>
  <c r="U6" i="16"/>
  <c r="AP17" i="16" l="1"/>
  <c r="AP11" i="16"/>
  <c r="AP16" i="16"/>
  <c r="AD4" i="16"/>
  <c r="AP14" i="16"/>
  <c r="AM14" i="16"/>
  <c r="AG15" i="16"/>
  <c r="AP8" i="16"/>
  <c r="AG4" i="16"/>
  <c r="X15" i="16"/>
  <c r="R15" i="16"/>
  <c r="X2" i="16"/>
  <c r="U14" i="16"/>
  <c r="X8" i="16"/>
  <c r="R10" i="16"/>
  <c r="AP18" i="16"/>
  <c r="R18" i="16"/>
  <c r="AM9" i="16"/>
  <c r="AG9" i="16"/>
  <c r="AA14" i="16"/>
  <c r="AJ15" i="16"/>
  <c r="AP4" i="16"/>
  <c r="AP6" i="16"/>
  <c r="AP5" i="16"/>
  <c r="AM5" i="16"/>
  <c r="AJ5" i="16"/>
  <c r="AP15" i="16"/>
  <c r="AM8" i="16"/>
  <c r="AJ16" i="16"/>
  <c r="AP2" i="16"/>
  <c r="AM2" i="16"/>
  <c r="AA2" i="16"/>
  <c r="AM15" i="16"/>
  <c r="AM4" i="16"/>
  <c r="AG16" i="16"/>
  <c r="U8" i="16"/>
  <c r="R8" i="16"/>
  <c r="U13" i="16"/>
  <c r="X14" i="16"/>
  <c r="AD18" i="16"/>
  <c r="AM18" i="16"/>
  <c r="X18" i="16"/>
  <c r="AP9" i="16"/>
  <c r="AJ9" i="16"/>
  <c r="AD9" i="16"/>
  <c r="AA9" i="16"/>
  <c r="AM7" i="16"/>
  <c r="AD16" i="16"/>
  <c r="AM6" i="16"/>
  <c r="AJ10" i="16"/>
  <c r="AG10" i="16"/>
  <c r="AD10" i="16"/>
  <c r="AJ7" i="16"/>
  <c r="AA4" i="16"/>
  <c r="R14" i="16"/>
  <c r="AA18" i="16"/>
  <c r="X13" i="16"/>
  <c r="AD15" i="16"/>
  <c r="AJ8" i="16"/>
  <c r="R9" i="16"/>
  <c r="AJ18" i="16"/>
  <c r="AJ6" i="16"/>
  <c r="AP7" i="16"/>
  <c r="X9" i="16"/>
  <c r="U4" i="16"/>
  <c r="U18" i="16"/>
  <c r="AP13" i="16"/>
  <c r="AA13" i="16"/>
  <c r="AP12" i="16"/>
  <c r="AA8" i="16"/>
  <c r="AM10" i="16"/>
  <c r="AM16" i="16"/>
  <c r="X7" i="16"/>
  <c r="R4" i="16"/>
  <c r="U2" i="16"/>
  <c r="X4" i="16"/>
  <c r="AG18" i="16"/>
  <c r="AM13" i="16"/>
  <c r="AJ4" i="16"/>
  <c r="AP10" i="16"/>
  <c r="AG6" i="16"/>
  <c r="R13" i="16"/>
  <c r="R2" i="16"/>
  <c r="G9" i="16" l="1"/>
  <c r="K8" i="16"/>
  <c r="G15" i="16"/>
  <c r="G10" i="16"/>
  <c r="K16" i="16"/>
  <c r="K14" i="16"/>
  <c r="K18" i="16"/>
  <c r="K6" i="16"/>
  <c r="K5" i="16"/>
  <c r="K2" i="16"/>
  <c r="K13" i="16"/>
  <c r="K7" i="16"/>
</calcChain>
</file>

<file path=xl/sharedStrings.xml><?xml version="1.0" encoding="utf-8"?>
<sst xmlns="http://schemas.openxmlformats.org/spreadsheetml/2006/main" count="545" uniqueCount="176">
  <si>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</si>
  <si>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</si>
  <si>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</si>
  <si>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</si>
  <si>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</si>
  <si>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</si>
  <si>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</si>
  <si>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</si>
  <si>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</si>
  <si>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</si>
  <si>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</si>
  <si>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</si>
  <si>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</si>
  <si>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</si>
  <si>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</si>
  <si>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</si>
  <si>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</si>
  <si>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</si>
  <si>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</si>
  <si>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</si>
  <si>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</si>
  <si>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</si>
  <si>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</si>
  <si>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</si>
  <si>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</si>
  <si>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</si>
  <si>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</si>
  <si>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</si>
  <si>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</si>
  <si>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</si>
  <si>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</si>
  <si>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</si>
  <si>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</si>
  <si>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</si>
  <si>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</si>
  <si>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</si>
  <si>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</si>
  <si>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</si>
  <si>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</si>
  <si>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</si>
  <si>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</si>
  <si>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</si>
  <si>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</si>
  <si>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</si>
  <si>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</si>
  <si>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</si>
  <si>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</si>
  <si>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</si>
  <si>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</si>
  <si>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</si>
  <si>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</si>
  <si>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</si>
  <si>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</si>
  <si>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</si>
  <si>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</si>
  <si>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</si>
  <si>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</si>
  <si>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</si>
  <si>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</si>
  <si>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</si>
  <si>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</si>
  <si>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</si>
  <si>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</si>
  <si>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</si>
  <si>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</si>
  <si>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</si>
  <si>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</si>
  <si>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</si>
  <si>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</si>
  <si>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</si>
  <si>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</si>
  <si>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</si>
  <si>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</si>
  <si>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</si>
  <si>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</si>
  <si>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</si>
  <si>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</si>
  <si>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</si>
  <si>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DarthCansupes</t>
  </si>
  <si>
    <t>Rando</t>
  </si>
  <si>
    <t>beege_man</t>
  </si>
  <si>
    <t>Bubble</t>
  </si>
  <si>
    <t>XScorpion</t>
  </si>
  <si>
    <t>Bubbleboots</t>
  </si>
  <si>
    <t>goatfishman</t>
  </si>
  <si>
    <t>Sandy</t>
  </si>
  <si>
    <t>Qazitory</t>
  </si>
  <si>
    <t>Astrid</t>
  </si>
  <si>
    <t>AstralEsper</t>
  </si>
  <si>
    <t>Obrez</t>
  </si>
  <si>
    <t>Backflippius</t>
  </si>
  <si>
    <t>Elishar</t>
  </si>
  <si>
    <t>Primus_Ultimas</t>
  </si>
  <si>
    <t>Tapioca</t>
  </si>
  <si>
    <t>Nobishnar</t>
  </si>
  <si>
    <t>Tsumetai</t>
  </si>
  <si>
    <t>Linguar82</t>
  </si>
  <si>
    <t>Phil</t>
  </si>
  <si>
    <t>SchlossRitter</t>
  </si>
  <si>
    <t>Terrance</t>
  </si>
  <si>
    <t>Booguwah61482</t>
  </si>
  <si>
    <t>BYTE</t>
  </si>
  <si>
    <t>ZomBULL</t>
  </si>
  <si>
    <t>Trog</t>
  </si>
  <si>
    <t>ChainSaw</t>
  </si>
  <si>
    <t>O-Pa/Po</t>
  </si>
  <si>
    <t>kW B-Exp</t>
  </si>
  <si>
    <t>Bronze Glove</t>
  </si>
  <si>
    <t>Bronze Helm</t>
  </si>
  <si>
    <t>Bow</t>
  </si>
  <si>
    <t>Rapier</t>
  </si>
  <si>
    <t>Silver Glove</t>
  </si>
  <si>
    <t>Colt Gun</t>
  </si>
  <si>
    <t>Mini Tank</t>
  </si>
  <si>
    <t>Flame</t>
  </si>
  <si>
    <t>Warning</t>
  </si>
  <si>
    <t>Bronze Armor</t>
  </si>
  <si>
    <t>Silver Armor</t>
  </si>
  <si>
    <t>Revenge Sword</t>
  </si>
  <si>
    <t>Whip</t>
  </si>
  <si>
    <t>Strike</t>
  </si>
  <si>
    <t>HeadButt</t>
  </si>
  <si>
    <t>Cure Book</t>
  </si>
  <si>
    <t>Sleep Book</t>
  </si>
  <si>
    <t>Spark Book</t>
  </si>
  <si>
    <t>Silver Helm</t>
  </si>
  <si>
    <t>PowerUp</t>
  </si>
  <si>
    <t>Surprise</t>
  </si>
  <si>
    <t>Thunder</t>
  </si>
  <si>
    <t>O-Para</t>
  </si>
  <si>
    <t>Haste</t>
  </si>
  <si>
    <t>O-Quake</t>
  </si>
  <si>
    <t>O-Poison</t>
  </si>
  <si>
    <t>Blitz</t>
  </si>
  <si>
    <t>Remedy</t>
  </si>
  <si>
    <t>Mirror</t>
  </si>
  <si>
    <t>Ursula</t>
  </si>
  <si>
    <t>Voltgloss</t>
  </si>
  <si>
    <t>SMG</t>
  </si>
  <si>
    <t>gameenjoyer</t>
  </si>
  <si>
    <t>Squard</t>
  </si>
  <si>
    <t>blank</t>
  </si>
  <si>
    <t>Fire</t>
  </si>
  <si>
    <t>Cure Potion</t>
  </si>
  <si>
    <t>Str</t>
  </si>
  <si>
    <t>None</t>
  </si>
  <si>
    <t>Single</t>
  </si>
  <si>
    <t>n</t>
  </si>
  <si>
    <t>Agl</t>
  </si>
  <si>
    <t>Mana</t>
  </si>
  <si>
    <t>y</t>
  </si>
  <si>
    <t>Hofud</t>
  </si>
  <si>
    <t>Woodman</t>
  </si>
  <si>
    <t>Silver</t>
  </si>
  <si>
    <t>Amoeba</t>
  </si>
  <si>
    <t>Crab</t>
  </si>
  <si>
    <t>Long Bow</t>
  </si>
  <si>
    <t>Kimono</t>
  </si>
  <si>
    <t>Hermes Boot</t>
  </si>
  <si>
    <t>Green Belt</t>
  </si>
  <si>
    <t>Giant Glove</t>
  </si>
  <si>
    <t>Geta Boot</t>
  </si>
  <si>
    <t>Cure Potion - 2</t>
  </si>
  <si>
    <t>Terorist</t>
  </si>
  <si>
    <t>Oni</t>
  </si>
  <si>
    <t>Bandit</t>
  </si>
  <si>
    <t>DustDevil</t>
  </si>
  <si>
    <t>Stab</t>
  </si>
  <si>
    <t>W-Pincer</t>
  </si>
  <si>
    <t>Gas</t>
  </si>
  <si>
    <t>Breath</t>
  </si>
  <si>
    <t>Mix</t>
  </si>
  <si>
    <t>Horn</t>
  </si>
  <si>
    <t>Kick</t>
  </si>
  <si>
    <t>All Enemies</t>
  </si>
  <si>
    <t>Sandblast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</si>
</sst>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9" fillId="0" borderId="0"/>
  </cellStyleXfs>
  <cellXfs count="60">
    <xf numFmtId="0" fontId="0" fillId="0" borderId="0" xfId="0"/>
    <xf numFmtId="0" fontId="29" fillId="0" borderId="0" xfId="1"/>
    <xf numFmtId="0" fontId="19" fillId="0" borderId="0" xfId="1" applyFont="1"/>
    <xf numFmtId="0" fontId="29" fillId="2" borderId="0" xfId="1" applyFill="1"/>
    <xf numFmtId="0" fontId="15" fillId="0" borderId="0" xfId="1" applyFont="1"/>
    <xf numFmtId="0" fontId="13" fillId="0" borderId="0" xfId="1" applyFont="1"/>
    <xf numFmtId="0" fontId="29" fillId="0" borderId="1" xfId="1" applyBorder="1"/>
    <xf numFmtId="0" fontId="17" fillId="0" borderId="1" xfId="1" applyFont="1" applyBorder="1"/>
    <xf numFmtId="0" fontId="16" fillId="0" borderId="1" xfId="1" applyFont="1" applyBorder="1"/>
    <xf numFmtId="0" fontId="15" fillId="0" borderId="1" xfId="1" applyFont="1" applyBorder="1"/>
    <xf numFmtId="0" fontId="13" fillId="0" borderId="1" xfId="1" applyFont="1" applyBorder="1"/>
    <xf numFmtId="0" fontId="12" fillId="0" borderId="0" xfId="1" applyFont="1"/>
    <xf numFmtId="0" fontId="29" fillId="0" borderId="0" xfId="1" applyBorder="1"/>
    <xf numFmtId="0" fontId="29" fillId="2" borderId="5" xfId="1" applyFill="1" applyBorder="1"/>
    <xf numFmtId="0" fontId="12" fillId="0" borderId="2" xfId="1" applyFont="1" applyBorder="1" applyAlignment="1">
      <alignment horizontal="center" wrapText="1"/>
    </xf>
    <xf numFmtId="0" fontId="29" fillId="0" borderId="0" xfId="1" applyAlignment="1">
      <alignment horizontal="center"/>
    </xf>
    <xf numFmtId="0" fontId="25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29" fillId="0" borderId="2" xfId="1" applyBorder="1" applyAlignment="1">
      <alignment horizontal="center" wrapText="1"/>
    </xf>
    <xf numFmtId="0" fontId="29" fillId="2" borderId="2" xfId="1" applyFill="1" applyBorder="1" applyAlignment="1">
      <alignment horizontal="center" wrapText="1"/>
    </xf>
    <xf numFmtId="0" fontId="15" fillId="0" borderId="3" xfId="1" applyFont="1" applyBorder="1" applyAlignment="1">
      <alignment horizontal="center" wrapText="1"/>
    </xf>
    <xf numFmtId="0" fontId="29" fillId="2" borderId="4" xfId="1" applyFill="1" applyBorder="1" applyAlignment="1">
      <alignment horizontal="center" wrapText="1"/>
    </xf>
    <xf numFmtId="0" fontId="15" fillId="0" borderId="2" xfId="1" applyFont="1" applyBorder="1" applyAlignment="1">
      <alignment horizontal="center" wrapText="1"/>
    </xf>
    <xf numFmtId="0" fontId="29" fillId="0" borderId="3" xfId="1" applyBorder="1" applyAlignment="1">
      <alignment horizontal="center" wrapText="1"/>
    </xf>
    <xf numFmtId="0" fontId="22" fillId="0" borderId="2" xfId="1" applyFont="1" applyBorder="1" applyAlignment="1">
      <alignment horizontal="center" wrapText="1"/>
    </xf>
    <xf numFmtId="0" fontId="29" fillId="0" borderId="0" xfId="1" applyAlignment="1">
      <alignment horizontal="center" wrapText="1"/>
    </xf>
    <xf numFmtId="0" fontId="26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11" fillId="0" borderId="0" xfId="1" applyFont="1"/>
    <xf numFmtId="0" fontId="11" fillId="0" borderId="2" xfId="1" applyFont="1" applyBorder="1" applyAlignment="1">
      <alignment horizontal="center" wrapText="1"/>
    </xf>
    <xf numFmtId="0" fontId="10" fillId="0" borderId="2" xfId="1" applyFont="1" applyBorder="1" applyAlignment="1">
      <alignment horizontal="center" wrapText="1"/>
    </xf>
    <xf numFmtId="0" fontId="9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7" fillId="0" borderId="0" xfId="1" applyFont="1"/>
    <xf numFmtId="0" fontId="7" fillId="0" borderId="1" xfId="1" applyFont="1" applyBorder="1"/>
    <xf numFmtId="0" fontId="6" fillId="0" borderId="0" xfId="1" applyFont="1"/>
    <xf numFmtId="0" fontId="5" fillId="0" borderId="0" xfId="1" applyFont="1"/>
    <xf numFmtId="0" fontId="5" fillId="0" borderId="1" xfId="1" applyFont="1" applyBorder="1"/>
    <xf numFmtId="0" fontId="4" fillId="0" borderId="1" xfId="1" applyFont="1" applyBorder="1"/>
    <xf numFmtId="0" fontId="7" fillId="0" borderId="0" xfId="1" applyFont="1" applyAlignment="1">
      <alignment horizontal="center"/>
    </xf>
    <xf numFmtId="0" fontId="6" fillId="0" borderId="0" xfId="1" applyFont="1" applyFill="1"/>
    <xf numFmtId="0" fontId="5" fillId="0" borderId="0" xfId="1" applyFont="1" applyFill="1"/>
    <xf numFmtId="0" fontId="4" fillId="0" borderId="0" xfId="1" applyFont="1" applyFill="1"/>
    <xf numFmtId="0" fontId="0" fillId="3" borderId="0" xfId="0" applyFill="1"/>
    <xf numFmtId="0" fontId="3" fillId="0" borderId="0" xfId="1" applyFont="1"/>
    <xf numFmtId="0" fontId="3" fillId="0" borderId="0" xfId="1" applyFont="1" applyAlignment="1">
      <alignment horizontal="center"/>
    </xf>
    <xf numFmtId="0" fontId="3" fillId="0" borderId="1" xfId="1" applyFont="1" applyBorder="1"/>
    <xf numFmtId="0" fontId="2" fillId="0" borderId="1" xfId="1" applyFont="1" applyBorder="1"/>
    <xf numFmtId="0" fontId="1" fillId="0" borderId="0" xfId="1" applyFont="1"/>
    <xf numFmtId="0" fontId="1" fillId="0" borderId="1" xfId="1" applyFont="1" applyBorder="1"/>
  </cellXfs>
  <cellStyles count="2">
    <cellStyle name="Normal" xfId="0" builtinId="0"/>
    <cellStyle name="Normal 2" xfId="1"/>
  </cellStyles>
  <dxfs count="6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R2"/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S7"/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T13"/>
          <cell r="U13"/>
          <cell r="V13"/>
          <cell r="W13"/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U14"/>
          <cell r="V14"/>
          <cell r="W14"/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W15"/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S17"/>
          <cell r="T17"/>
          <cell r="U17"/>
          <cell r="V17"/>
          <cell r="W17"/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U19"/>
          <cell r="V19"/>
          <cell r="W19"/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W20"/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Kick</v>
          </cell>
          <cell r="R22" t="str">
            <v>X-Fire</v>
          </cell>
          <cell r="S22"/>
          <cell r="T22"/>
          <cell r="U22"/>
          <cell r="V22"/>
          <cell r="W22"/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T23"/>
          <cell r="U23"/>
          <cell r="V23"/>
          <cell r="W23"/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U24"/>
          <cell r="V24"/>
          <cell r="W24"/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W25"/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S27"/>
          <cell r="T27"/>
          <cell r="U27"/>
          <cell r="V27"/>
          <cell r="W27"/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U28"/>
          <cell r="V28"/>
          <cell r="W28"/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V29"/>
          <cell r="W29"/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W30"/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S32"/>
          <cell r="T32"/>
          <cell r="U32"/>
          <cell r="V32"/>
          <cell r="W32"/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S33"/>
          <cell r="T33"/>
          <cell r="U33"/>
          <cell r="V33"/>
          <cell r="W33"/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U34"/>
          <cell r="V34"/>
          <cell r="W34"/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W35"/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R37"/>
          <cell r="S37"/>
          <cell r="T37"/>
          <cell r="U37"/>
          <cell r="V37"/>
          <cell r="W37"/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T38"/>
          <cell r="U38"/>
          <cell r="V38"/>
          <cell r="W38"/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V39"/>
          <cell r="W39"/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W40"/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S42"/>
          <cell r="T42"/>
          <cell r="U42"/>
          <cell r="V42"/>
          <cell r="W42"/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U43"/>
          <cell r="V43"/>
          <cell r="W43"/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V44"/>
          <cell r="W44"/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W45"/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Q47"/>
          <cell r="R47"/>
          <cell r="S47"/>
          <cell r="T47"/>
          <cell r="U47"/>
          <cell r="V47"/>
          <cell r="W47"/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S48"/>
          <cell r="T48"/>
          <cell r="U48"/>
          <cell r="V48"/>
          <cell r="W48"/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U49"/>
          <cell r="V49"/>
          <cell r="W49"/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W50"/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R52"/>
          <cell r="S52"/>
          <cell r="T52"/>
          <cell r="U52"/>
          <cell r="V52"/>
          <cell r="W52"/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T53"/>
          <cell r="U53"/>
          <cell r="V53"/>
          <cell r="W53"/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U54"/>
          <cell r="V54"/>
          <cell r="W54"/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W55"/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S57"/>
          <cell r="T57"/>
          <cell r="U57"/>
          <cell r="V57"/>
          <cell r="W57"/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U58"/>
          <cell r="V58"/>
          <cell r="W58"/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V59"/>
          <cell r="W59"/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W60"/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S62"/>
          <cell r="T62"/>
          <cell r="U62"/>
          <cell r="V62"/>
          <cell r="W62"/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S63"/>
          <cell r="T63"/>
          <cell r="U63"/>
          <cell r="V63"/>
          <cell r="W63"/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V64"/>
          <cell r="W64"/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W65"/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U68"/>
          <cell r="V68"/>
          <cell r="W68"/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V69"/>
          <cell r="W69"/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W70"/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Shell</v>
          </cell>
          <cell r="R72" t="str">
            <v>X-Thunder</v>
          </cell>
          <cell r="S72"/>
          <cell r="T72"/>
          <cell r="U72"/>
          <cell r="V72"/>
          <cell r="W72"/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U73"/>
          <cell r="V73"/>
          <cell r="W73"/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V74"/>
          <cell r="W74"/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W75"/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R77"/>
          <cell r="S77"/>
          <cell r="T77"/>
          <cell r="U77"/>
          <cell r="V77"/>
          <cell r="W77"/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U78"/>
          <cell r="V78"/>
          <cell r="W78"/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V79"/>
          <cell r="W79"/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W80"/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S82"/>
          <cell r="T82"/>
          <cell r="U82"/>
          <cell r="V82"/>
          <cell r="W82"/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V83"/>
          <cell r="W83"/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V84"/>
          <cell r="W84"/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W85"/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S87"/>
          <cell r="T87"/>
          <cell r="U87"/>
          <cell r="V87"/>
          <cell r="W87"/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T88"/>
          <cell r="U88"/>
          <cell r="V88"/>
          <cell r="W88"/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V89"/>
          <cell r="W89"/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V90"/>
          <cell r="W90"/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R92"/>
          <cell r="S92"/>
          <cell r="T92"/>
          <cell r="U92"/>
          <cell r="V92"/>
          <cell r="W92"/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S93"/>
          <cell r="T93"/>
          <cell r="U93"/>
          <cell r="V93"/>
          <cell r="W93"/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U94"/>
          <cell r="V94"/>
          <cell r="W94"/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W95"/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R97"/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U98"/>
          <cell r="V98"/>
          <cell r="W98"/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V99"/>
          <cell r="W99"/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U103"/>
          <cell r="V103"/>
          <cell r="W103"/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V104"/>
          <cell r="W104"/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W105"/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R107"/>
          <cell r="S107"/>
          <cell r="T107"/>
          <cell r="U107"/>
          <cell r="V107"/>
          <cell r="W107"/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S108"/>
          <cell r="T108"/>
          <cell r="U108"/>
          <cell r="V108"/>
          <cell r="W108"/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U109"/>
          <cell r="V109"/>
          <cell r="W109"/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W110"/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R112"/>
          <cell r="S112"/>
          <cell r="T112"/>
          <cell r="U112"/>
          <cell r="V112"/>
          <cell r="W112"/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T113"/>
          <cell r="U113"/>
          <cell r="V113"/>
          <cell r="W113"/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V114"/>
          <cell r="W114"/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W115"/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S117"/>
          <cell r="T117"/>
          <cell r="U117"/>
          <cell r="V117"/>
          <cell r="W117"/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T118"/>
          <cell r="U118"/>
          <cell r="V118"/>
          <cell r="W118"/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V119"/>
          <cell r="W119"/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W120"/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Q122"/>
          <cell r="R122"/>
          <cell r="S122"/>
          <cell r="T122"/>
          <cell r="U122"/>
          <cell r="V122"/>
          <cell r="W122"/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S123"/>
          <cell r="T123"/>
          <cell r="U123"/>
          <cell r="V123"/>
          <cell r="W123"/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U124"/>
          <cell r="V124"/>
          <cell r="W124"/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V125"/>
          <cell r="W125"/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R127"/>
          <cell r="S127"/>
          <cell r="T127"/>
          <cell r="U127"/>
          <cell r="V127"/>
          <cell r="W127"/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S128"/>
          <cell r="T128"/>
          <cell r="U128"/>
          <cell r="V128"/>
          <cell r="W128"/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V129"/>
          <cell r="W129"/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W130"/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S132"/>
          <cell r="T132"/>
          <cell r="U132"/>
          <cell r="V132"/>
          <cell r="W132"/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U133"/>
          <cell r="V133"/>
          <cell r="W133"/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V134"/>
          <cell r="W134"/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W135"/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S137"/>
          <cell r="T137"/>
          <cell r="U137"/>
          <cell r="V137"/>
          <cell r="W137"/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U138"/>
          <cell r="V138"/>
          <cell r="W138"/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V139"/>
          <cell r="W139"/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S142"/>
          <cell r="T142"/>
          <cell r="U142"/>
          <cell r="V142"/>
          <cell r="W142"/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T143"/>
          <cell r="U143"/>
          <cell r="V143"/>
          <cell r="W143"/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V144"/>
          <cell r="W144"/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W145"/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S147"/>
          <cell r="T147"/>
          <cell r="U147"/>
          <cell r="V147"/>
          <cell r="W147"/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U148"/>
          <cell r="V148"/>
          <cell r="W148"/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V149"/>
          <cell r="W149"/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W150"/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Q152"/>
          <cell r="R152"/>
          <cell r="S152"/>
          <cell r="T152"/>
          <cell r="U152"/>
          <cell r="V152"/>
          <cell r="W152"/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R153"/>
          <cell r="S153"/>
          <cell r="T153"/>
          <cell r="U153"/>
          <cell r="V153"/>
          <cell r="W153"/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U154"/>
          <cell r="V154"/>
          <cell r="W154"/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W155"/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R157"/>
          <cell r="S157"/>
          <cell r="T157"/>
          <cell r="U157"/>
          <cell r="V157"/>
          <cell r="W157"/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U158"/>
          <cell r="V158"/>
          <cell r="W158"/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V159"/>
          <cell r="W159"/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W160"/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T162"/>
          <cell r="U162"/>
          <cell r="V162"/>
          <cell r="W162"/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U163"/>
          <cell r="V163"/>
          <cell r="W163"/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V164"/>
          <cell r="W164"/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W165"/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S167"/>
          <cell r="T167"/>
          <cell r="U167"/>
          <cell r="V167"/>
          <cell r="W167"/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T168"/>
          <cell r="U168"/>
          <cell r="V168"/>
          <cell r="W168"/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V169"/>
          <cell r="W169"/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W170"/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S172"/>
          <cell r="T172"/>
          <cell r="U172"/>
          <cell r="V172"/>
          <cell r="W172"/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T173"/>
          <cell r="U173"/>
          <cell r="V173"/>
          <cell r="W173"/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W174"/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W175"/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T177"/>
          <cell r="U177"/>
          <cell r="V177"/>
          <cell r="W177"/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U178"/>
          <cell r="V178"/>
          <cell r="W178"/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W180"/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>
            <v>1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Q182"/>
          <cell r="R182"/>
          <cell r="S182"/>
          <cell r="T182"/>
          <cell r="U182"/>
          <cell r="V182"/>
          <cell r="W182"/>
          <cell r="X182" t="str">
            <v>Human</v>
          </cell>
        </row>
        <row r="183">
          <cell r="A183" t="str">
            <v>Bandit</v>
          </cell>
          <cell r="B183" t="str">
            <v>Bandit</v>
          </cell>
          <cell r="C183">
            <v>0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R183"/>
          <cell r="S183"/>
          <cell r="T183"/>
          <cell r="U183"/>
          <cell r="V183"/>
          <cell r="W183"/>
          <cell r="X183" t="str">
            <v>Human</v>
          </cell>
        </row>
        <row r="184">
          <cell r="A184" t="str">
            <v>Ronin</v>
          </cell>
          <cell r="B184" t="str">
            <v>Ronin</v>
          </cell>
          <cell r="C184">
            <v>1</v>
          </cell>
          <cell r="D184"/>
          <cell r="E184">
            <v>5</v>
          </cell>
          <cell r="F184"/>
          <cell r="G184"/>
          <cell r="H184">
            <v>0</v>
          </cell>
          <cell r="I184">
            <v>2</v>
          </cell>
          <cell r="J184">
            <v>500</v>
          </cell>
          <cell r="K184">
            <v>29</v>
          </cell>
          <cell r="L184">
            <v>25</v>
          </cell>
          <cell r="M184">
            <v>19</v>
          </cell>
          <cell r="N184">
            <v>26</v>
          </cell>
          <cell r="O184"/>
          <cell r="P184" t="str">
            <v>Katana</v>
          </cell>
          <cell r="Q184" t="str">
            <v>Gold Bow</v>
          </cell>
          <cell r="R184" t="str">
            <v>Gold Armor</v>
          </cell>
          <cell r="S184"/>
          <cell r="T184"/>
          <cell r="U184"/>
          <cell r="V184"/>
          <cell r="W184"/>
          <cell r="X184" t="str">
            <v>Human</v>
          </cell>
        </row>
        <row r="185">
          <cell r="A185" t="str">
            <v>Ninja</v>
          </cell>
          <cell r="B185" t="str">
            <v>Ninja</v>
          </cell>
          <cell r="C185" t="str">
            <v>3</v>
          </cell>
          <cell r="D185" t="str">
            <v>7</v>
          </cell>
          <cell r="E185">
            <v>7</v>
          </cell>
          <cell r="F185" t="str">
            <v>37</v>
          </cell>
          <cell r="G185" t="str">
            <v>83</v>
          </cell>
          <cell r="H185" t="str">
            <v>0</v>
          </cell>
          <cell r="I185">
            <v>4</v>
          </cell>
          <cell r="J185">
            <v>700</v>
          </cell>
          <cell r="K185">
            <v>43</v>
          </cell>
          <cell r="L185">
            <v>43</v>
          </cell>
          <cell r="M185">
            <v>33</v>
          </cell>
          <cell r="N185">
            <v>45</v>
          </cell>
          <cell r="O185" t="str">
            <v>7d5a</v>
          </cell>
          <cell r="P185" t="str">
            <v>Katana</v>
          </cell>
          <cell r="Q185" t="str">
            <v>Blind</v>
          </cell>
          <cell r="R185" t="str">
            <v>Haste</v>
          </cell>
          <cell r="S185" t="str">
            <v>Ice Sword</v>
          </cell>
          <cell r="T185" t="str">
            <v>Surprise</v>
          </cell>
          <cell r="U185" t="str">
            <v>Warning</v>
          </cell>
          <cell r="V185"/>
          <cell r="W185"/>
          <cell r="X185" t="str">
            <v>Human</v>
          </cell>
        </row>
        <row r="186">
          <cell r="A186" t="str">
            <v>Musashi</v>
          </cell>
          <cell r="B186" t="str">
            <v>Musashi</v>
          </cell>
          <cell r="C186" t="str">
            <v>5</v>
          </cell>
          <cell r="D186" t="str">
            <v>A</v>
          </cell>
          <cell r="E186">
            <v>10</v>
          </cell>
          <cell r="F186" t="str">
            <v>5A</v>
          </cell>
          <cell r="G186" t="str">
            <v>83</v>
          </cell>
          <cell r="H186" t="str">
            <v>0</v>
          </cell>
          <cell r="I186">
            <v>5</v>
          </cell>
          <cell r="J186">
            <v>2000</v>
          </cell>
          <cell r="K186">
            <v>76</v>
          </cell>
          <cell r="L186">
            <v>76</v>
          </cell>
          <cell r="M186">
            <v>63</v>
          </cell>
          <cell r="N186">
            <v>78</v>
          </cell>
          <cell r="O186" t="str">
            <v>7d60</v>
          </cell>
          <cell r="P186" t="str">
            <v>Stab</v>
          </cell>
          <cell r="Q186" t="str">
            <v>Defense</v>
          </cell>
          <cell r="R186" t="str">
            <v>Counter</v>
          </cell>
          <cell r="S186" t="str">
            <v>2-Swords</v>
          </cell>
          <cell r="T186" t="str">
            <v>Critical</v>
          </cell>
          <cell r="U186" t="str">
            <v>Warning</v>
          </cell>
          <cell r="V186" t="str">
            <v>Elixier</v>
          </cell>
          <cell r="W186"/>
          <cell r="X186" t="str">
            <v>Human</v>
          </cell>
        </row>
        <row r="187">
          <cell r="A187" t="str">
            <v>Hatamoto</v>
          </cell>
          <cell r="B187" t="str">
            <v>Hatamoto</v>
          </cell>
          <cell r="C187" t="str">
            <v>3</v>
          </cell>
          <cell r="D187" t="str">
            <v>B</v>
          </cell>
          <cell r="E187">
            <v>11</v>
          </cell>
          <cell r="F187" t="str">
            <v>3B</v>
          </cell>
          <cell r="G187" t="str">
            <v>83</v>
          </cell>
          <cell r="H187" t="str">
            <v>0</v>
          </cell>
          <cell r="I187">
            <v>4</v>
          </cell>
          <cell r="J187">
            <v>400</v>
          </cell>
          <cell r="K187">
            <v>43</v>
          </cell>
          <cell r="L187">
            <v>43</v>
          </cell>
          <cell r="M187">
            <v>33</v>
          </cell>
          <cell r="N187">
            <v>44</v>
          </cell>
          <cell r="O187" t="str">
            <v>7d67</v>
          </cell>
          <cell r="P187" t="str">
            <v>Katana</v>
          </cell>
          <cell r="Q187" t="str">
            <v>Bazooka</v>
          </cell>
          <cell r="R187" t="str">
            <v>X-Cure Potion</v>
          </cell>
          <cell r="S187" t="str">
            <v>Magnum</v>
          </cell>
          <cell r="T187"/>
          <cell r="U187"/>
          <cell r="V187"/>
          <cell r="W187"/>
          <cell r="X187" t="str">
            <v>Human</v>
          </cell>
        </row>
        <row r="188">
          <cell r="A188" t="str">
            <v>Gang</v>
          </cell>
          <cell r="B188" t="str">
            <v>Gang</v>
          </cell>
          <cell r="C188" t="str">
            <v>0</v>
          </cell>
          <cell r="D188" t="str">
            <v>1</v>
          </cell>
          <cell r="E188">
            <v>1</v>
          </cell>
          <cell r="F188" t="str">
            <v>01</v>
          </cell>
          <cell r="G188" t="str">
            <v>1a</v>
          </cell>
          <cell r="H188" t="str">
            <v>0</v>
          </cell>
          <cell r="I188">
            <v>1</v>
          </cell>
          <cell r="J188">
            <v>45</v>
          </cell>
          <cell r="K188">
            <v>5</v>
          </cell>
          <cell r="L188">
            <v>7</v>
          </cell>
          <cell r="M188">
            <v>3</v>
          </cell>
          <cell r="N188">
            <v>4</v>
          </cell>
          <cell r="O188" t="str">
            <v>7d6b</v>
          </cell>
          <cell r="P188" t="str">
            <v>Strike</v>
          </cell>
          <cell r="Q188"/>
          <cell r="R188"/>
          <cell r="S188"/>
          <cell r="T188"/>
          <cell r="U188"/>
          <cell r="V188"/>
          <cell r="W188"/>
          <cell r="X188" t="str">
            <v>Human</v>
          </cell>
        </row>
        <row r="189">
          <cell r="A189" t="str">
            <v>Wh. Belt</v>
          </cell>
          <cell r="B189" t="str">
            <v>Wh. Belt</v>
          </cell>
          <cell r="C189" t="str">
            <v>2</v>
          </cell>
          <cell r="D189" t="str">
            <v>5</v>
          </cell>
          <cell r="E189">
            <v>5</v>
          </cell>
          <cell r="F189" t="str">
            <v>25</v>
          </cell>
          <cell r="G189" t="str">
            <v>1a</v>
          </cell>
          <cell r="H189" t="str">
            <v>0</v>
          </cell>
          <cell r="I189">
            <v>3</v>
          </cell>
          <cell r="J189">
            <v>248</v>
          </cell>
          <cell r="K189">
            <v>25</v>
          </cell>
          <cell r="L189">
            <v>29</v>
          </cell>
          <cell r="M189">
            <v>22</v>
          </cell>
          <cell r="N189">
            <v>23</v>
          </cell>
          <cell r="O189" t="str">
            <v>7d6c</v>
          </cell>
          <cell r="P189" t="str">
            <v>Strike</v>
          </cell>
          <cell r="Q189" t="str">
            <v>JumpKick</v>
          </cell>
          <cell r="R189" t="str">
            <v>HeadButt</v>
          </cell>
          <cell r="S189"/>
          <cell r="T189"/>
          <cell r="U189"/>
          <cell r="V189"/>
          <cell r="W189"/>
          <cell r="X189" t="str">
            <v>Human</v>
          </cell>
        </row>
        <row r="190">
          <cell r="A190" t="str">
            <v>Killer</v>
          </cell>
          <cell r="B190" t="str">
            <v>Killer</v>
          </cell>
          <cell r="C190" t="str">
            <v>4</v>
          </cell>
          <cell r="D190" t="str">
            <v>8</v>
          </cell>
          <cell r="E190">
            <v>8</v>
          </cell>
          <cell r="F190" t="str">
            <v>48</v>
          </cell>
          <cell r="G190" t="str">
            <v>1a</v>
          </cell>
          <cell r="H190" t="str">
            <v>0</v>
          </cell>
          <cell r="I190">
            <v>5</v>
          </cell>
          <cell r="J190">
            <v>507</v>
          </cell>
          <cell r="K190">
            <v>51</v>
          </cell>
          <cell r="L190">
            <v>57</v>
          </cell>
          <cell r="M190">
            <v>47</v>
          </cell>
          <cell r="N190">
            <v>49</v>
          </cell>
          <cell r="O190" t="str">
            <v>7d6f</v>
          </cell>
          <cell r="P190" t="str">
            <v>Axe</v>
          </cell>
          <cell r="Q190" t="str">
            <v>ChainSaw</v>
          </cell>
          <cell r="R190" t="str">
            <v>StunGun</v>
          </cell>
          <cell r="S190" t="str">
            <v>Venom</v>
          </cell>
          <cell r="T190" t="str">
            <v>Blitz Whip</v>
          </cell>
          <cell r="U190" t="str">
            <v>Surprise</v>
          </cell>
          <cell r="V190"/>
          <cell r="W190"/>
          <cell r="X190" t="str">
            <v>Human</v>
          </cell>
        </row>
        <row r="191">
          <cell r="A191" t="str">
            <v>Bl. Belt</v>
          </cell>
          <cell r="B191" t="str">
            <v>Bl. Belt</v>
          </cell>
          <cell r="C191" t="str">
            <v>6</v>
          </cell>
          <cell r="D191" t="str">
            <v>A</v>
          </cell>
          <cell r="E191">
            <v>10</v>
          </cell>
          <cell r="F191" t="str">
            <v>6A</v>
          </cell>
          <cell r="G191" t="str">
            <v>1a</v>
          </cell>
          <cell r="H191" t="str">
            <v>0</v>
          </cell>
          <cell r="I191">
            <v>7</v>
          </cell>
          <cell r="J191">
            <v>731</v>
          </cell>
          <cell r="K191">
            <v>73</v>
          </cell>
          <cell r="L191">
            <v>81</v>
          </cell>
          <cell r="M191">
            <v>68</v>
          </cell>
          <cell r="N191">
            <v>71</v>
          </cell>
          <cell r="O191" t="str">
            <v>7d75</v>
          </cell>
          <cell r="P191" t="str">
            <v>Strike</v>
          </cell>
          <cell r="Q191" t="str">
            <v>JumpKick</v>
          </cell>
          <cell r="R191" t="str">
            <v>HeadButt</v>
          </cell>
          <cell r="S191" t="str">
            <v>FlyingKick</v>
          </cell>
          <cell r="T191" t="str">
            <v>Jyudo</v>
          </cell>
          <cell r="U191" t="str">
            <v>Karate</v>
          </cell>
          <cell r="V191" t="str">
            <v>Samurai Shield</v>
          </cell>
          <cell r="W191"/>
          <cell r="X191" t="str">
            <v>Human</v>
          </cell>
        </row>
        <row r="192">
          <cell r="A192" t="str">
            <v>TianLung</v>
          </cell>
          <cell r="B192" t="str">
            <v>TianLung</v>
          </cell>
          <cell r="C192" t="str">
            <v>3</v>
          </cell>
          <cell r="D192" t="str">
            <v>B</v>
          </cell>
          <cell r="E192">
            <v>11</v>
          </cell>
          <cell r="F192" t="str">
            <v>3B</v>
          </cell>
          <cell r="G192" t="str">
            <v>29</v>
          </cell>
          <cell r="H192" t="str">
            <v>2</v>
          </cell>
          <cell r="I192" t="str">
            <v>4</v>
          </cell>
          <cell r="J192">
            <v>2000</v>
          </cell>
          <cell r="K192">
            <v>86</v>
          </cell>
          <cell r="L192">
            <v>94</v>
          </cell>
          <cell r="M192">
            <v>80</v>
          </cell>
          <cell r="N192">
            <v>83</v>
          </cell>
          <cell r="O192" t="str">
            <v>7d7c</v>
          </cell>
          <cell r="P192" t="str">
            <v>Tornado</v>
          </cell>
          <cell r="Q192" t="str">
            <v>Tusk</v>
          </cell>
          <cell r="R192" t="str">
            <v>Lightning</v>
          </cell>
          <cell r="S192" t="str">
            <v>Gas</v>
          </cell>
          <cell r="T192" t="str">
            <v>O-All</v>
          </cell>
          <cell r="U192"/>
          <cell r="V192"/>
          <cell r="W192"/>
          <cell r="X192" t="str">
            <v>Great Reptile</v>
          </cell>
        </row>
        <row r="193">
          <cell r="A193" t="str">
            <v>Trooper</v>
          </cell>
          <cell r="B193" t="str">
            <v>Trooper</v>
          </cell>
          <cell r="C193" t="str">
            <v>1</v>
          </cell>
          <cell r="D193" t="str">
            <v>2</v>
          </cell>
          <cell r="E193">
            <v>2</v>
          </cell>
          <cell r="F193" t="str">
            <v>12</v>
          </cell>
          <cell r="G193" t="str">
            <v>1b</v>
          </cell>
          <cell r="H193" t="str">
            <v>0</v>
          </cell>
          <cell r="I193" t="str">
            <v>1</v>
          </cell>
          <cell r="J193">
            <v>90</v>
          </cell>
          <cell r="K193">
            <v>8</v>
          </cell>
          <cell r="L193">
            <v>6</v>
          </cell>
          <cell r="M193">
            <v>6</v>
          </cell>
          <cell r="N193">
            <v>11</v>
          </cell>
          <cell r="O193" t="str">
            <v>7d81</v>
          </cell>
          <cell r="P193" t="str">
            <v>Long Sword</v>
          </cell>
          <cell r="Q193" t="str">
            <v>Bronze Shield</v>
          </cell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Guard</v>
          </cell>
          <cell r="B194" t="str">
            <v>Guard</v>
          </cell>
          <cell r="C194" t="str">
            <v>2</v>
          </cell>
          <cell r="D194" t="str">
            <v>5</v>
          </cell>
          <cell r="E194">
            <v>5</v>
          </cell>
          <cell r="F194" t="str">
            <v>25</v>
          </cell>
          <cell r="G194" t="str">
            <v>1b</v>
          </cell>
          <cell r="H194" t="str">
            <v>0</v>
          </cell>
          <cell r="I194" t="str">
            <v>2</v>
          </cell>
          <cell r="J194">
            <v>263</v>
          </cell>
          <cell r="K194">
            <v>25</v>
          </cell>
          <cell r="L194">
            <v>22</v>
          </cell>
          <cell r="M194">
            <v>22</v>
          </cell>
          <cell r="N194">
            <v>29</v>
          </cell>
          <cell r="O194" t="str">
            <v>7d83</v>
          </cell>
          <cell r="P194" t="str">
            <v>Gold Sword</v>
          </cell>
          <cell r="Q194" t="str">
            <v>Gold Shield</v>
          </cell>
          <cell r="R194" t="str">
            <v>Cure Potion</v>
          </cell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Knight</v>
          </cell>
          <cell r="B195" t="str">
            <v>Knight</v>
          </cell>
          <cell r="C195" t="str">
            <v>5</v>
          </cell>
          <cell r="D195" t="str">
            <v>7</v>
          </cell>
          <cell r="E195">
            <v>7</v>
          </cell>
          <cell r="F195" t="str">
            <v>57</v>
          </cell>
          <cell r="G195" t="str">
            <v>1b</v>
          </cell>
          <cell r="H195" t="str">
            <v>0</v>
          </cell>
          <cell r="I195" t="str">
            <v>5</v>
          </cell>
          <cell r="J195">
            <v>390</v>
          </cell>
          <cell r="K195">
            <v>41</v>
          </cell>
          <cell r="L195">
            <v>37</v>
          </cell>
          <cell r="M195">
            <v>37</v>
          </cell>
          <cell r="N195">
            <v>47</v>
          </cell>
          <cell r="O195" t="str">
            <v>7d86</v>
          </cell>
          <cell r="P195" t="str">
            <v>Flame Sword</v>
          </cell>
          <cell r="Q195" t="str">
            <v>Ice Sword</v>
          </cell>
          <cell r="R195" t="str">
            <v>Thunder Sword</v>
          </cell>
          <cell r="S195" t="str">
            <v>Flame Shield</v>
          </cell>
          <cell r="T195" t="str">
            <v>Ice Shield</v>
          </cell>
          <cell r="U195" t="str">
            <v>X-Cure Potion</v>
          </cell>
          <cell r="V195"/>
          <cell r="W195"/>
          <cell r="X195" t="str">
            <v>Human</v>
          </cell>
        </row>
        <row r="196">
          <cell r="A196" t="str">
            <v>Paladin</v>
          </cell>
          <cell r="B196" t="str">
            <v>Paladin</v>
          </cell>
          <cell r="C196" t="str">
            <v>6</v>
          </cell>
          <cell r="D196" t="str">
            <v>A</v>
          </cell>
          <cell r="E196">
            <v>10</v>
          </cell>
          <cell r="F196" t="str">
            <v>6A</v>
          </cell>
          <cell r="G196" t="str">
            <v>1b</v>
          </cell>
          <cell r="H196" t="str">
            <v>0</v>
          </cell>
          <cell r="I196" t="str">
            <v>6</v>
          </cell>
          <cell r="J196">
            <v>756</v>
          </cell>
          <cell r="K196">
            <v>73</v>
          </cell>
          <cell r="L196">
            <v>68</v>
          </cell>
          <cell r="M196">
            <v>68</v>
          </cell>
          <cell r="N196">
            <v>81</v>
          </cell>
          <cell r="O196" t="str">
            <v>7d8c</v>
          </cell>
          <cell r="P196" t="str">
            <v>Sun Sword</v>
          </cell>
          <cell r="Q196" t="str">
            <v>Dragon Sword</v>
          </cell>
          <cell r="R196" t="str">
            <v>Defend Sword</v>
          </cell>
          <cell r="S196" t="str">
            <v>Dragon Shield</v>
          </cell>
          <cell r="T196" t="str">
            <v>Dragon Helm</v>
          </cell>
          <cell r="U196" t="str">
            <v>Ninja Glove</v>
          </cell>
          <cell r="V196" t="str">
            <v>Dragon Armor</v>
          </cell>
          <cell r="W196"/>
          <cell r="X196" t="str">
            <v>Human</v>
          </cell>
        </row>
        <row r="197">
          <cell r="A197" t="str">
            <v>Fenrir</v>
          </cell>
          <cell r="B197" t="str">
            <v>Fenrir</v>
          </cell>
          <cell r="C197" t="str">
            <v>2</v>
          </cell>
          <cell r="D197" t="str">
            <v>B</v>
          </cell>
          <cell r="E197">
            <v>11</v>
          </cell>
          <cell r="F197" t="str">
            <v>2B</v>
          </cell>
          <cell r="G197" t="str">
            <v>2c</v>
          </cell>
          <cell r="H197" t="str">
            <v>2</v>
          </cell>
          <cell r="I197" t="str">
            <v>4</v>
          </cell>
          <cell r="J197">
            <v>2500</v>
          </cell>
          <cell r="K197">
            <v>86</v>
          </cell>
          <cell r="L197">
            <v>80</v>
          </cell>
          <cell r="M197">
            <v>80</v>
          </cell>
          <cell r="N197">
            <v>94</v>
          </cell>
          <cell r="O197" t="str">
            <v>7d93</v>
          </cell>
          <cell r="P197" t="str">
            <v>Tornado</v>
          </cell>
          <cell r="Q197" t="str">
            <v>Tusk</v>
          </cell>
          <cell r="R197" t="str">
            <v>Blizzard</v>
          </cell>
          <cell r="S197" t="str">
            <v>Recover</v>
          </cell>
          <cell r="T197" t="str">
            <v>O-All</v>
          </cell>
          <cell r="U197"/>
          <cell r="V197"/>
          <cell r="W197"/>
          <cell r="X197" t="str">
            <v>Beast</v>
          </cell>
        </row>
        <row r="198">
          <cell r="A198" t="str">
            <v>Terorist</v>
          </cell>
          <cell r="B198" t="str">
            <v>Terorist</v>
          </cell>
          <cell r="C198" t="str">
            <v>1</v>
          </cell>
          <cell r="D198" t="str">
            <v>3</v>
          </cell>
          <cell r="E198">
            <v>3</v>
          </cell>
          <cell r="F198" t="str">
            <v>13</v>
          </cell>
          <cell r="G198" t="str">
            <v>84</v>
          </cell>
          <cell r="H198" t="str">
            <v>0</v>
          </cell>
          <cell r="I198" t="str">
            <v>1</v>
          </cell>
          <cell r="J198">
            <v>148</v>
          </cell>
          <cell r="K198">
            <v>14</v>
          </cell>
          <cell r="L198">
            <v>14</v>
          </cell>
          <cell r="M198">
            <v>8</v>
          </cell>
          <cell r="N198">
            <v>13</v>
          </cell>
          <cell r="O198" t="str">
            <v>7d98</v>
          </cell>
          <cell r="P198" t="str">
            <v>Colt Gun</v>
          </cell>
          <cell r="Q198" t="str">
            <v>Kick</v>
          </cell>
          <cell r="R198"/>
          <cell r="S198"/>
          <cell r="T198"/>
          <cell r="U198"/>
          <cell r="V198"/>
          <cell r="W198"/>
          <cell r="X198" t="str">
            <v>Human</v>
          </cell>
        </row>
        <row r="199">
          <cell r="A199" t="str">
            <v>Mercenar</v>
          </cell>
          <cell r="B199" t="str">
            <v>Mercenar</v>
          </cell>
          <cell r="C199" t="str">
            <v>3</v>
          </cell>
          <cell r="D199" t="str">
            <v>6</v>
          </cell>
          <cell r="E199">
            <v>6</v>
          </cell>
          <cell r="F199" t="str">
            <v>36</v>
          </cell>
          <cell r="G199" t="str">
            <v>84</v>
          </cell>
          <cell r="H199" t="str">
            <v>0</v>
          </cell>
          <cell r="I199" t="str">
            <v>3</v>
          </cell>
          <cell r="J199">
            <v>358</v>
          </cell>
          <cell r="K199">
            <v>34</v>
          </cell>
          <cell r="L199">
            <v>34</v>
          </cell>
          <cell r="M199">
            <v>26</v>
          </cell>
          <cell r="N199">
            <v>32</v>
          </cell>
          <cell r="O199" t="str">
            <v>7d9a</v>
          </cell>
          <cell r="P199" t="str">
            <v>Musket</v>
          </cell>
          <cell r="Q199" t="str">
            <v>Grenade</v>
          </cell>
          <cell r="R199" t="str">
            <v>SMG</v>
          </cell>
          <cell r="S199" t="str">
            <v>Cure Potion</v>
          </cell>
          <cell r="T199"/>
          <cell r="U199"/>
          <cell r="V199"/>
          <cell r="W199"/>
          <cell r="X199" t="str">
            <v>Human</v>
          </cell>
        </row>
        <row r="200">
          <cell r="A200" t="str">
            <v>Commando</v>
          </cell>
          <cell r="B200" t="str">
            <v>Commando</v>
          </cell>
          <cell r="C200" t="str">
            <v>4</v>
          </cell>
          <cell r="D200" t="str">
            <v>7</v>
          </cell>
          <cell r="E200">
            <v>7</v>
          </cell>
          <cell r="F200" t="str">
            <v>47</v>
          </cell>
          <cell r="G200" t="str">
            <v>84</v>
          </cell>
          <cell r="H200" t="str">
            <v>0</v>
          </cell>
          <cell r="I200" t="str">
            <v>5</v>
          </cell>
          <cell r="J200">
            <v>410</v>
          </cell>
          <cell r="K200">
            <v>43</v>
          </cell>
          <cell r="L200">
            <v>43</v>
          </cell>
          <cell r="M200">
            <v>33</v>
          </cell>
          <cell r="N200">
            <v>41</v>
          </cell>
          <cell r="O200" t="str">
            <v>7d9e</v>
          </cell>
          <cell r="P200" t="str">
            <v>HeadButt</v>
          </cell>
          <cell r="Q200" t="str">
            <v>Fire Gun</v>
          </cell>
          <cell r="R200" t="str">
            <v>Bazooka</v>
          </cell>
          <cell r="S200" t="str">
            <v>Magnum</v>
          </cell>
          <cell r="T200" t="str">
            <v>Army Armor</v>
          </cell>
          <cell r="U200" t="str">
            <v>Surprise</v>
          </cell>
          <cell r="V200"/>
          <cell r="W200"/>
          <cell r="X200" t="str">
            <v>Human</v>
          </cell>
        </row>
        <row r="201">
          <cell r="A201" t="str">
            <v>SS</v>
          </cell>
          <cell r="B201" t="str">
            <v>SS</v>
          </cell>
          <cell r="C201" t="str">
            <v>6</v>
          </cell>
          <cell r="D201" t="str">
            <v>A</v>
          </cell>
          <cell r="E201">
            <v>10</v>
          </cell>
          <cell r="F201" t="str">
            <v>6A</v>
          </cell>
          <cell r="G201" t="str">
            <v>84</v>
          </cell>
          <cell r="H201" t="str">
            <v>0</v>
          </cell>
          <cell r="I201" t="str">
            <v>6</v>
          </cell>
          <cell r="J201">
            <v>781</v>
          </cell>
          <cell r="K201">
            <v>76</v>
          </cell>
          <cell r="L201">
            <v>76</v>
          </cell>
          <cell r="M201">
            <v>63</v>
          </cell>
          <cell r="N201">
            <v>73</v>
          </cell>
          <cell r="O201" t="str">
            <v>7da4</v>
          </cell>
          <cell r="P201" t="str">
            <v>Laser Sword</v>
          </cell>
          <cell r="Q201" t="str">
            <v>Vulcan Cannon</v>
          </cell>
          <cell r="R201" t="str">
            <v>Fire Gun</v>
          </cell>
          <cell r="S201" t="str">
            <v>Missile Cannon</v>
          </cell>
          <cell r="T201" t="str">
            <v>Tank Cannon</v>
          </cell>
          <cell r="U201" t="str">
            <v>X-Cure Potion</v>
          </cell>
          <cell r="V201" t="str">
            <v>Army Armor</v>
          </cell>
          <cell r="W201"/>
          <cell r="X201" t="str">
            <v>Human</v>
          </cell>
        </row>
        <row r="202">
          <cell r="A202" t="str">
            <v>EchigoYa</v>
          </cell>
          <cell r="B202" t="str">
            <v>EchigoYa</v>
          </cell>
          <cell r="C202" t="str">
            <v>2</v>
          </cell>
          <cell r="D202" t="str">
            <v>B</v>
          </cell>
          <cell r="E202">
            <v>11</v>
          </cell>
          <cell r="F202" t="str">
            <v>2B</v>
          </cell>
          <cell r="G202" t="str">
            <v>84</v>
          </cell>
          <cell r="H202" t="str">
            <v>0</v>
          </cell>
          <cell r="I202" t="str">
            <v>2</v>
          </cell>
          <cell r="J202">
            <v>443</v>
          </cell>
          <cell r="K202">
            <v>43</v>
          </cell>
          <cell r="L202">
            <v>43</v>
          </cell>
          <cell r="M202">
            <v>36</v>
          </cell>
          <cell r="N202">
            <v>41</v>
          </cell>
          <cell r="O202" t="str">
            <v>7dab</v>
          </cell>
          <cell r="P202" t="str">
            <v>Abacus</v>
          </cell>
          <cell r="Q202" t="str">
            <v>Vulcan Cannon</v>
          </cell>
          <cell r="R202" t="str">
            <v>Psi Sword</v>
          </cell>
          <cell r="S202"/>
          <cell r="T202"/>
          <cell r="U202"/>
          <cell r="V202"/>
          <cell r="W202"/>
          <cell r="X202" t="str">
            <v>Human</v>
          </cell>
        </row>
        <row r="203">
          <cell r="A203" t="str">
            <v>Conjurer</v>
          </cell>
          <cell r="B203" t="str">
            <v>Conjurer</v>
          </cell>
          <cell r="C203" t="str">
            <v>1</v>
          </cell>
          <cell r="D203" t="str">
            <v>3</v>
          </cell>
          <cell r="E203">
            <v>3</v>
          </cell>
          <cell r="F203" t="str">
            <v>13</v>
          </cell>
          <cell r="G203" t="str">
            <v>85</v>
          </cell>
          <cell r="H203" t="str">
            <v>0</v>
          </cell>
          <cell r="I203" t="str">
            <v>1</v>
          </cell>
          <cell r="J203">
            <v>123</v>
          </cell>
          <cell r="K203">
            <v>8</v>
          </cell>
          <cell r="L203">
            <v>16</v>
          </cell>
          <cell r="M203">
            <v>17</v>
          </cell>
          <cell r="N203">
            <v>9</v>
          </cell>
          <cell r="O203" t="str">
            <v>7dae</v>
          </cell>
          <cell r="P203" t="str">
            <v>Sleep Book</v>
          </cell>
          <cell r="Q203" t="str">
            <v>Cure Book</v>
          </cell>
          <cell r="R203"/>
          <cell r="S203"/>
          <cell r="T203"/>
          <cell r="U203"/>
          <cell r="V203"/>
          <cell r="W203"/>
          <cell r="X203" t="str">
            <v>Human</v>
          </cell>
        </row>
        <row r="204">
          <cell r="A204" t="str">
            <v>Magician</v>
          </cell>
          <cell r="B204" t="str">
            <v>Magician</v>
          </cell>
          <cell r="C204" t="str">
            <v>3</v>
          </cell>
          <cell r="D204" t="str">
            <v>6</v>
          </cell>
          <cell r="E204">
            <v>6</v>
          </cell>
          <cell r="F204" t="str">
            <v>36</v>
          </cell>
          <cell r="G204" t="str">
            <v>85</v>
          </cell>
          <cell r="H204" t="str">
            <v>0</v>
          </cell>
          <cell r="I204" t="str">
            <v>3</v>
          </cell>
          <cell r="J204">
            <v>324</v>
          </cell>
          <cell r="K204">
            <v>26</v>
          </cell>
          <cell r="L204">
            <v>38</v>
          </cell>
          <cell r="M204">
            <v>39</v>
          </cell>
          <cell r="N204">
            <v>27</v>
          </cell>
          <cell r="O204" t="str">
            <v>7db0</v>
          </cell>
          <cell r="P204" t="str">
            <v>Fire Book</v>
          </cell>
          <cell r="Q204" t="str">
            <v>Ice Book</v>
          </cell>
          <cell r="R204" t="str">
            <v>Sleep Book</v>
          </cell>
          <cell r="S204" t="str">
            <v>Cure Book</v>
          </cell>
          <cell r="T204"/>
          <cell r="U204"/>
          <cell r="V204"/>
          <cell r="W204"/>
          <cell r="X204" t="str">
            <v>Human</v>
          </cell>
        </row>
        <row r="205">
          <cell r="A205" t="str">
            <v>Sorcerer</v>
          </cell>
          <cell r="B205" t="str">
            <v>Sorcerer</v>
          </cell>
          <cell r="C205" t="str">
            <v>5</v>
          </cell>
          <cell r="D205" t="str">
            <v>9</v>
          </cell>
          <cell r="E205">
            <v>9</v>
          </cell>
          <cell r="F205" t="str">
            <v>59</v>
          </cell>
          <cell r="G205" t="str">
            <v>85</v>
          </cell>
          <cell r="H205" t="str">
            <v>0</v>
          </cell>
          <cell r="I205" t="str">
            <v>5</v>
          </cell>
          <cell r="J205">
            <v>614</v>
          </cell>
          <cell r="K205">
            <v>52</v>
          </cell>
          <cell r="L205">
            <v>68</v>
          </cell>
          <cell r="M205">
            <v>64</v>
          </cell>
          <cell r="N205">
            <v>55</v>
          </cell>
          <cell r="O205" t="str">
            <v>7db4</v>
          </cell>
          <cell r="P205" t="str">
            <v>Thunder Book</v>
          </cell>
          <cell r="Q205" t="str">
            <v>Stone Book</v>
          </cell>
          <cell r="R205" t="str">
            <v>Mage Staff</v>
          </cell>
          <cell r="S205" t="str">
            <v>Death Book</v>
          </cell>
          <cell r="T205" t="str">
            <v>Ice Book</v>
          </cell>
          <cell r="U205" t="str">
            <v>Cure Book</v>
          </cell>
          <cell r="V205"/>
          <cell r="W205"/>
          <cell r="X205" t="str">
            <v>Human</v>
          </cell>
        </row>
        <row r="206">
          <cell r="A206" t="str">
            <v>Wizard</v>
          </cell>
          <cell r="B206" t="str">
            <v>Wizard</v>
          </cell>
          <cell r="C206" t="str">
            <v>6</v>
          </cell>
          <cell r="D206" t="str">
            <v>A</v>
          </cell>
          <cell r="E206">
            <v>10</v>
          </cell>
          <cell r="F206" t="str">
            <v>6A</v>
          </cell>
          <cell r="G206" t="str">
            <v>85</v>
          </cell>
          <cell r="H206" t="str">
            <v>0</v>
          </cell>
          <cell r="I206" t="str">
            <v>6</v>
          </cell>
          <cell r="J206">
            <v>731</v>
          </cell>
          <cell r="K206">
            <v>63</v>
          </cell>
          <cell r="L206">
            <v>81</v>
          </cell>
          <cell r="M206">
            <v>75</v>
          </cell>
          <cell r="N206">
            <v>66</v>
          </cell>
          <cell r="O206" t="str">
            <v>7dba</v>
          </cell>
          <cell r="P206" t="str">
            <v>Thunder Book</v>
          </cell>
          <cell r="Q206" t="str">
            <v>Fog Book</v>
          </cell>
          <cell r="R206" t="str">
            <v>Stone Book</v>
          </cell>
          <cell r="S206" t="str">
            <v>Mage Staff</v>
          </cell>
          <cell r="T206" t="str">
            <v>Wizard Staff</v>
          </cell>
          <cell r="U206" t="str">
            <v>Flare Book</v>
          </cell>
          <cell r="V206" t="str">
            <v>Heal Staff</v>
          </cell>
          <cell r="W206"/>
          <cell r="X206" t="str">
            <v>Human</v>
          </cell>
        </row>
        <row r="207">
          <cell r="A207" t="str">
            <v>ROBO-28</v>
          </cell>
          <cell r="B207" t="str">
            <v>ROBO-28</v>
          </cell>
          <cell r="C207" t="str">
            <v>0</v>
          </cell>
          <cell r="D207" t="str">
            <v>3</v>
          </cell>
          <cell r="E207">
            <v>3</v>
          </cell>
          <cell r="F207" t="str">
            <v>03</v>
          </cell>
          <cell r="G207" t="str">
            <v>86</v>
          </cell>
          <cell r="H207" t="str">
            <v>3</v>
          </cell>
          <cell r="I207" t="str">
            <v>1</v>
          </cell>
          <cell r="J207">
            <v>137</v>
          </cell>
          <cell r="K207">
            <v>15</v>
          </cell>
          <cell r="L207">
            <v>15</v>
          </cell>
          <cell r="M207">
            <v>0</v>
          </cell>
          <cell r="N207">
            <v>14</v>
          </cell>
          <cell r="O207" t="str">
            <v>7dc1</v>
          </cell>
          <cell r="P207" t="str">
            <v>Rocket</v>
          </cell>
          <cell r="Q207" t="str">
            <v>O-Pa/Po</v>
          </cell>
          <cell r="R207"/>
          <cell r="S207"/>
          <cell r="T207"/>
          <cell r="U207"/>
          <cell r="V207"/>
          <cell r="W207"/>
          <cell r="X207" t="str">
            <v>Robot</v>
          </cell>
        </row>
        <row r="208">
          <cell r="A208" t="str">
            <v>ROBO-Z</v>
          </cell>
          <cell r="B208" t="str">
            <v>ROBO-Z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86</v>
          </cell>
          <cell r="H208" t="str">
            <v>3</v>
          </cell>
          <cell r="I208" t="str">
            <v>3</v>
          </cell>
          <cell r="J208">
            <v>263</v>
          </cell>
          <cell r="K208">
            <v>28</v>
          </cell>
          <cell r="L208">
            <v>28</v>
          </cell>
          <cell r="M208">
            <v>0</v>
          </cell>
          <cell r="N208">
            <v>26</v>
          </cell>
          <cell r="O208" t="str">
            <v>7dc3</v>
          </cell>
          <cell r="P208" t="str">
            <v>Rocket</v>
          </cell>
          <cell r="Q208" t="str">
            <v>Flame</v>
          </cell>
          <cell r="R208" t="str">
            <v>Beam</v>
          </cell>
          <cell r="S208" t="str">
            <v>O-Pa/Po</v>
          </cell>
          <cell r="T208"/>
          <cell r="U208"/>
          <cell r="V208"/>
          <cell r="W208"/>
          <cell r="X208" t="str">
            <v>Robot</v>
          </cell>
        </row>
        <row r="209">
          <cell r="A209" t="str">
            <v>Ridean</v>
          </cell>
          <cell r="B209" t="str">
            <v>Ridean</v>
          </cell>
          <cell r="C209" t="str">
            <v>4</v>
          </cell>
          <cell r="D209" t="str">
            <v>9</v>
          </cell>
          <cell r="E209">
            <v>9</v>
          </cell>
          <cell r="F209" t="str">
            <v>49</v>
          </cell>
          <cell r="G209" t="str">
            <v>86</v>
          </cell>
          <cell r="H209" t="str">
            <v>3</v>
          </cell>
          <cell r="I209" t="str">
            <v>5</v>
          </cell>
          <cell r="J209">
            <v>637</v>
          </cell>
          <cell r="K209">
            <v>66</v>
          </cell>
          <cell r="L209">
            <v>66</v>
          </cell>
          <cell r="M209">
            <v>0</v>
          </cell>
          <cell r="N209">
            <v>64</v>
          </cell>
          <cell r="O209" t="str">
            <v>7dc7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Blitz</v>
          </cell>
          <cell r="U209" t="str">
            <v>O-Pa/Po</v>
          </cell>
          <cell r="V209"/>
          <cell r="W209"/>
          <cell r="X209" t="str">
            <v>Robot</v>
          </cell>
        </row>
        <row r="210">
          <cell r="A210" t="str">
            <v>G-7</v>
          </cell>
          <cell r="B210" t="str">
            <v>G-7</v>
          </cell>
          <cell r="C210" t="str">
            <v>4</v>
          </cell>
          <cell r="D210" t="str">
            <v>A</v>
          </cell>
          <cell r="E210">
            <v>10</v>
          </cell>
          <cell r="F210" t="str">
            <v>4A</v>
          </cell>
          <cell r="G210" t="str">
            <v>86</v>
          </cell>
          <cell r="H210" t="str">
            <v>3</v>
          </cell>
          <cell r="I210" t="str">
            <v>6</v>
          </cell>
          <cell r="J210">
            <v>756</v>
          </cell>
          <cell r="K210">
            <v>78</v>
          </cell>
          <cell r="L210">
            <v>78</v>
          </cell>
          <cell r="M210">
            <v>0</v>
          </cell>
          <cell r="N210">
            <v>76</v>
          </cell>
          <cell r="O210" t="str">
            <v>7dcd</v>
          </cell>
          <cell r="P210" t="str">
            <v>Rocket</v>
          </cell>
          <cell r="Q210" t="str">
            <v>Laser Gun</v>
          </cell>
          <cell r="R210" t="str">
            <v>Vulcan</v>
          </cell>
          <cell r="S210" t="str">
            <v>Laser Sword</v>
          </cell>
          <cell r="T210" t="str">
            <v>Missile</v>
          </cell>
          <cell r="U210" t="str">
            <v>Selfix</v>
          </cell>
          <cell r="V210" t="str">
            <v>O-Pa/Po</v>
          </cell>
          <cell r="W210"/>
          <cell r="X210" t="str">
            <v>Robot</v>
          </cell>
        </row>
        <row r="211">
          <cell r="A211" t="str">
            <v>Dunatis</v>
          </cell>
          <cell r="B211" t="str">
            <v>Dunatis</v>
          </cell>
          <cell r="C211" t="str">
            <v>0</v>
          </cell>
          <cell r="D211" t="str">
            <v>B</v>
          </cell>
          <cell r="E211">
            <v>11</v>
          </cell>
          <cell r="F211" t="str">
            <v>0B</v>
          </cell>
          <cell r="G211" t="str">
            <v>86</v>
          </cell>
          <cell r="H211" t="str">
            <v>3</v>
          </cell>
          <cell r="I211" t="str">
            <v>3</v>
          </cell>
          <cell r="J211">
            <v>300</v>
          </cell>
          <cell r="K211">
            <v>30</v>
          </cell>
          <cell r="L211">
            <v>30</v>
          </cell>
          <cell r="M211">
            <v>0</v>
          </cell>
          <cell r="N211">
            <v>29</v>
          </cell>
          <cell r="O211" t="str">
            <v>7dd4</v>
          </cell>
          <cell r="P211" t="str">
            <v>Rocket</v>
          </cell>
          <cell r="Q211" t="str">
            <v>ChainSaw</v>
          </cell>
          <cell r="R211" t="str">
            <v>Blitz Whip</v>
          </cell>
          <cell r="S211" t="str">
            <v>O-Pa/Po</v>
          </cell>
          <cell r="T211"/>
          <cell r="U211"/>
          <cell r="V211"/>
          <cell r="W211"/>
          <cell r="X211" t="str">
            <v>Robot</v>
          </cell>
        </row>
        <row r="212">
          <cell r="A212" t="str">
            <v>MechBug</v>
          </cell>
          <cell r="B212" t="str">
            <v>MechBug</v>
          </cell>
          <cell r="C212" t="str">
            <v>1</v>
          </cell>
          <cell r="D212" t="str">
            <v>5</v>
          </cell>
          <cell r="E212">
            <v>5</v>
          </cell>
          <cell r="F212" t="str">
            <v>15</v>
          </cell>
          <cell r="G212" t="str">
            <v>87</v>
          </cell>
          <cell r="H212" t="str">
            <v>3</v>
          </cell>
          <cell r="I212" t="str">
            <v>2</v>
          </cell>
          <cell r="J212">
            <v>248</v>
          </cell>
          <cell r="K212">
            <v>29</v>
          </cell>
          <cell r="L212">
            <v>25</v>
          </cell>
          <cell r="M212">
            <v>0</v>
          </cell>
          <cell r="N212">
            <v>29</v>
          </cell>
          <cell r="O212" t="str">
            <v>7dd8</v>
          </cell>
          <cell r="P212" t="str">
            <v>SMG</v>
          </cell>
          <cell r="Q212" t="str">
            <v>Blitz Whip</v>
          </cell>
          <cell r="R212" t="str">
            <v>O-Pa/Po</v>
          </cell>
          <cell r="S212"/>
          <cell r="T212"/>
          <cell r="U212"/>
          <cell r="V212"/>
          <cell r="W212"/>
          <cell r="X212" t="str">
            <v>Robot</v>
          </cell>
        </row>
        <row r="213">
          <cell r="A213" t="str">
            <v>Hawk</v>
          </cell>
          <cell r="B213" t="str">
            <v>Hawk</v>
          </cell>
          <cell r="C213" t="str">
            <v>1</v>
          </cell>
          <cell r="D213" t="str">
            <v>6</v>
          </cell>
          <cell r="E213">
            <v>6</v>
          </cell>
          <cell r="F213" t="str">
            <v>16</v>
          </cell>
          <cell r="G213" t="str">
            <v>87</v>
          </cell>
          <cell r="H213" t="str">
            <v>3</v>
          </cell>
          <cell r="I213" t="str">
            <v>3</v>
          </cell>
          <cell r="J213">
            <v>324</v>
          </cell>
          <cell r="K213">
            <v>38</v>
          </cell>
          <cell r="L213">
            <v>32</v>
          </cell>
          <cell r="M213">
            <v>0</v>
          </cell>
          <cell r="N213">
            <v>38</v>
          </cell>
          <cell r="O213" t="str">
            <v>7ddb</v>
          </cell>
          <cell r="P213" t="str">
            <v>Grenade</v>
          </cell>
          <cell r="Q213" t="str">
            <v>Fire Gun</v>
          </cell>
          <cell r="R213" t="str">
            <v>Warning</v>
          </cell>
          <cell r="S213" t="str">
            <v>O-Pa/Po</v>
          </cell>
          <cell r="T213"/>
          <cell r="U213"/>
          <cell r="V213"/>
          <cell r="W213"/>
          <cell r="X213" t="str">
            <v>Robot</v>
          </cell>
        </row>
        <row r="214">
          <cell r="A214" t="str">
            <v>Falcon</v>
          </cell>
          <cell r="B214" t="str">
            <v>Falcon</v>
          </cell>
          <cell r="C214" t="str">
            <v>3</v>
          </cell>
          <cell r="D214" t="str">
            <v>9</v>
          </cell>
          <cell r="E214">
            <v>9</v>
          </cell>
          <cell r="F214" t="str">
            <v>39</v>
          </cell>
          <cell r="G214" t="str">
            <v>87</v>
          </cell>
          <cell r="H214" t="str">
            <v>3</v>
          </cell>
          <cell r="I214" t="str">
            <v>5</v>
          </cell>
          <cell r="J214">
            <v>614</v>
          </cell>
          <cell r="K214">
            <v>68</v>
          </cell>
          <cell r="L214">
            <v>61</v>
          </cell>
          <cell r="M214">
            <v>0</v>
          </cell>
          <cell r="N214">
            <v>68</v>
          </cell>
          <cell r="O214" t="str">
            <v>7ddf</v>
          </cell>
          <cell r="P214" t="str">
            <v>Defense</v>
          </cell>
          <cell r="Q214" t="str">
            <v>D-Beam</v>
          </cell>
          <cell r="R214" t="str">
            <v>Vulcan</v>
          </cell>
          <cell r="S214" t="str">
            <v>Beam</v>
          </cell>
          <cell r="T214" t="str">
            <v>Warning</v>
          </cell>
          <cell r="U214" t="str">
            <v>O-Pa/Po</v>
          </cell>
          <cell r="V214"/>
          <cell r="W214"/>
          <cell r="X214" t="str">
            <v>Robot</v>
          </cell>
        </row>
        <row r="215">
          <cell r="A215" t="str">
            <v>Intrcept</v>
          </cell>
          <cell r="B215" t="str">
            <v>Intrcept</v>
          </cell>
          <cell r="C215" t="str">
            <v>3</v>
          </cell>
          <cell r="D215" t="str">
            <v>A</v>
          </cell>
          <cell r="E215">
            <v>10</v>
          </cell>
          <cell r="F215" t="str">
            <v>3A</v>
          </cell>
          <cell r="G215" t="str">
            <v>87</v>
          </cell>
          <cell r="H215" t="str">
            <v>3</v>
          </cell>
          <cell r="I215" t="str">
            <v>6</v>
          </cell>
          <cell r="J215">
            <v>731</v>
          </cell>
          <cell r="K215">
            <v>81</v>
          </cell>
          <cell r="L215">
            <v>73</v>
          </cell>
          <cell r="M215">
            <v>0</v>
          </cell>
          <cell r="N215">
            <v>81</v>
          </cell>
          <cell r="O215" t="str">
            <v>7de5</v>
          </cell>
          <cell r="P215" t="str">
            <v>D-Beam</v>
          </cell>
          <cell r="Q215" t="str">
            <v>Vulcan</v>
          </cell>
          <cell r="R215" t="str">
            <v>Beam</v>
          </cell>
          <cell r="S215" t="str">
            <v>Missile</v>
          </cell>
          <cell r="T215" t="str">
            <v>Warning</v>
          </cell>
          <cell r="U215" t="str">
            <v>Selfix</v>
          </cell>
          <cell r="V215" t="str">
            <v>O-Pa/Po</v>
          </cell>
          <cell r="W215"/>
          <cell r="X215" t="str">
            <v>Robot</v>
          </cell>
        </row>
        <row r="216">
          <cell r="A216" t="str">
            <v>Plasma</v>
          </cell>
          <cell r="B216" t="str">
            <v>Plasma</v>
          </cell>
          <cell r="C216" t="str">
            <v>0</v>
          </cell>
          <cell r="D216" t="str">
            <v>3</v>
          </cell>
          <cell r="E216">
            <v>3</v>
          </cell>
          <cell r="F216" t="str">
            <v>03</v>
          </cell>
          <cell r="G216" t="str">
            <v>06</v>
          </cell>
          <cell r="H216" t="str">
            <v>2</v>
          </cell>
          <cell r="I216" t="str">
            <v>1</v>
          </cell>
          <cell r="J216">
            <v>104</v>
          </cell>
          <cell r="K216">
            <v>15</v>
          </cell>
          <cell r="L216">
            <v>13</v>
          </cell>
          <cell r="M216">
            <v>13</v>
          </cell>
          <cell r="N216">
            <v>13</v>
          </cell>
          <cell r="O216" t="str">
            <v>7dec</v>
          </cell>
          <cell r="P216" t="str">
            <v>Dissolve</v>
          </cell>
          <cell r="Q216" t="str">
            <v>X-Ice</v>
          </cell>
          <cell r="R216"/>
          <cell r="S216"/>
          <cell r="T216"/>
          <cell r="U216"/>
          <cell r="V216"/>
          <cell r="W216"/>
          <cell r="X216" t="str">
            <v>Aberration</v>
          </cell>
        </row>
        <row r="217">
          <cell r="A217" t="str">
            <v>Phagocyt</v>
          </cell>
          <cell r="B217" t="str">
            <v>Phagocyt</v>
          </cell>
          <cell r="C217" t="str">
            <v>1</v>
          </cell>
          <cell r="D217" t="str">
            <v>4</v>
          </cell>
          <cell r="E217">
            <v>4</v>
          </cell>
          <cell r="F217" t="str">
            <v>14</v>
          </cell>
          <cell r="G217" t="str">
            <v>06</v>
          </cell>
          <cell r="H217" t="str">
            <v>2</v>
          </cell>
          <cell r="I217" t="str">
            <v>2</v>
          </cell>
          <cell r="J217">
            <v>156</v>
          </cell>
          <cell r="K217">
            <v>21</v>
          </cell>
          <cell r="L217">
            <v>18</v>
          </cell>
          <cell r="M217">
            <v>18</v>
          </cell>
          <cell r="N217">
            <v>18</v>
          </cell>
          <cell r="O217" t="str">
            <v>7dee</v>
          </cell>
          <cell r="P217" t="str">
            <v>Wind Up</v>
          </cell>
          <cell r="Q217" t="str">
            <v>Dissolve</v>
          </cell>
          <cell r="R217" t="str">
            <v>X-Ice</v>
          </cell>
          <cell r="S217"/>
          <cell r="T217"/>
          <cell r="U217"/>
          <cell r="V217"/>
          <cell r="W217"/>
          <cell r="X217" t="str">
            <v>Aberration</v>
          </cell>
        </row>
        <row r="218">
          <cell r="A218" t="str">
            <v>Corpuscl</v>
          </cell>
          <cell r="B218" t="str">
            <v>Corpuscl</v>
          </cell>
          <cell r="C218" t="str">
            <v>2</v>
          </cell>
          <cell r="D218" t="str">
            <v>6</v>
          </cell>
          <cell r="E218">
            <v>6</v>
          </cell>
          <cell r="F218" t="str">
            <v>26</v>
          </cell>
          <cell r="G218" t="str">
            <v>06</v>
          </cell>
          <cell r="H218" t="str">
            <v>2</v>
          </cell>
          <cell r="I218" t="str">
            <v>5</v>
          </cell>
          <cell r="J218">
            <v>290</v>
          </cell>
          <cell r="K218">
            <v>36</v>
          </cell>
          <cell r="L218">
            <v>32</v>
          </cell>
          <cell r="M218">
            <v>32</v>
          </cell>
          <cell r="N218">
            <v>32</v>
          </cell>
          <cell r="O218" t="str">
            <v>7df1</v>
          </cell>
          <cell r="P218" t="str">
            <v>Wind Up</v>
          </cell>
          <cell r="Q218" t="str">
            <v>Dissolve</v>
          </cell>
          <cell r="R218" t="str">
            <v>Multiply</v>
          </cell>
          <cell r="S218" t="str">
            <v>Recover</v>
          </cell>
          <cell r="T218" t="str">
            <v>O-Weapon</v>
          </cell>
          <cell r="U218" t="str">
            <v>X-Ice</v>
          </cell>
          <cell r="V218"/>
          <cell r="W218"/>
          <cell r="X218" t="str">
            <v>Aberration</v>
          </cell>
        </row>
        <row r="219">
          <cell r="A219" t="str">
            <v>Cancer</v>
          </cell>
          <cell r="B219" t="str">
            <v>Cancer</v>
          </cell>
          <cell r="C219" t="str">
            <v>2</v>
          </cell>
          <cell r="D219" t="str">
            <v>A</v>
          </cell>
          <cell r="E219">
            <v>10</v>
          </cell>
          <cell r="F219" t="str">
            <v>2A</v>
          </cell>
          <cell r="G219" t="str">
            <v>06</v>
          </cell>
          <cell r="H219" t="str">
            <v>2</v>
          </cell>
          <cell r="I219" t="str">
            <v>6</v>
          </cell>
          <cell r="J219">
            <v>681</v>
          </cell>
          <cell r="K219">
            <v>78</v>
          </cell>
          <cell r="L219">
            <v>73</v>
          </cell>
          <cell r="M219">
            <v>73</v>
          </cell>
          <cell r="N219">
            <v>73</v>
          </cell>
          <cell r="O219" t="str">
            <v>7df7</v>
          </cell>
          <cell r="P219" t="str">
            <v>Wind Up</v>
          </cell>
          <cell r="Q219" t="str">
            <v>Dissolve</v>
          </cell>
          <cell r="R219" t="str">
            <v>Surprise</v>
          </cell>
          <cell r="S219" t="str">
            <v>Warning</v>
          </cell>
          <cell r="T219" t="str">
            <v>Recover</v>
          </cell>
          <cell r="U219" t="str">
            <v>O-Weapon</v>
          </cell>
          <cell r="V219" t="str">
            <v>X-Ice</v>
          </cell>
          <cell r="W219"/>
          <cell r="X219" t="str">
            <v>Aberration</v>
          </cell>
        </row>
        <row r="220">
          <cell r="A220" t="str">
            <v>Grippe</v>
          </cell>
          <cell r="B220" t="str">
            <v>Grippe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88</v>
          </cell>
          <cell r="H220" t="str">
            <v>2</v>
          </cell>
          <cell r="I220" t="str">
            <v>1</v>
          </cell>
          <cell r="J220">
            <v>71</v>
          </cell>
          <cell r="K220">
            <v>12</v>
          </cell>
          <cell r="L220">
            <v>15</v>
          </cell>
          <cell r="M220">
            <v>14</v>
          </cell>
          <cell r="N220">
            <v>16</v>
          </cell>
          <cell r="O220" t="str">
            <v>7dfe</v>
          </cell>
          <cell r="P220" t="str">
            <v>PoisonBurst</v>
          </cell>
          <cell r="Q220" t="str">
            <v>X-Fire</v>
          </cell>
          <cell r="R220"/>
          <cell r="S220"/>
          <cell r="T220"/>
          <cell r="U220"/>
          <cell r="V220"/>
          <cell r="W220"/>
          <cell r="X220" t="str">
            <v>Aberration</v>
          </cell>
        </row>
        <row r="221">
          <cell r="A221" t="str">
            <v>Virus</v>
          </cell>
          <cell r="B221" t="str">
            <v>Virus</v>
          </cell>
          <cell r="C221" t="str">
            <v>1</v>
          </cell>
          <cell r="D221" t="str">
            <v>4</v>
          </cell>
          <cell r="E221">
            <v>4</v>
          </cell>
          <cell r="F221" t="str">
            <v>14</v>
          </cell>
          <cell r="G221" t="str">
            <v>88</v>
          </cell>
          <cell r="H221" t="str">
            <v>2</v>
          </cell>
          <cell r="I221" t="str">
            <v>2</v>
          </cell>
          <cell r="J221">
            <v>117</v>
          </cell>
          <cell r="K221">
            <v>17</v>
          </cell>
          <cell r="L221">
            <v>21</v>
          </cell>
          <cell r="M221">
            <v>20</v>
          </cell>
          <cell r="N221">
            <v>22</v>
          </cell>
          <cell r="O221" t="str">
            <v>7e00</v>
          </cell>
          <cell r="P221" t="str">
            <v>PoisonBurst</v>
          </cell>
          <cell r="Q221" t="str">
            <v>Heat</v>
          </cell>
          <cell r="R221" t="str">
            <v>X-Fire</v>
          </cell>
          <cell r="S221"/>
          <cell r="T221"/>
          <cell r="U221"/>
          <cell r="V221"/>
          <cell r="W221"/>
          <cell r="X221" t="str">
            <v>Aberration</v>
          </cell>
        </row>
        <row r="222">
          <cell r="A222" t="str">
            <v>Pathogen</v>
          </cell>
          <cell r="B222" t="str">
            <v>Pathogen</v>
          </cell>
          <cell r="C222" t="str">
            <v>3</v>
          </cell>
          <cell r="D222" t="str">
            <v>7</v>
          </cell>
          <cell r="E222">
            <v>7</v>
          </cell>
          <cell r="F222" t="str">
            <v>37</v>
          </cell>
          <cell r="G222" t="str">
            <v>88</v>
          </cell>
          <cell r="H222" t="str">
            <v>2</v>
          </cell>
          <cell r="I222" t="str">
            <v>4</v>
          </cell>
          <cell r="J222">
            <v>316</v>
          </cell>
          <cell r="K222">
            <v>39</v>
          </cell>
          <cell r="L222">
            <v>45</v>
          </cell>
          <cell r="M222">
            <v>43</v>
          </cell>
          <cell r="N222">
            <v>47</v>
          </cell>
          <cell r="O222" t="str">
            <v>7e03</v>
          </cell>
          <cell r="P222" t="str">
            <v>Multiply</v>
          </cell>
          <cell r="Q222" t="str">
            <v>PoisonBurst</v>
          </cell>
          <cell r="R222" t="str">
            <v>Heat</v>
          </cell>
          <cell r="S222" t="str">
            <v>ParaSkin</v>
          </cell>
          <cell r="T222" t="str">
            <v>X-Fire</v>
          </cell>
          <cell r="U222"/>
          <cell r="V222"/>
          <cell r="W222"/>
          <cell r="X222" t="str">
            <v>Aberration</v>
          </cell>
        </row>
        <row r="223">
          <cell r="A223" t="str">
            <v>Plague</v>
          </cell>
          <cell r="B223" t="str">
            <v>Plague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88</v>
          </cell>
          <cell r="H223" t="str">
            <v>2</v>
          </cell>
          <cell r="I223" t="str">
            <v>6</v>
          </cell>
          <cell r="J223">
            <v>606</v>
          </cell>
          <cell r="K223">
            <v>71</v>
          </cell>
          <cell r="L223">
            <v>78</v>
          </cell>
          <cell r="M223">
            <v>76</v>
          </cell>
          <cell r="N223">
            <v>81</v>
          </cell>
          <cell r="O223" t="str">
            <v>7e08</v>
          </cell>
          <cell r="P223" t="str">
            <v>PoisonBurst</v>
          </cell>
          <cell r="Q223" t="str">
            <v>Heat</v>
          </cell>
          <cell r="R223" t="str">
            <v>ComVirus</v>
          </cell>
          <cell r="S223" t="str">
            <v>Surprise</v>
          </cell>
          <cell r="T223" t="str">
            <v>Multiply</v>
          </cell>
          <cell r="U223" t="str">
            <v>DNA</v>
          </cell>
          <cell r="V223" t="str">
            <v>X-Fire</v>
          </cell>
          <cell r="W223"/>
          <cell r="X223" t="str">
            <v>Aberration</v>
          </cell>
        </row>
        <row r="224">
          <cell r="A224" t="str">
            <v>Teacher</v>
          </cell>
          <cell r="B224" t="str">
            <v>Teacher</v>
          </cell>
          <cell r="C224" t="str">
            <v>4</v>
          </cell>
          <cell r="D224" t="str">
            <v>0</v>
          </cell>
          <cell r="E224">
            <v>0</v>
          </cell>
          <cell r="F224">
            <v>40</v>
          </cell>
          <cell r="G224" t="str">
            <v>00</v>
          </cell>
          <cell r="H224" t="str">
            <v>2</v>
          </cell>
          <cell r="I224" t="str">
            <v>7</v>
          </cell>
          <cell r="J224">
            <v>185</v>
          </cell>
          <cell r="K224">
            <v>18</v>
          </cell>
          <cell r="L224">
            <v>15</v>
          </cell>
          <cell r="M224">
            <v>19</v>
          </cell>
          <cell r="N224">
            <v>18</v>
          </cell>
          <cell r="O224" t="str">
            <v>7e0f</v>
          </cell>
          <cell r="P224" t="str">
            <v>Dissolve</v>
          </cell>
          <cell r="Q224" t="str">
            <v>Fire</v>
          </cell>
          <cell r="R224" t="str">
            <v>Cure</v>
          </cell>
          <cell r="S224"/>
          <cell r="T224"/>
          <cell r="U224"/>
          <cell r="V224"/>
          <cell r="W224"/>
          <cell r="X224" t="str">
            <v>Human</v>
          </cell>
        </row>
        <row r="225">
          <cell r="A225" t="str">
            <v>Cleric</v>
          </cell>
          <cell r="B225" t="str">
            <v>Cleric</v>
          </cell>
          <cell r="C225" t="str">
            <v>6</v>
          </cell>
          <cell r="D225" t="str">
            <v>0</v>
          </cell>
          <cell r="E225">
            <v>0</v>
          </cell>
          <cell r="F225" t="str">
            <v>60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80</v>
          </cell>
          <cell r="K225">
            <v>8</v>
          </cell>
          <cell r="L225">
            <v>13</v>
          </cell>
          <cell r="M225">
            <v>14</v>
          </cell>
          <cell r="N225">
            <v>11</v>
          </cell>
          <cell r="O225" t="str">
            <v>7e17</v>
          </cell>
          <cell r="P225" t="str">
            <v>Hammer</v>
          </cell>
          <cell r="Q225" t="str">
            <v>Bronze Shield</v>
          </cell>
          <cell r="R225" t="str">
            <v>Thunder Book</v>
          </cell>
          <cell r="S225" t="str">
            <v>Cure Book</v>
          </cell>
          <cell r="T225" t="str">
            <v>Bronze Armor</v>
          </cell>
          <cell r="U225" t="str">
            <v>Bronze Helm</v>
          </cell>
          <cell r="V225" t="str">
            <v>Bronze Glove</v>
          </cell>
          <cell r="W225"/>
          <cell r="X225" t="str">
            <v>Human</v>
          </cell>
        </row>
        <row r="226">
          <cell r="A226" t="str">
            <v>Unknown</v>
          </cell>
          <cell r="B226" t="str">
            <v>Unknown</v>
          </cell>
          <cell r="C226" t="str">
            <v>4</v>
          </cell>
          <cell r="D226" t="str">
            <v>0</v>
          </cell>
          <cell r="E226">
            <v>0</v>
          </cell>
          <cell r="F226">
            <v>40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321</v>
          </cell>
          <cell r="K226">
            <v>35</v>
          </cell>
          <cell r="L226">
            <v>29</v>
          </cell>
          <cell r="M226">
            <v>35</v>
          </cell>
          <cell r="N226">
            <v>11</v>
          </cell>
          <cell r="O226" t="str">
            <v>7e27</v>
          </cell>
          <cell r="P226" t="str">
            <v>Hammer</v>
          </cell>
          <cell r="Q226" t="str">
            <v>Bronze Shield</v>
          </cell>
          <cell r="R226" t="str">
            <v>Bronze Armor</v>
          </cell>
          <cell r="S226" t="str">
            <v>Bronze Helm</v>
          </cell>
          <cell r="T226" t="str">
            <v>Bronze Glove</v>
          </cell>
          <cell r="U226"/>
          <cell r="V226"/>
          <cell r="W226"/>
          <cell r="X226" t="str">
            <v>Human</v>
          </cell>
        </row>
        <row r="227">
          <cell r="A227" t="str">
            <v>Girl1</v>
          </cell>
          <cell r="B227" t="str">
            <v>Girl1</v>
          </cell>
          <cell r="C227" t="str">
            <v>0</v>
          </cell>
          <cell r="D227" t="str">
            <v>0</v>
          </cell>
          <cell r="E227">
            <v>0</v>
          </cell>
          <cell r="F227" t="str">
            <v>00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100</v>
          </cell>
          <cell r="K227">
            <v>16</v>
          </cell>
          <cell r="L227">
            <v>25</v>
          </cell>
          <cell r="M227">
            <v>21</v>
          </cell>
          <cell r="N227">
            <v>0</v>
          </cell>
          <cell r="O227" t="str">
            <v>7e2f</v>
          </cell>
          <cell r="P227" t="str">
            <v>Strike</v>
          </cell>
          <cell r="Q227" t="str">
            <v>JumpKick</v>
          </cell>
          <cell r="R227"/>
          <cell r="S227"/>
          <cell r="T227"/>
          <cell r="U227"/>
          <cell r="V227"/>
          <cell r="W227"/>
          <cell r="X227" t="str">
            <v>Human</v>
          </cell>
        </row>
        <row r="228">
          <cell r="A228" t="str">
            <v>Guardian</v>
          </cell>
          <cell r="B228" t="str">
            <v>Guardian</v>
          </cell>
          <cell r="C228" t="str">
            <v>4</v>
          </cell>
          <cell r="D228" t="str">
            <v>0</v>
          </cell>
          <cell r="E228">
            <v>0</v>
          </cell>
          <cell r="F228">
            <v>40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321</v>
          </cell>
          <cell r="K228">
            <v>35</v>
          </cell>
          <cell r="L228">
            <v>35</v>
          </cell>
          <cell r="M228">
            <v>29</v>
          </cell>
          <cell r="N228">
            <v>15</v>
          </cell>
          <cell r="O228" t="str">
            <v>7e37</v>
          </cell>
          <cell r="P228" t="str">
            <v>Gold Sword</v>
          </cell>
          <cell r="Q228" t="str">
            <v>SMG</v>
          </cell>
          <cell r="R228" t="str">
            <v>Blitz Whip</v>
          </cell>
          <cell r="S228" t="str">
            <v>Army Armor</v>
          </cell>
          <cell r="T228" t="str">
            <v>Cure Book</v>
          </cell>
          <cell r="U228"/>
          <cell r="V228"/>
          <cell r="W228"/>
          <cell r="X228" t="str">
            <v>Human</v>
          </cell>
        </row>
        <row r="229">
          <cell r="A229" t="str">
            <v>Girl2</v>
          </cell>
          <cell r="B229" t="str">
            <v>Girl2</v>
          </cell>
          <cell r="C229" t="str">
            <v>0</v>
          </cell>
          <cell r="D229" t="str">
            <v>0</v>
          </cell>
          <cell r="E229">
            <v>0</v>
          </cell>
          <cell r="F229" t="str">
            <v>00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247</v>
          </cell>
          <cell r="K229">
            <v>23</v>
          </cell>
          <cell r="L229">
            <v>33</v>
          </cell>
          <cell r="M229">
            <v>28</v>
          </cell>
          <cell r="N229">
            <v>21</v>
          </cell>
          <cell r="O229" t="str">
            <v>7e3f</v>
          </cell>
          <cell r="P229" t="str">
            <v>HeadButt</v>
          </cell>
          <cell r="Q229" t="str">
            <v>FlyingKick</v>
          </cell>
          <cell r="R229"/>
          <cell r="S229"/>
          <cell r="T229"/>
          <cell r="U229"/>
          <cell r="V229"/>
          <cell r="W229"/>
          <cell r="X229" t="str">
            <v>Human</v>
          </cell>
        </row>
        <row r="230">
          <cell r="A230" t="str">
            <v>Detectiv</v>
          </cell>
          <cell r="B230" t="str">
            <v>Detectiv</v>
          </cell>
          <cell r="C230" t="str">
            <v>3</v>
          </cell>
          <cell r="D230" t="str">
            <v>0</v>
          </cell>
          <cell r="E230">
            <v>0</v>
          </cell>
          <cell r="F230" t="str">
            <v>30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473</v>
          </cell>
          <cell r="K230">
            <v>46</v>
          </cell>
          <cell r="L230">
            <v>62</v>
          </cell>
          <cell r="M230">
            <v>39</v>
          </cell>
          <cell r="N230">
            <v>49</v>
          </cell>
          <cell r="O230" t="str">
            <v>7e47</v>
          </cell>
          <cell r="P230" t="str">
            <v>Sypha</v>
          </cell>
          <cell r="Q230" t="str">
            <v>Coin</v>
          </cell>
          <cell r="R230" t="str">
            <v>Kimono Armor</v>
          </cell>
          <cell r="S230" t="str">
            <v>Temptat</v>
          </cell>
          <cell r="T230"/>
          <cell r="U230"/>
          <cell r="V230"/>
          <cell r="W230"/>
          <cell r="X230" t="str">
            <v>Human</v>
          </cell>
        </row>
        <row r="231">
          <cell r="A231" t="str">
            <v>Samurai</v>
          </cell>
          <cell r="B231" t="str">
            <v>Samurai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551</v>
          </cell>
          <cell r="K231">
            <v>63</v>
          </cell>
          <cell r="L231">
            <v>60</v>
          </cell>
          <cell r="M231">
            <v>45</v>
          </cell>
          <cell r="N231">
            <v>56</v>
          </cell>
          <cell r="O231" t="str">
            <v>7e4f</v>
          </cell>
          <cell r="P231" t="str">
            <v>Muramas Sword</v>
          </cell>
          <cell r="Q231" t="str">
            <v>Katana</v>
          </cell>
          <cell r="R231" t="str">
            <v>Ninja Glove</v>
          </cell>
          <cell r="S231" t="str">
            <v>Kimono Armor</v>
          </cell>
          <cell r="T231" t="str">
            <v>Samurai Bow</v>
          </cell>
          <cell r="U231" t="str">
            <v>Cure Book</v>
          </cell>
          <cell r="V231"/>
          <cell r="W231"/>
          <cell r="X231" t="str">
            <v>Human</v>
          </cell>
        </row>
        <row r="232">
          <cell r="A232" t="str">
            <v>Guardian</v>
          </cell>
          <cell r="B232" t="str">
            <v>Guardian</v>
          </cell>
          <cell r="C232" t="str">
            <v>4</v>
          </cell>
          <cell r="D232" t="str">
            <v>0</v>
          </cell>
          <cell r="E232">
            <v>0</v>
          </cell>
          <cell r="F232" t="str">
            <v>40</v>
          </cell>
          <cell r="G232" t="str">
            <v>00</v>
          </cell>
          <cell r="H232" t="str">
            <v>0</v>
          </cell>
          <cell r="I232" t="str">
            <v>7</v>
          </cell>
          <cell r="J232">
            <v>700</v>
          </cell>
          <cell r="K232">
            <v>70</v>
          </cell>
          <cell r="L232">
            <v>80</v>
          </cell>
          <cell r="M232">
            <v>60</v>
          </cell>
          <cell r="N232">
            <v>70</v>
          </cell>
          <cell r="O232" t="str">
            <v>7e57</v>
          </cell>
          <cell r="P232" t="str">
            <v>Defend Sword</v>
          </cell>
          <cell r="Q232" t="str">
            <v>Vulcan Cannon</v>
          </cell>
          <cell r="R232" t="str">
            <v>Magnum</v>
          </cell>
          <cell r="S232" t="str">
            <v>Battle Armor</v>
          </cell>
          <cell r="T232" t="str">
            <v>Heal Staff</v>
          </cell>
          <cell r="U232" t="str">
            <v>Cure Book</v>
          </cell>
          <cell r="V232"/>
          <cell r="W232"/>
          <cell r="X232" t="str">
            <v>Human</v>
          </cell>
        </row>
        <row r="233">
          <cell r="A233" t="str">
            <v>Ancient</v>
          </cell>
          <cell r="B233" t="str">
            <v>Ancient</v>
          </cell>
          <cell r="C233" t="str">
            <v>5</v>
          </cell>
          <cell r="D233" t="str">
            <v>0</v>
          </cell>
          <cell r="E233">
            <v>0</v>
          </cell>
          <cell r="F233" t="str">
            <v>50</v>
          </cell>
          <cell r="G233" t="str">
            <v>00</v>
          </cell>
          <cell r="H233" t="str">
            <v>2</v>
          </cell>
          <cell r="I233" t="str">
            <v>7</v>
          </cell>
          <cell r="J233">
            <v>999</v>
          </cell>
          <cell r="K233">
            <v>99</v>
          </cell>
          <cell r="L233">
            <v>99</v>
          </cell>
          <cell r="M233">
            <v>99</v>
          </cell>
          <cell r="N233">
            <v>99</v>
          </cell>
          <cell r="O233" t="str">
            <v>7e5f</v>
          </cell>
          <cell r="P233" t="str">
            <v>Masmune Magi</v>
          </cell>
          <cell r="Q233" t="str">
            <v>Aegis Magi</v>
          </cell>
          <cell r="R233" t="str">
            <v>Heart Magi</v>
          </cell>
          <cell r="S233" t="str">
            <v>TrueEye</v>
          </cell>
          <cell r="T233" t="str">
            <v>Pegasus Magi</v>
          </cell>
          <cell r="U233" t="str">
            <v>Flare</v>
          </cell>
          <cell r="V233" t="str">
            <v>O-All</v>
          </cell>
          <cell r="W233" t="str">
            <v>Recover</v>
          </cell>
          <cell r="X233" t="str">
            <v>God</v>
          </cell>
        </row>
        <row r="234">
          <cell r="A234" t="str">
            <v>Haniwa</v>
          </cell>
          <cell r="B234" t="str">
            <v>Haniwa</v>
          </cell>
          <cell r="C234" t="str">
            <v>3</v>
          </cell>
          <cell r="D234" t="str">
            <v>c</v>
          </cell>
          <cell r="E234">
            <v>12</v>
          </cell>
          <cell r="F234" t="str">
            <v>3c</v>
          </cell>
          <cell r="G234" t="str">
            <v>8b</v>
          </cell>
          <cell r="H234" t="str">
            <v>2</v>
          </cell>
          <cell r="I234" t="str">
            <v>5</v>
          </cell>
          <cell r="J234">
            <v>10000</v>
          </cell>
          <cell r="K234">
            <v>90</v>
          </cell>
          <cell r="L234">
            <v>90</v>
          </cell>
          <cell r="M234">
            <v>90</v>
          </cell>
          <cell r="N234">
            <v>90</v>
          </cell>
          <cell r="O234" t="str">
            <v>7e67</v>
          </cell>
          <cell r="P234" t="str">
            <v>Bash</v>
          </cell>
          <cell r="Q234" t="str">
            <v>Quake</v>
          </cell>
          <cell r="R234" t="str">
            <v>Flare</v>
          </cell>
          <cell r="S234" t="str">
            <v>Seven Sword</v>
          </cell>
          <cell r="T234" t="str">
            <v>O-All</v>
          </cell>
          <cell r="U234" t="str">
            <v>Recover</v>
          </cell>
          <cell r="V234"/>
          <cell r="W234"/>
          <cell r="X234" t="str">
            <v>Spirit</v>
          </cell>
        </row>
        <row r="235">
          <cell r="A235" t="str">
            <v>Dolphin</v>
          </cell>
          <cell r="B235" t="str">
            <v>Dolphin</v>
          </cell>
          <cell r="C235" t="str">
            <v>4</v>
          </cell>
          <cell r="D235" t="str">
            <v>9</v>
          </cell>
          <cell r="E235">
            <v>9</v>
          </cell>
          <cell r="F235" t="str">
            <v>49</v>
          </cell>
          <cell r="G235" t="str">
            <v>8a</v>
          </cell>
          <cell r="H235" t="str">
            <v>2</v>
          </cell>
          <cell r="I235" t="str">
            <v>7</v>
          </cell>
          <cell r="J235">
            <v>5000</v>
          </cell>
          <cell r="K235">
            <v>60</v>
          </cell>
          <cell r="L235">
            <v>60</v>
          </cell>
          <cell r="M235">
            <v>60</v>
          </cell>
          <cell r="N235">
            <v>60</v>
          </cell>
          <cell r="O235" t="str">
            <v>7e6d</v>
          </cell>
          <cell r="P235" t="str">
            <v>Blitz</v>
          </cell>
          <cell r="Q235" t="str">
            <v>Fin</v>
          </cell>
          <cell r="R235" t="str">
            <v>Whirl</v>
          </cell>
          <cell r="S235" t="str">
            <v>Tusk</v>
          </cell>
          <cell r="T235" t="str">
            <v>Thunder</v>
          </cell>
          <cell r="U235" t="str">
            <v>Tail</v>
          </cell>
          <cell r="V235" t="str">
            <v>O-Quake</v>
          </cell>
          <cell r="W235" t="str">
            <v>O-Fire</v>
          </cell>
          <cell r="X235" t="str">
            <v>Aquatic</v>
          </cell>
        </row>
        <row r="236">
          <cell r="A236" t="str">
            <v>OdinCrow</v>
          </cell>
          <cell r="B236" t="str">
            <v>OdinCrow</v>
          </cell>
          <cell r="C236" t="str">
            <v>2</v>
          </cell>
          <cell r="D236" t="str">
            <v>7</v>
          </cell>
          <cell r="E236">
            <v>7</v>
          </cell>
          <cell r="F236" t="str">
            <v>27</v>
          </cell>
          <cell r="G236" t="str">
            <v>16</v>
          </cell>
          <cell r="H236" t="str">
            <v>2</v>
          </cell>
          <cell r="I236" t="str">
            <v>6</v>
          </cell>
          <cell r="J236">
            <v>669</v>
          </cell>
          <cell r="K236">
            <v>75</v>
          </cell>
          <cell r="L236">
            <v>85</v>
          </cell>
          <cell r="M236">
            <v>79</v>
          </cell>
          <cell r="N236">
            <v>69</v>
          </cell>
          <cell r="O236" t="str">
            <v>7bdf</v>
          </cell>
          <cell r="P236" t="str">
            <v>Nail</v>
          </cell>
          <cell r="Q236" t="str">
            <v>Beak</v>
          </cell>
          <cell r="R236" t="str">
            <v>Blind</v>
          </cell>
          <cell r="S236" t="str">
            <v>Tornado</v>
          </cell>
          <cell r="T236" t="str">
            <v>Surprise</v>
          </cell>
          <cell r="U236" t="str">
            <v>Warning</v>
          </cell>
          <cell r="V236" t="str">
            <v>O-Quake</v>
          </cell>
          <cell r="W236"/>
          <cell r="X236" t="str">
            <v>Flyer</v>
          </cell>
        </row>
        <row r="237">
          <cell r="A237" t="str">
            <v>WarMach</v>
          </cell>
          <cell r="B237" t="str">
            <v>WarMach</v>
          </cell>
          <cell r="C237" t="str">
            <v>3</v>
          </cell>
          <cell r="D237" t="str">
            <v>e</v>
          </cell>
          <cell r="E237">
            <v>14</v>
          </cell>
          <cell r="F237" t="str">
            <v>3e</v>
          </cell>
          <cell r="G237" t="str">
            <v>51</v>
          </cell>
          <cell r="H237" t="str">
            <v>3</v>
          </cell>
          <cell r="I237" t="str">
            <v>4</v>
          </cell>
          <cell r="J237">
            <v>10000</v>
          </cell>
          <cell r="K237">
            <v>120</v>
          </cell>
          <cell r="L237">
            <v>60</v>
          </cell>
          <cell r="M237">
            <v>0</v>
          </cell>
          <cell r="N237">
            <v>90</v>
          </cell>
          <cell r="O237" t="str">
            <v>7e7a</v>
          </cell>
          <cell r="P237" t="str">
            <v>Missile</v>
          </cell>
          <cell r="Q237" t="str">
            <v>NukeBomb</v>
          </cell>
          <cell r="R237" t="str">
            <v>Bash</v>
          </cell>
          <cell r="S237" t="str">
            <v>ParaNail</v>
          </cell>
          <cell r="T237" t="str">
            <v>O-Pa/Po</v>
          </cell>
          <cell r="U237"/>
          <cell r="V237"/>
          <cell r="W237"/>
          <cell r="X237" t="str">
            <v>Robot</v>
          </cell>
        </row>
        <row r="238">
          <cell r="A238" t="str">
            <v>Human M</v>
          </cell>
          <cell r="B238" t="str">
            <v>Human M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59</v>
          </cell>
          <cell r="K238">
            <v>6</v>
          </cell>
          <cell r="L238">
            <v>5</v>
          </cell>
          <cell r="M238">
            <v>3</v>
          </cell>
          <cell r="N238">
            <v>3</v>
          </cell>
          <cell r="O238" t="str">
            <v>7e7f</v>
          </cell>
          <cell r="P238" t="str">
            <v>Long Sword</v>
          </cell>
          <cell r="Q238" t="str">
            <v>Bronze Armor</v>
          </cell>
          <cell r="R238"/>
          <cell r="S238"/>
          <cell r="T238"/>
          <cell r="U238"/>
          <cell r="V238"/>
          <cell r="W238"/>
          <cell r="X238" t="str">
            <v>Human</v>
          </cell>
        </row>
        <row r="239">
          <cell r="A239" t="str">
            <v>Human F</v>
          </cell>
          <cell r="B239" t="str">
            <v>Human F</v>
          </cell>
          <cell r="C239" t="str">
            <v>1</v>
          </cell>
          <cell r="D239" t="str">
            <v>0</v>
          </cell>
          <cell r="E239">
            <v>0</v>
          </cell>
          <cell r="F239">
            <v>10</v>
          </cell>
          <cell r="G239" t="str">
            <v>00</v>
          </cell>
          <cell r="H239" t="str">
            <v>0</v>
          </cell>
          <cell r="I239" t="str">
            <v>1</v>
          </cell>
          <cell r="J239">
            <v>52</v>
          </cell>
          <cell r="K239">
            <v>5</v>
          </cell>
          <cell r="L239">
            <v>6</v>
          </cell>
          <cell r="M239">
            <v>4</v>
          </cell>
          <cell r="N239">
            <v>3</v>
          </cell>
          <cell r="O239" t="str">
            <v>7e81</v>
          </cell>
          <cell r="P239" t="str">
            <v>Rapier Sword</v>
          </cell>
          <cell r="Q239" t="str">
            <v>Bronze Armor</v>
          </cell>
          <cell r="R239"/>
          <cell r="S239"/>
          <cell r="T239"/>
          <cell r="U239"/>
          <cell r="V239"/>
          <cell r="W239"/>
          <cell r="X239" t="str">
            <v>Human</v>
          </cell>
        </row>
        <row r="240">
          <cell r="A240" t="str">
            <v>Mutant M</v>
          </cell>
          <cell r="B240" t="str">
            <v>Mutant M</v>
          </cell>
          <cell r="C240" t="str">
            <v>2</v>
          </cell>
          <cell r="D240" t="str">
            <v>0</v>
          </cell>
          <cell r="E240">
            <v>0</v>
          </cell>
          <cell r="F240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52</v>
          </cell>
          <cell r="K240">
            <v>5</v>
          </cell>
          <cell r="L240">
            <v>4</v>
          </cell>
          <cell r="M240">
            <v>6</v>
          </cell>
          <cell r="N240">
            <v>3</v>
          </cell>
          <cell r="O240" t="str">
            <v>7e83</v>
          </cell>
          <cell r="P240" t="str">
            <v>Hammer</v>
          </cell>
          <cell r="Q240" t="str">
            <v>Blizzard</v>
          </cell>
          <cell r="R240" t="str">
            <v>Bronze Armor</v>
          </cell>
          <cell r="S240"/>
          <cell r="T240"/>
          <cell r="U240"/>
          <cell r="V240"/>
          <cell r="W240"/>
          <cell r="X240" t="str">
            <v>Mutant</v>
          </cell>
        </row>
        <row r="241">
          <cell r="A241" t="str">
            <v>Mutant F</v>
          </cell>
          <cell r="B241" t="str">
            <v>Mutant F</v>
          </cell>
          <cell r="C241" t="str">
            <v>2</v>
          </cell>
          <cell r="D241" t="str">
            <v>0</v>
          </cell>
          <cell r="E241">
            <v>0</v>
          </cell>
          <cell r="F241" t="str">
            <v>20</v>
          </cell>
          <cell r="G241" t="str">
            <v>00</v>
          </cell>
          <cell r="H241" t="str">
            <v>1</v>
          </cell>
          <cell r="I241" t="str">
            <v>2</v>
          </cell>
          <cell r="J241">
            <v>45</v>
          </cell>
          <cell r="K241">
            <v>4</v>
          </cell>
          <cell r="L241">
            <v>5</v>
          </cell>
          <cell r="M241">
            <v>6</v>
          </cell>
          <cell r="N241">
            <v>3</v>
          </cell>
          <cell r="O241" t="str">
            <v>7e86</v>
          </cell>
          <cell r="P241" t="str">
            <v>Bow</v>
          </cell>
          <cell r="Q241" t="str">
            <v>Flame</v>
          </cell>
          <cell r="R241" t="str">
            <v>Bronze Armor</v>
          </cell>
          <cell r="S241"/>
          <cell r="T241"/>
          <cell r="U241"/>
          <cell r="V241"/>
          <cell r="W241"/>
          <cell r="X241" t="str">
            <v>Mutant</v>
          </cell>
        </row>
        <row r="242">
          <cell r="A242" t="str">
            <v>Robot</v>
          </cell>
          <cell r="B242" t="str">
            <v>Robot</v>
          </cell>
          <cell r="C242" t="str">
            <v>1</v>
          </cell>
          <cell r="D242" t="str">
            <v>0</v>
          </cell>
          <cell r="E242">
            <v>0</v>
          </cell>
          <cell r="F242" t="str">
            <v>10</v>
          </cell>
          <cell r="G242" t="str">
            <v>00</v>
          </cell>
          <cell r="H242" t="str">
            <v>3</v>
          </cell>
          <cell r="I242" t="str">
            <v>1</v>
          </cell>
          <cell r="J242">
            <v>60</v>
          </cell>
          <cell r="K242">
            <v>6</v>
          </cell>
          <cell r="L242">
            <v>5</v>
          </cell>
          <cell r="M242">
            <v>0</v>
          </cell>
          <cell r="N242">
            <v>6</v>
          </cell>
          <cell r="O242" t="str">
            <v>7e89</v>
          </cell>
          <cell r="P242" t="str">
            <v>Colt Gun</v>
          </cell>
          <cell r="Q242" t="str">
            <v>O-Pa/Po</v>
          </cell>
          <cell r="R242"/>
          <cell r="S242"/>
          <cell r="T242"/>
          <cell r="U242"/>
          <cell r="V242"/>
          <cell r="W242"/>
          <cell r="X242" t="str">
            <v>Robot</v>
          </cell>
        </row>
        <row r="243">
          <cell r="A243" t="str">
            <v>Goop</v>
          </cell>
          <cell r="B243" t="str">
            <v>Goop</v>
          </cell>
          <cell r="C243" t="str">
            <v>1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1</v>
          </cell>
          <cell r="J243">
            <v>52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7e8b</v>
          </cell>
          <cell r="P243" t="str">
            <v>Dissolve</v>
          </cell>
          <cell r="Q243" t="str">
            <v>X-Fire</v>
          </cell>
          <cell r="R243"/>
          <cell r="S243"/>
          <cell r="T243"/>
          <cell r="U243"/>
          <cell r="V243"/>
          <cell r="W243"/>
          <cell r="X243" t="str">
            <v>Aberration</v>
          </cell>
        </row>
        <row r="244">
          <cell r="A244" t="str">
            <v>Hatchling</v>
          </cell>
          <cell r="B244" t="str">
            <v>Hatchling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2</v>
          </cell>
          <cell r="J244">
            <v>45</v>
          </cell>
          <cell r="K244">
            <v>5</v>
          </cell>
          <cell r="L244">
            <v>2</v>
          </cell>
          <cell r="M244">
            <v>6</v>
          </cell>
          <cell r="N244">
            <v>5</v>
          </cell>
          <cell r="O244" t="str">
            <v>7e8d</v>
          </cell>
          <cell r="P244" t="str">
            <v>Nail</v>
          </cell>
          <cell r="Q244" t="str">
            <v>Flame</v>
          </cell>
          <cell r="R244" t="str">
            <v>O-Quake</v>
          </cell>
          <cell r="S244"/>
          <cell r="T244"/>
          <cell r="U244"/>
          <cell r="V244"/>
          <cell r="W244"/>
          <cell r="X244" t="str">
            <v>Great Reptile</v>
          </cell>
        </row>
        <row r="245">
          <cell r="A245" t="str">
            <v>Imp</v>
          </cell>
          <cell r="B245" t="str">
            <v>Imp</v>
          </cell>
          <cell r="C245" t="str">
            <v>1</v>
          </cell>
          <cell r="D245" t="str">
            <v>1</v>
          </cell>
          <cell r="E245">
            <v>1</v>
          </cell>
          <cell r="F245" t="str">
            <v>11</v>
          </cell>
          <cell r="G245" t="str">
            <v>00</v>
          </cell>
          <cell r="H245" t="str">
            <v>2</v>
          </cell>
          <cell r="I245" t="str">
            <v>1</v>
          </cell>
          <cell r="J245">
            <v>31</v>
          </cell>
          <cell r="K245">
            <v>5</v>
          </cell>
          <cell r="L245">
            <v>5</v>
          </cell>
          <cell r="M245">
            <v>6</v>
          </cell>
          <cell r="N245">
            <v>5</v>
          </cell>
          <cell r="O245" t="str">
            <v>7e90</v>
          </cell>
          <cell r="P245" t="str">
            <v>Nail</v>
          </cell>
          <cell r="Q245" t="str">
            <v>Sleep</v>
          </cell>
          <cell r="R245"/>
          <cell r="S245"/>
          <cell r="T245"/>
          <cell r="U245"/>
          <cell r="V245"/>
          <cell r="W245"/>
          <cell r="X245" t="str">
            <v>Spirit</v>
          </cell>
        </row>
        <row r="246">
          <cell r="A246" t="str">
            <v>Ashura</v>
          </cell>
          <cell r="B246" t="str">
            <v>Ashura</v>
          </cell>
          <cell r="C246" t="str">
            <v>3</v>
          </cell>
          <cell r="D246" t="str">
            <v>7</v>
          </cell>
          <cell r="E246">
            <v>7</v>
          </cell>
          <cell r="F246">
            <v>37</v>
          </cell>
          <cell r="G246" t="str">
            <v>40</v>
          </cell>
          <cell r="H246" t="str">
            <v>2</v>
          </cell>
          <cell r="I246" t="str">
            <v>4</v>
          </cell>
          <cell r="J246">
            <v>900</v>
          </cell>
          <cell r="K246">
            <v>18</v>
          </cell>
          <cell r="L246">
            <v>18</v>
          </cell>
          <cell r="M246">
            <v>17</v>
          </cell>
          <cell r="N246">
            <v>18</v>
          </cell>
          <cell r="O246" t="str">
            <v>7e92</v>
          </cell>
          <cell r="P246" t="str">
            <v>6-Arms</v>
          </cell>
          <cell r="Q246" t="str">
            <v>Flame</v>
          </cell>
          <cell r="R246" t="str">
            <v>Sleep</v>
          </cell>
          <cell r="S246" t="str">
            <v>Axe</v>
          </cell>
          <cell r="T246" t="str">
            <v>O-Damage</v>
          </cell>
          <cell r="U246"/>
          <cell r="V246"/>
          <cell r="W246"/>
          <cell r="X246" t="str">
            <v>God</v>
          </cell>
        </row>
        <row r="247">
          <cell r="A247" t="str">
            <v>Venus</v>
          </cell>
          <cell r="B247" t="str">
            <v>Venus</v>
          </cell>
          <cell r="C247" t="str">
            <v>3</v>
          </cell>
          <cell r="D247" t="str">
            <v>9</v>
          </cell>
          <cell r="E247">
            <v>9</v>
          </cell>
          <cell r="F247" t="str">
            <v>39</v>
          </cell>
          <cell r="G247" t="str">
            <v>30</v>
          </cell>
          <cell r="H247" t="str">
            <v>0</v>
          </cell>
          <cell r="I247" t="str">
            <v>4</v>
          </cell>
          <cell r="J247">
            <v>2500</v>
          </cell>
          <cell r="K247">
            <v>52</v>
          </cell>
          <cell r="L247">
            <v>52</v>
          </cell>
          <cell r="M247">
            <v>52</v>
          </cell>
          <cell r="N247">
            <v>52</v>
          </cell>
          <cell r="O247" t="str">
            <v>7e97</v>
          </cell>
          <cell r="P247" t="str">
            <v>Charm</v>
          </cell>
          <cell r="Q247" t="str">
            <v>Blitz Whip</v>
          </cell>
          <cell r="R247" t="str">
            <v>Flame</v>
          </cell>
          <cell r="S247" t="str">
            <v>Slay</v>
          </cell>
          <cell r="T247" t="str">
            <v>O-Damage</v>
          </cell>
          <cell r="U247"/>
          <cell r="V247"/>
          <cell r="W247"/>
          <cell r="X247" t="str">
            <v>God</v>
          </cell>
        </row>
        <row r="248">
          <cell r="A248" t="str">
            <v>Sho-gun</v>
          </cell>
          <cell r="B248" t="str">
            <v>Sho-gun</v>
          </cell>
          <cell r="C248" t="str">
            <v>3</v>
          </cell>
          <cell r="D248" t="str">
            <v>7</v>
          </cell>
          <cell r="E248">
            <v>7</v>
          </cell>
          <cell r="F248" t="str">
            <v>37</v>
          </cell>
          <cell r="G248" t="str">
            <v>89</v>
          </cell>
          <cell r="H248" t="str">
            <v>0</v>
          </cell>
          <cell r="I248" t="str">
            <v>4</v>
          </cell>
          <cell r="J248">
            <v>2000</v>
          </cell>
          <cell r="K248">
            <v>41</v>
          </cell>
          <cell r="L248">
            <v>41</v>
          </cell>
          <cell r="M248">
            <v>41</v>
          </cell>
          <cell r="N248">
            <v>41</v>
          </cell>
          <cell r="O248" t="str">
            <v>7e9c</v>
          </cell>
          <cell r="P248" t="str">
            <v>Riddle</v>
          </cell>
          <cell r="Q248" t="str">
            <v>PoisonGas</v>
          </cell>
          <cell r="R248" t="str">
            <v>SleepGas</v>
          </cell>
          <cell r="S248" t="str">
            <v>Katana</v>
          </cell>
          <cell r="T248" t="str">
            <v>O-Change</v>
          </cell>
          <cell r="U248"/>
          <cell r="V248"/>
          <cell r="W248"/>
          <cell r="X248" t="str">
            <v>Human</v>
          </cell>
        </row>
        <row r="249">
          <cell r="A249" t="str">
            <v>Magnate</v>
          </cell>
          <cell r="B249" t="str">
            <v>Magnate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41</v>
          </cell>
          <cell r="H249" t="str">
            <v>0</v>
          </cell>
          <cell r="I249" t="str">
            <v>5</v>
          </cell>
          <cell r="J249">
            <v>6000</v>
          </cell>
          <cell r="K249">
            <v>63</v>
          </cell>
          <cell r="L249">
            <v>63</v>
          </cell>
          <cell r="M249">
            <v>63</v>
          </cell>
          <cell r="N249">
            <v>63</v>
          </cell>
          <cell r="O249" t="str">
            <v>7ea1</v>
          </cell>
          <cell r="P249" t="str">
            <v>Katana</v>
          </cell>
          <cell r="Q249" t="str">
            <v>Thunder</v>
          </cell>
          <cell r="R249" t="str">
            <v>Tornado</v>
          </cell>
          <cell r="S249" t="str">
            <v>Vulcan Cannon</v>
          </cell>
          <cell r="T249" t="str">
            <v>Stone</v>
          </cell>
          <cell r="U249" t="str">
            <v>O-Change</v>
          </cell>
          <cell r="V249"/>
          <cell r="W249"/>
          <cell r="X249" t="str">
            <v>God</v>
          </cell>
        </row>
        <row r="250">
          <cell r="A250" t="str">
            <v>Odin</v>
          </cell>
          <cell r="B250" t="str">
            <v>Odin</v>
          </cell>
          <cell r="C250" t="str">
            <v>3</v>
          </cell>
          <cell r="D250" t="str">
            <v>d</v>
          </cell>
          <cell r="E250">
            <v>13</v>
          </cell>
          <cell r="F250" t="str">
            <v>3d</v>
          </cell>
          <cell r="G250" t="str">
            <v>31</v>
          </cell>
          <cell r="H250" t="str">
            <v>0</v>
          </cell>
          <cell r="I250" t="str">
            <v>4</v>
          </cell>
          <cell r="J250">
            <v>3700</v>
          </cell>
          <cell r="K250">
            <v>75</v>
          </cell>
          <cell r="L250">
            <v>75</v>
          </cell>
          <cell r="M250">
            <v>68</v>
          </cell>
          <cell r="N250">
            <v>75</v>
          </cell>
          <cell r="O250" t="str">
            <v>7ea7</v>
          </cell>
          <cell r="P250" t="str">
            <v>Gungnir</v>
          </cell>
          <cell r="Q250" t="str">
            <v>Lightning</v>
          </cell>
          <cell r="R250" t="str">
            <v>Ice</v>
          </cell>
          <cell r="S250" t="str">
            <v>Cure</v>
          </cell>
          <cell r="T250" t="str">
            <v>O-Change</v>
          </cell>
          <cell r="U250"/>
          <cell r="V250"/>
          <cell r="W250"/>
          <cell r="X250" t="str">
            <v>God</v>
          </cell>
        </row>
        <row r="251">
          <cell r="A251" t="str">
            <v>Minion</v>
          </cell>
          <cell r="B251" t="str">
            <v>Minion</v>
          </cell>
          <cell r="C251" t="str">
            <v>4</v>
          </cell>
          <cell r="D251" t="str">
            <v>e</v>
          </cell>
          <cell r="E251">
            <v>14</v>
          </cell>
          <cell r="F251" t="str">
            <v>4e</v>
          </cell>
          <cell r="G251" t="str">
            <v>50</v>
          </cell>
          <cell r="H251" t="str">
            <v>2</v>
          </cell>
          <cell r="I251" t="str">
            <v>4</v>
          </cell>
          <cell r="J251">
            <v>5000</v>
          </cell>
          <cell r="K251">
            <v>63</v>
          </cell>
          <cell r="L251">
            <v>63</v>
          </cell>
          <cell r="M251">
            <v>57</v>
          </cell>
          <cell r="N251">
            <v>63</v>
          </cell>
          <cell r="O251" t="str">
            <v>7eac</v>
          </cell>
          <cell r="P251" t="str">
            <v>Flame</v>
          </cell>
          <cell r="Q251" t="str">
            <v>Gas</v>
          </cell>
          <cell r="R251" t="str">
            <v>Tornado</v>
          </cell>
          <cell r="S251" t="str">
            <v>Blizzard</v>
          </cell>
          <cell r="T251" t="str">
            <v>Lightning</v>
          </cell>
          <cell r="U251"/>
          <cell r="V251"/>
          <cell r="W251"/>
          <cell r="X251" t="str">
            <v>Flyer</v>
          </cell>
        </row>
        <row r="252">
          <cell r="A252" t="str">
            <v>Apollo</v>
          </cell>
          <cell r="B252" t="str">
            <v>Apollo</v>
          </cell>
          <cell r="C252"/>
          <cell r="D252"/>
          <cell r="E252">
            <v>0</v>
          </cell>
          <cell r="F252" t="str">
            <v>of</v>
          </cell>
          <cell r="G252" t="str">
            <v>32</v>
          </cell>
          <cell r="H252" t="str">
            <v>0</v>
          </cell>
          <cell r="I252" t="str">
            <v>1</v>
          </cell>
          <cell r="J252">
            <v>25000</v>
          </cell>
          <cell r="K252">
            <v>99</v>
          </cell>
          <cell r="L252">
            <v>99</v>
          </cell>
          <cell r="M252">
            <v>80</v>
          </cell>
          <cell r="N252">
            <v>99</v>
          </cell>
          <cell r="O252" t="str">
            <v>7eb1</v>
          </cell>
          <cell r="P252" t="str">
            <v>Flare</v>
          </cell>
          <cell r="Q252" t="str">
            <v>O-All</v>
          </cell>
          <cell r="R252"/>
          <cell r="S252"/>
          <cell r="T252"/>
          <cell r="U252"/>
          <cell r="V252"/>
          <cell r="W252"/>
          <cell r="X252" t="str">
            <v>God</v>
          </cell>
        </row>
        <row r="253">
          <cell r="A253" t="str">
            <v>Arsenal</v>
          </cell>
          <cell r="B253" t="str">
            <v>Arsenal</v>
          </cell>
          <cell r="C253"/>
          <cell r="D253"/>
          <cell r="E253">
            <v>0</v>
          </cell>
          <cell r="F253" t="str">
            <v>00</v>
          </cell>
          <cell r="G253" t="str">
            <v>60</v>
          </cell>
          <cell r="H253" t="str">
            <v>3</v>
          </cell>
          <cell r="I253" t="str">
            <v>1</v>
          </cell>
          <cell r="J253">
            <v>10000</v>
          </cell>
          <cell r="K253">
            <v>99</v>
          </cell>
          <cell r="L253">
            <v>99</v>
          </cell>
          <cell r="M253">
            <v>120</v>
          </cell>
          <cell r="N253">
            <v>99</v>
          </cell>
          <cell r="O253" t="str">
            <v>7eb3</v>
          </cell>
          <cell r="P253" t="str">
            <v>Smasher</v>
          </cell>
          <cell r="Q253" t="str">
            <v>O-Change</v>
          </cell>
          <cell r="R253"/>
          <cell r="S253"/>
          <cell r="T253"/>
          <cell r="U253"/>
          <cell r="V253"/>
          <cell r="W253"/>
          <cell r="X253" t="str">
            <v>Robot</v>
          </cell>
        </row>
        <row r="254">
          <cell r="A254" t="str">
            <v>Jerk</v>
          </cell>
          <cell r="B254" t="str">
            <v>Jerk</v>
          </cell>
          <cell r="C254">
            <v>0</v>
          </cell>
          <cell r="E254">
            <v>0</v>
          </cell>
          <cell r="H254">
            <v>1</v>
          </cell>
          <cell r="I254">
            <v>0</v>
          </cell>
          <cell r="J254">
            <v>1000</v>
          </cell>
          <cell r="K254">
            <v>1</v>
          </cell>
          <cell r="L254">
            <v>20</v>
          </cell>
          <cell r="M254">
            <v>20</v>
          </cell>
          <cell r="N254">
            <v>20</v>
          </cell>
          <cell r="P254" t="str">
            <v>Ice</v>
          </cell>
          <cell r="Q254"/>
          <cell r="X254" t="str">
            <v>Mutant</v>
          </cell>
        </row>
        <row r="255">
          <cell r="A255" t="str">
            <v>SuperJerk</v>
          </cell>
          <cell r="B255" t="str">
            <v>SuperJerk</v>
          </cell>
          <cell r="C255">
            <v>3</v>
          </cell>
          <cell r="E255">
            <v>0</v>
          </cell>
          <cell r="H255">
            <v>1</v>
          </cell>
          <cell r="J255">
            <v>1000</v>
          </cell>
          <cell r="K255">
            <v>15</v>
          </cell>
          <cell r="L255">
            <v>50</v>
          </cell>
          <cell r="M255">
            <v>40</v>
          </cell>
          <cell r="N255">
            <v>30</v>
          </cell>
          <cell r="P255" t="str">
            <v>MadSong</v>
          </cell>
          <cell r="Q255" t="str">
            <v>PoisonBurst</v>
          </cell>
          <cell r="R255" t="str">
            <v>Stone</v>
          </cell>
          <cell r="S255" t="str">
            <v>Wizard Staff</v>
          </cell>
          <cell r="T255" t="str">
            <v>CursSong</v>
          </cell>
          <cell r="U255" t="str">
            <v>O-Weapon</v>
          </cell>
          <cell r="X255" t="str">
            <v>Mutant</v>
          </cell>
        </row>
        <row r="256">
          <cell r="A256" t="str">
            <v>Human</v>
          </cell>
          <cell r="B256" t="str">
            <v>Human</v>
          </cell>
          <cell r="X256" t="str">
            <v>Human</v>
          </cell>
        </row>
        <row r="257">
          <cell r="A257" t="str">
            <v>Mutant</v>
          </cell>
          <cell r="B257" t="str">
            <v>Mutant</v>
          </cell>
          <cell r="X257" t="str">
            <v>Mutant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</row>
        <row r="24">
          <cell r="A24" t="str">
            <v>X-Cure Potion</v>
          </cell>
          <cell r="B24" t="str">
            <v>X-Cure Potion</v>
          </cell>
          <cell r="C24" t="str">
            <v>X-Cure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I35"/>
          <cell r="J35"/>
          <cell r="K35"/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J37"/>
          <cell r="K37"/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I41"/>
          <cell r="J41"/>
          <cell r="K41"/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D42"/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I42"/>
          <cell r="J42"/>
          <cell r="K42"/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J43"/>
          <cell r="K43"/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I45"/>
          <cell r="J45"/>
          <cell r="K45"/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J47"/>
          <cell r="K47"/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D49"/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I49"/>
          <cell r="J49"/>
          <cell r="K49"/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D50"/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D51"/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I52"/>
          <cell r="J52"/>
          <cell r="K52"/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I55"/>
          <cell r="J55"/>
          <cell r="K55"/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J62"/>
          <cell r="K62"/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I64"/>
          <cell r="J64"/>
          <cell r="K64"/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D65"/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D66"/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50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D68"/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I68"/>
          <cell r="J68"/>
          <cell r="K68"/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D70"/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D71"/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I73"/>
          <cell r="J73"/>
          <cell r="K73"/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 xml:space="preserve">Parasuit </v>
          </cell>
          <cell r="B75" t="str">
            <v xml:space="preserve">Parasuit </v>
          </cell>
          <cell r="C75" t="str">
            <v>Parasuit</v>
          </cell>
          <cell r="D75"/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J76"/>
          <cell r="K76"/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D77"/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I77"/>
          <cell r="J77"/>
          <cell r="K77"/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I78"/>
          <cell r="J78"/>
          <cell r="K78"/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I79"/>
          <cell r="J79"/>
          <cell r="K79"/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D80"/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D81"/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I81"/>
          <cell r="J81"/>
          <cell r="K81"/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D82"/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I84"/>
          <cell r="J84"/>
          <cell r="K84"/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I89"/>
          <cell r="J89"/>
          <cell r="K89"/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I93"/>
          <cell r="J93"/>
          <cell r="K93"/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I95"/>
          <cell r="J95"/>
          <cell r="K95"/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J97"/>
          <cell r="K97"/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J98"/>
          <cell r="K98"/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I99"/>
          <cell r="J99"/>
          <cell r="K99"/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J101"/>
          <cell r="K101"/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I102"/>
          <cell r="J102"/>
          <cell r="K102"/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J104"/>
          <cell r="K104"/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I105"/>
          <cell r="J105"/>
          <cell r="K105"/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I107"/>
          <cell r="J107"/>
          <cell r="K107"/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I110"/>
          <cell r="J110"/>
          <cell r="K110"/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I115"/>
          <cell r="J115"/>
          <cell r="K115"/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J116"/>
          <cell r="K116"/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40</v>
          </cell>
          <cell r="H117">
            <v>36000</v>
          </cell>
          <cell r="I117"/>
          <cell r="J117"/>
          <cell r="K117"/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I118"/>
          <cell r="J118"/>
          <cell r="K118"/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I120"/>
          <cell r="J120"/>
          <cell r="K120"/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I122"/>
          <cell r="J122"/>
          <cell r="K122"/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I124"/>
          <cell r="J124"/>
          <cell r="K124"/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I128"/>
          <cell r="J128"/>
          <cell r="K128"/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J130"/>
          <cell r="K130"/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D131"/>
          <cell r="E131">
            <v>128</v>
          </cell>
          <cell r="F131">
            <v>80</v>
          </cell>
          <cell r="G131">
            <v>30</v>
          </cell>
          <cell r="H131"/>
          <cell r="I131"/>
          <cell r="J131"/>
          <cell r="K131"/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D132"/>
          <cell r="E132">
            <v>129</v>
          </cell>
          <cell r="F132">
            <v>81</v>
          </cell>
          <cell r="G132">
            <v>15</v>
          </cell>
          <cell r="H132"/>
          <cell r="I132"/>
          <cell r="J132"/>
          <cell r="K132"/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D133"/>
          <cell r="E133">
            <v>130</v>
          </cell>
          <cell r="F133">
            <v>82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D134"/>
          <cell r="E134">
            <v>131</v>
          </cell>
          <cell r="F134">
            <v>83</v>
          </cell>
          <cell r="G134">
            <v>30</v>
          </cell>
          <cell r="H134"/>
          <cell r="I134"/>
          <cell r="J134"/>
          <cell r="K134"/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D135"/>
          <cell r="E135">
            <v>132</v>
          </cell>
          <cell r="F135">
            <v>84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D136"/>
          <cell r="E136">
            <v>133</v>
          </cell>
          <cell r="F136">
            <v>85</v>
          </cell>
          <cell r="G136">
            <v>15</v>
          </cell>
          <cell r="H136"/>
          <cell r="I136"/>
          <cell r="J136"/>
          <cell r="K136"/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D137"/>
          <cell r="E137">
            <v>134</v>
          </cell>
          <cell r="F137">
            <v>86</v>
          </cell>
          <cell r="G137">
            <v>30</v>
          </cell>
          <cell r="H137"/>
          <cell r="I137"/>
          <cell r="J137"/>
          <cell r="K137"/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D138"/>
          <cell r="E138">
            <v>135</v>
          </cell>
          <cell r="F138">
            <v>87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D139"/>
          <cell r="E139">
            <v>136</v>
          </cell>
          <cell r="F139">
            <v>88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D140"/>
          <cell r="E140">
            <v>137</v>
          </cell>
          <cell r="F140">
            <v>89</v>
          </cell>
          <cell r="G140">
            <v>30</v>
          </cell>
          <cell r="H140"/>
          <cell r="I140"/>
          <cell r="J140"/>
          <cell r="K140"/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D141"/>
          <cell r="E141">
            <v>138</v>
          </cell>
          <cell r="F141" t="str">
            <v>8A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D142"/>
          <cell r="E142">
            <v>139</v>
          </cell>
          <cell r="F142" t="str">
            <v>8B</v>
          </cell>
          <cell r="G142">
            <v>15</v>
          </cell>
          <cell r="H142"/>
          <cell r="I142"/>
          <cell r="J142"/>
          <cell r="K142"/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D143"/>
          <cell r="E143">
            <v>140</v>
          </cell>
          <cell r="F143" t="str">
            <v>8C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D144"/>
          <cell r="E144">
            <v>141</v>
          </cell>
          <cell r="F144" t="str">
            <v>8D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D145"/>
          <cell r="E145">
            <v>142</v>
          </cell>
          <cell r="F145" t="str">
            <v>8E</v>
          </cell>
          <cell r="G145">
            <v>30</v>
          </cell>
          <cell r="H145"/>
          <cell r="I145"/>
          <cell r="J145"/>
          <cell r="K145"/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D146"/>
          <cell r="E146">
            <v>143</v>
          </cell>
          <cell r="F146" t="str">
            <v>8F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D147"/>
          <cell r="E147">
            <v>144</v>
          </cell>
          <cell r="F147">
            <v>90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D148"/>
          <cell r="E148">
            <v>145</v>
          </cell>
          <cell r="F148">
            <v>91</v>
          </cell>
          <cell r="G148">
            <v>15</v>
          </cell>
          <cell r="H148"/>
          <cell r="I148"/>
          <cell r="J148"/>
          <cell r="K148"/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D149"/>
          <cell r="E149">
            <v>146</v>
          </cell>
          <cell r="F149">
            <v>92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D150"/>
          <cell r="E150">
            <v>147</v>
          </cell>
          <cell r="F150">
            <v>93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D151"/>
          <cell r="E151">
            <v>148</v>
          </cell>
          <cell r="F151">
            <v>94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D152"/>
          <cell r="E152">
            <v>149</v>
          </cell>
          <cell r="F152">
            <v>95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D153"/>
          <cell r="E153">
            <v>150</v>
          </cell>
          <cell r="F153">
            <v>96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D154"/>
          <cell r="E154">
            <v>151</v>
          </cell>
          <cell r="F154">
            <v>97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D155"/>
          <cell r="E155">
            <v>152</v>
          </cell>
          <cell r="F155">
            <v>98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D156"/>
          <cell r="E156">
            <v>153</v>
          </cell>
          <cell r="F156">
            <v>99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D157"/>
          <cell r="E157">
            <v>154</v>
          </cell>
          <cell r="F157" t="str">
            <v>9A</v>
          </cell>
          <cell r="G157">
            <v>30</v>
          </cell>
          <cell r="H157"/>
          <cell r="I157"/>
          <cell r="J157"/>
          <cell r="K157"/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D158"/>
          <cell r="E158">
            <v>155</v>
          </cell>
          <cell r="F158" t="str">
            <v>9B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D159"/>
          <cell r="E159">
            <v>157</v>
          </cell>
          <cell r="F159" t="str">
            <v>9D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D160"/>
          <cell r="E160">
            <v>158</v>
          </cell>
          <cell r="F160" t="str">
            <v>9E</v>
          </cell>
          <cell r="G160">
            <v>30</v>
          </cell>
          <cell r="H160"/>
          <cell r="I160"/>
          <cell r="J160"/>
          <cell r="K160"/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D161"/>
          <cell r="E161">
            <v>159</v>
          </cell>
          <cell r="F161" t="str">
            <v>9F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D162"/>
          <cell r="E162">
            <v>160</v>
          </cell>
          <cell r="F162" t="str">
            <v>A0</v>
          </cell>
          <cell r="G162">
            <v>15</v>
          </cell>
          <cell r="H162"/>
          <cell r="I162"/>
          <cell r="J162"/>
          <cell r="K162"/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D163"/>
          <cell r="E163">
            <v>161</v>
          </cell>
          <cell r="F163" t="str">
            <v>A1</v>
          </cell>
          <cell r="G163">
            <v>15</v>
          </cell>
          <cell r="H163"/>
          <cell r="I163"/>
          <cell r="J163"/>
          <cell r="K163"/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D164"/>
          <cell r="E164">
            <v>162</v>
          </cell>
          <cell r="F164" t="str">
            <v>A2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D165"/>
          <cell r="E165">
            <v>163</v>
          </cell>
          <cell r="F165" t="str">
            <v>A3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D166"/>
          <cell r="E166">
            <v>164</v>
          </cell>
          <cell r="F166" t="str">
            <v>A4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D167"/>
          <cell r="E167">
            <v>165</v>
          </cell>
          <cell r="F167" t="str">
            <v>A5</v>
          </cell>
          <cell r="G167">
            <v>10</v>
          </cell>
          <cell r="H167"/>
          <cell r="I167"/>
          <cell r="J167"/>
          <cell r="K167"/>
          <cell r="L167">
            <v>9</v>
          </cell>
          <cell r="M167">
            <v>0</v>
          </cell>
        </row>
        <row r="168">
          <cell r="A168" t="str">
            <v>Axe</v>
          </cell>
          <cell r="B168" t="str">
            <v>Axe</v>
          </cell>
          <cell r="C168" t="str">
            <v>Axe</v>
          </cell>
          <cell r="D168"/>
          <cell r="E168">
            <v>166</v>
          </cell>
          <cell r="F168" t="str">
            <v>A6</v>
          </cell>
          <cell r="G168">
            <v>20</v>
          </cell>
          <cell r="H168"/>
          <cell r="I168"/>
          <cell r="J168"/>
          <cell r="K168"/>
          <cell r="L168">
            <v>9</v>
          </cell>
          <cell r="M168">
            <v>0</v>
          </cell>
        </row>
        <row r="169">
          <cell r="A169" t="str">
            <v>Honey</v>
          </cell>
          <cell r="B169" t="str">
            <v>Honey</v>
          </cell>
          <cell r="C169" t="str">
            <v>Honey</v>
          </cell>
          <cell r="D169"/>
          <cell r="E169">
            <v>167</v>
          </cell>
          <cell r="F169" t="str">
            <v>A7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 t="str">
            <v xml:space="preserve"> Mana +0</v>
          </cell>
        </row>
        <row r="170">
          <cell r="A170" t="str">
            <v>Heal</v>
          </cell>
          <cell r="B170" t="str">
            <v>Heal</v>
          </cell>
          <cell r="C170" t="str">
            <v>Heal</v>
          </cell>
          <cell r="D170"/>
          <cell r="E170">
            <v>168</v>
          </cell>
          <cell r="F170" t="str">
            <v>A8</v>
          </cell>
          <cell r="G170">
            <v>10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</row>
        <row r="171">
          <cell r="A171" t="str">
            <v>Life</v>
          </cell>
          <cell r="B171" t="str">
            <v>Life</v>
          </cell>
          <cell r="C171" t="str">
            <v>Life</v>
          </cell>
          <cell r="D171" t="str">
            <v>Potion</v>
          </cell>
          <cell r="E171">
            <v>169</v>
          </cell>
          <cell r="F171" t="str">
            <v>A9</v>
          </cell>
          <cell r="G171">
            <v>3</v>
          </cell>
          <cell r="H171"/>
          <cell r="I171"/>
          <cell r="J171"/>
          <cell r="K171"/>
          <cell r="L171">
            <v>9</v>
          </cell>
          <cell r="M171" t="str">
            <v xml:space="preserve"> Mana +0</v>
          </cell>
        </row>
        <row r="172">
          <cell r="A172" t="str">
            <v>W-Kick</v>
          </cell>
          <cell r="B172" t="str">
            <v>W-Kick</v>
          </cell>
          <cell r="C172" t="str">
            <v>W-Kick</v>
          </cell>
          <cell r="D172"/>
          <cell r="E172">
            <v>170</v>
          </cell>
          <cell r="F172" t="str">
            <v>AA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</row>
        <row r="173">
          <cell r="A173" t="str">
            <v>ParaNail</v>
          </cell>
          <cell r="B173" t="str">
            <v>ParaNail</v>
          </cell>
          <cell r="C173" t="str">
            <v>ParaNail</v>
          </cell>
          <cell r="D173"/>
          <cell r="E173">
            <v>171</v>
          </cell>
          <cell r="F173" t="str">
            <v>AB</v>
          </cell>
          <cell r="G173">
            <v>20</v>
          </cell>
          <cell r="H173"/>
          <cell r="I173"/>
          <cell r="J173"/>
          <cell r="K173"/>
          <cell r="L173">
            <v>9</v>
          </cell>
          <cell r="M173">
            <v>0</v>
          </cell>
        </row>
        <row r="174">
          <cell r="A174" t="str">
            <v>Wind Up</v>
          </cell>
          <cell r="B174" t="str">
            <v>Wind Up</v>
          </cell>
          <cell r="C174" t="str">
            <v>Wind Up</v>
          </cell>
          <cell r="D174"/>
          <cell r="E174">
            <v>172</v>
          </cell>
          <cell r="F174" t="str">
            <v>AC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</row>
        <row r="175">
          <cell r="A175" t="str">
            <v>Tie Up</v>
          </cell>
          <cell r="B175" t="str">
            <v>Tie Up</v>
          </cell>
          <cell r="C175" t="str">
            <v>Tie Up</v>
          </cell>
          <cell r="D175"/>
          <cell r="E175">
            <v>173</v>
          </cell>
          <cell r="F175" t="str">
            <v>AD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</row>
        <row r="176">
          <cell r="A176" t="str">
            <v>Breath</v>
          </cell>
          <cell r="B176" t="str">
            <v>Breath</v>
          </cell>
          <cell r="C176" t="str">
            <v>Breath</v>
          </cell>
          <cell r="D176"/>
          <cell r="E176">
            <v>174</v>
          </cell>
          <cell r="F176" t="str">
            <v>AE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</row>
        <row r="177">
          <cell r="A177" t="str">
            <v>Venom</v>
          </cell>
          <cell r="B177" t="str">
            <v>Venom</v>
          </cell>
          <cell r="C177" t="str">
            <v>Venom</v>
          </cell>
          <cell r="D177"/>
          <cell r="E177">
            <v>175</v>
          </cell>
          <cell r="F177" t="str">
            <v>AF</v>
          </cell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D178"/>
          <cell r="E178">
            <v>177</v>
          </cell>
          <cell r="F178" t="str">
            <v>B1</v>
          </cell>
          <cell r="G178">
            <v>30</v>
          </cell>
          <cell r="H178"/>
          <cell r="I178"/>
          <cell r="J178"/>
          <cell r="K178"/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D179"/>
          <cell r="E179">
            <v>178</v>
          </cell>
          <cell r="F179" t="str">
            <v>B2</v>
          </cell>
          <cell r="G179">
            <v>30</v>
          </cell>
          <cell r="H179"/>
          <cell r="I179"/>
          <cell r="J179"/>
          <cell r="K179"/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D180"/>
          <cell r="E180">
            <v>179</v>
          </cell>
          <cell r="F180" t="str">
            <v>B3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D181"/>
          <cell r="E181">
            <v>180</v>
          </cell>
          <cell r="F181" t="str">
            <v>B4</v>
          </cell>
          <cell r="G181">
            <v>30</v>
          </cell>
          <cell r="H181"/>
          <cell r="I181"/>
          <cell r="J181"/>
          <cell r="K181"/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D182"/>
          <cell r="E182">
            <v>181</v>
          </cell>
          <cell r="F182" t="str">
            <v>B5</v>
          </cell>
          <cell r="G182">
            <v>15</v>
          </cell>
          <cell r="H182"/>
          <cell r="I182"/>
          <cell r="J182"/>
          <cell r="K182"/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D183"/>
          <cell r="E183">
            <v>182</v>
          </cell>
          <cell r="F183" t="str">
            <v>B6</v>
          </cell>
          <cell r="G183">
            <v>15</v>
          </cell>
          <cell r="H183"/>
          <cell r="I183"/>
          <cell r="J183"/>
          <cell r="K183"/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D184"/>
          <cell r="E184">
            <v>183</v>
          </cell>
          <cell r="F184" t="str">
            <v>B7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D185"/>
          <cell r="E185">
            <v>184</v>
          </cell>
          <cell r="F185" t="str">
            <v>B8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D186"/>
          <cell r="E186">
            <v>185</v>
          </cell>
          <cell r="F186" t="str">
            <v>B9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D187"/>
          <cell r="E187">
            <v>186</v>
          </cell>
          <cell r="F187" t="str">
            <v>BA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D188"/>
          <cell r="E188">
            <v>187</v>
          </cell>
          <cell r="F188" t="str">
            <v>BB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D189"/>
          <cell r="E189">
            <v>188</v>
          </cell>
          <cell r="F189" t="str">
            <v>BC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D190"/>
          <cell r="E190">
            <v>189</v>
          </cell>
          <cell r="F190" t="str">
            <v>BD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D191"/>
          <cell r="E191">
            <v>190</v>
          </cell>
          <cell r="F191" t="str">
            <v>BE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D192"/>
          <cell r="E192">
            <v>191</v>
          </cell>
          <cell r="F192" t="str">
            <v>BF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D193"/>
          <cell r="E193">
            <v>192</v>
          </cell>
          <cell r="F193" t="str">
            <v>C0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D194"/>
          <cell r="E194">
            <v>193</v>
          </cell>
          <cell r="F194" t="str">
            <v>C1</v>
          </cell>
          <cell r="G194">
            <v>10</v>
          </cell>
          <cell r="H194"/>
          <cell r="I194"/>
          <cell r="J194"/>
          <cell r="K194"/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D195"/>
          <cell r="E195">
            <v>194</v>
          </cell>
          <cell r="F195" t="str">
            <v>C2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D196"/>
          <cell r="E196">
            <v>195</v>
          </cell>
          <cell r="F196" t="str">
            <v>C3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D197"/>
          <cell r="E197">
            <v>196</v>
          </cell>
          <cell r="F197" t="str">
            <v>C4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D198"/>
          <cell r="E198">
            <v>197</v>
          </cell>
          <cell r="F198" t="str">
            <v>C5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D199"/>
          <cell r="E199">
            <v>198</v>
          </cell>
          <cell r="F199" t="str">
            <v>C6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D200"/>
          <cell r="E200">
            <v>199</v>
          </cell>
          <cell r="F200" t="str">
            <v>C7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D201"/>
          <cell r="E201">
            <v>200</v>
          </cell>
          <cell r="F201" t="str">
            <v>C8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D202"/>
          <cell r="E202">
            <v>201</v>
          </cell>
          <cell r="F202" t="str">
            <v>C9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D203"/>
          <cell r="E203">
            <v>202</v>
          </cell>
          <cell r="F203" t="str">
            <v>CA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D204"/>
          <cell r="E204">
            <v>203</v>
          </cell>
          <cell r="F204" t="str">
            <v>CB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D205"/>
          <cell r="E205">
            <v>204</v>
          </cell>
          <cell r="F205" t="str">
            <v>CC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D206"/>
          <cell r="E206">
            <v>205</v>
          </cell>
          <cell r="F206" t="str">
            <v>CD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D207"/>
          <cell r="E207">
            <v>206</v>
          </cell>
          <cell r="F207" t="str">
            <v>CE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D208"/>
          <cell r="E208">
            <v>207</v>
          </cell>
          <cell r="F208" t="str">
            <v>CF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D209"/>
          <cell r="E209">
            <v>208</v>
          </cell>
          <cell r="F209" t="str">
            <v>D0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D210"/>
          <cell r="E210">
            <v>209</v>
          </cell>
          <cell r="F210" t="str">
            <v>D1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</row>
        <row r="211">
          <cell r="A211" t="str">
            <v>Hypnos</v>
          </cell>
          <cell r="B211" t="str">
            <v>Hypnos</v>
          </cell>
          <cell r="C211" t="str">
            <v>Hypnos</v>
          </cell>
          <cell r="D211"/>
          <cell r="E211">
            <v>210</v>
          </cell>
          <cell r="F211" t="str">
            <v>D2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D212"/>
          <cell r="E212">
            <v>211</v>
          </cell>
          <cell r="F212" t="str">
            <v>D3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</row>
        <row r="213">
          <cell r="A213" t="str">
            <v>Cobweb</v>
          </cell>
          <cell r="B213" t="str">
            <v>Cobweb</v>
          </cell>
          <cell r="C213" t="str">
            <v>Cobweb</v>
          </cell>
          <cell r="D213"/>
          <cell r="E213">
            <v>212</v>
          </cell>
          <cell r="F213" t="str">
            <v>D4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</row>
        <row r="214">
          <cell r="A214" t="str">
            <v>Blitz</v>
          </cell>
          <cell r="B214" t="str">
            <v>Blitz</v>
          </cell>
          <cell r="C214" t="str">
            <v>Blitz</v>
          </cell>
          <cell r="D214"/>
          <cell r="E214">
            <v>213</v>
          </cell>
          <cell r="F214" t="str">
            <v>D5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 t="str">
            <v xml:space="preserve"> Mana +0</v>
          </cell>
        </row>
        <row r="215">
          <cell r="A215" t="str">
            <v>Drain</v>
          </cell>
          <cell r="B215" t="str">
            <v>Drain</v>
          </cell>
          <cell r="C215" t="str">
            <v>Drain</v>
          </cell>
          <cell r="D215"/>
          <cell r="E215">
            <v>214</v>
          </cell>
          <cell r="F215" t="str">
            <v>D6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D216"/>
          <cell r="E216">
            <v>215</v>
          </cell>
          <cell r="F216" t="str">
            <v>D7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D217"/>
          <cell r="E217">
            <v>216</v>
          </cell>
          <cell r="F217" t="str">
            <v>D8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D218"/>
          <cell r="E218">
            <v>217</v>
          </cell>
          <cell r="F218" t="str">
            <v>D9</v>
          </cell>
          <cell r="G218">
            <v>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D219"/>
          <cell r="E219">
            <v>218</v>
          </cell>
          <cell r="F219" t="str">
            <v>DA</v>
          </cell>
          <cell r="G219">
            <v>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D220"/>
          <cell r="E220">
            <v>219</v>
          </cell>
          <cell r="F220" t="str">
            <v>DB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D221"/>
          <cell r="E221">
            <v>220</v>
          </cell>
          <cell r="F221" t="str">
            <v>DC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D222"/>
          <cell r="E222">
            <v>221</v>
          </cell>
          <cell r="F222" t="str">
            <v>DD</v>
          </cell>
          <cell r="G222">
            <v>10</v>
          </cell>
          <cell r="H222"/>
          <cell r="I222"/>
          <cell r="J222"/>
          <cell r="K222"/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D223"/>
          <cell r="E223">
            <v>222</v>
          </cell>
          <cell r="F223" t="str">
            <v>DE</v>
          </cell>
          <cell r="G223">
            <v>1</v>
          </cell>
          <cell r="H223"/>
          <cell r="I223"/>
          <cell r="J223"/>
          <cell r="K223"/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D224"/>
          <cell r="E224">
            <v>223</v>
          </cell>
          <cell r="F224" t="str">
            <v>DF</v>
          </cell>
          <cell r="G224">
            <v>5</v>
          </cell>
          <cell r="H224"/>
          <cell r="I224"/>
          <cell r="J224"/>
          <cell r="K224"/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D225"/>
          <cell r="E225">
            <v>224</v>
          </cell>
          <cell r="F225" t="str">
            <v>E0</v>
          </cell>
          <cell r="G225">
            <v>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D226"/>
          <cell r="E226">
            <v>225</v>
          </cell>
          <cell r="F226" t="str">
            <v>E1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D227"/>
          <cell r="E227">
            <v>226</v>
          </cell>
          <cell r="F227" t="str">
            <v>E2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D228"/>
          <cell r="E228">
            <v>227</v>
          </cell>
          <cell r="F228" t="str">
            <v>E3</v>
          </cell>
          <cell r="G228">
            <v>-2</v>
          </cell>
          <cell r="H228"/>
          <cell r="I228"/>
          <cell r="J228"/>
          <cell r="K228"/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D229"/>
          <cell r="E229">
            <v>228</v>
          </cell>
          <cell r="F229" t="str">
            <v>E4</v>
          </cell>
          <cell r="G229">
            <v>-2</v>
          </cell>
          <cell r="H229"/>
          <cell r="I229"/>
          <cell r="J229"/>
          <cell r="K229"/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D230"/>
          <cell r="E230">
            <v>229</v>
          </cell>
          <cell r="F230" t="str">
            <v>E5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D244"/>
          <cell r="E244">
            <v>243</v>
          </cell>
          <cell r="F244" t="str">
            <v>F3</v>
          </cell>
          <cell r="G244">
            <v>30</v>
          </cell>
          <cell r="H244"/>
          <cell r="I244"/>
          <cell r="J244"/>
          <cell r="K244"/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D245"/>
          <cell r="E245">
            <v>244</v>
          </cell>
          <cell r="F245" t="str">
            <v>F4</v>
          </cell>
          <cell r="G245">
            <v>30</v>
          </cell>
          <cell r="H245"/>
          <cell r="I245"/>
          <cell r="J245"/>
          <cell r="K245"/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D247"/>
          <cell r="E247">
            <v>246</v>
          </cell>
          <cell r="F247" t="str">
            <v>F6</v>
          </cell>
          <cell r="G247">
            <v>15</v>
          </cell>
          <cell r="H247"/>
          <cell r="I247"/>
          <cell r="J247"/>
          <cell r="K247"/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D249"/>
          <cell r="E249">
            <v>253</v>
          </cell>
          <cell r="F249" t="str">
            <v>FD</v>
          </cell>
          <cell r="G249">
            <v>30</v>
          </cell>
          <cell r="H249"/>
          <cell r="I249"/>
          <cell r="J249"/>
          <cell r="K249"/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D250"/>
          <cell r="E250">
            <v>254</v>
          </cell>
          <cell r="F250" t="str">
            <v>FE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H251"/>
          <cell r="I251"/>
          <cell r="J251"/>
          <cell r="K251"/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H252"/>
          <cell r="I252"/>
          <cell r="J252"/>
          <cell r="K252"/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E259"/>
          <cell r="F259"/>
          <cell r="G259">
            <v>-2</v>
          </cell>
          <cell r="H259"/>
          <cell r="I259"/>
          <cell r="J259"/>
          <cell r="K259"/>
          <cell r="L259"/>
          <cell r="M259"/>
        </row>
        <row r="260">
          <cell r="A260" t="str">
            <v>Tremor</v>
          </cell>
          <cell r="B260" t="str">
            <v>Tremor</v>
          </cell>
          <cell r="C260"/>
          <cell r="D260"/>
          <cell r="E260"/>
          <cell r="F260"/>
          <cell r="G260">
            <v>-2</v>
          </cell>
          <cell r="H260"/>
          <cell r="I260"/>
          <cell r="J260"/>
          <cell r="K260"/>
          <cell r="L260">
            <v>0</v>
          </cell>
          <cell r="M260"/>
        </row>
        <row r="261">
          <cell r="A261" t="str">
            <v>kW B-Exp</v>
          </cell>
          <cell r="B261" t="str">
            <v>kW B-Exp</v>
          </cell>
          <cell r="C261"/>
          <cell r="D261"/>
          <cell r="E261"/>
          <cell r="F261"/>
          <cell r="G261">
            <v>-2</v>
          </cell>
          <cell r="H261"/>
          <cell r="I261"/>
          <cell r="J261"/>
          <cell r="K261"/>
          <cell r="L261">
            <v>18</v>
          </cell>
          <cell r="M261"/>
        </row>
        <row r="262">
          <cell r="A262" t="str">
            <v>Mini Tank</v>
          </cell>
          <cell r="B262" t="str">
            <v>Mini Tank</v>
          </cell>
          <cell r="C262" t="str">
            <v>Mini Tank</v>
          </cell>
          <cell r="D262" t="str">
            <v>Cannon</v>
          </cell>
          <cell r="G262">
            <v>20</v>
          </cell>
          <cell r="L262">
            <v>45</v>
          </cell>
        </row>
        <row r="263">
          <cell r="A263" t="str">
            <v>Spark Book</v>
          </cell>
          <cell r="B263" t="str">
            <v>Spark Book</v>
          </cell>
          <cell r="C263" t="str">
            <v>Spark</v>
          </cell>
          <cell r="D263" t="str">
            <v>Book</v>
          </cell>
          <cell r="G263">
            <v>30</v>
          </cell>
          <cell r="L263">
            <v>0</v>
          </cell>
        </row>
        <row r="264">
          <cell r="A264" t="str">
            <v>PowerUp</v>
          </cell>
          <cell r="B264" t="str">
            <v>PowerUp</v>
          </cell>
          <cell r="C264" t="str">
            <v>PowerUp</v>
          </cell>
          <cell r="G264">
            <v>15</v>
          </cell>
          <cell r="L264">
            <v>0</v>
          </cell>
        </row>
        <row r="265">
          <cell r="A265" t="str">
            <v>Windstorm</v>
          </cell>
          <cell r="B265" t="str">
            <v>Windstorm</v>
          </cell>
          <cell r="G265">
            <v>15</v>
          </cell>
        </row>
        <row r="266">
          <cell r="A266" t="str">
            <v>Sandblast</v>
          </cell>
          <cell r="B266" t="str">
            <v>Sandblast</v>
          </cell>
          <cell r="G266">
            <v>15</v>
          </cell>
        </row>
        <row r="267">
          <cell r="A267" t="str">
            <v>Green Belt</v>
          </cell>
          <cell r="B267" t="str">
            <v>Green Belt</v>
          </cell>
          <cell r="G267">
            <v>-2</v>
          </cell>
          <cell r="I267">
            <v>3</v>
          </cell>
          <cell r="J267" t="str">
            <v>Str, Agl, Mana</v>
          </cell>
          <cell r="K267">
            <v>3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5" sqref="T5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5" bestFit="1" customWidth="1"/>
    <col min="4" max="4" width="16.85546875" style="1" customWidth="1"/>
    <col min="5" max="5" width="9.5703125" style="1" bestFit="1" customWidth="1"/>
    <col min="6" max="6" width="9.5703125" style="1" customWidth="1"/>
    <col min="7" max="7" width="9.140625" style="3"/>
    <col min="8" max="8" width="9.140625" style="6"/>
    <col min="9" max="9" width="9.140625" style="13"/>
    <col min="10" max="10" width="9.140625" style="1"/>
    <col min="11" max="11" width="9.140625" style="3"/>
    <col min="12" max="12" width="9.140625" style="6"/>
    <col min="13" max="13" width="9.140625" style="13"/>
    <col min="14" max="14" width="9.140625" style="1"/>
    <col min="15" max="15" width="9.140625" style="3"/>
    <col min="16" max="16" width="14.85546875" style="6" bestFit="1" customWidth="1"/>
    <col min="17" max="18" width="7.7109375" style="15" customWidth="1"/>
    <col min="19" max="19" width="14.85546875" style="6" bestFit="1" customWidth="1"/>
    <col min="20" max="21" width="7.7109375" style="15" customWidth="1"/>
    <col min="22" max="22" width="13.7109375" style="6" bestFit="1" customWidth="1"/>
    <col min="23" max="24" width="7.7109375" style="15" customWidth="1"/>
    <col min="25" max="25" width="12.42578125" style="6" bestFit="1" customWidth="1"/>
    <col min="26" max="27" width="7.7109375" style="15" customWidth="1"/>
    <col min="28" max="28" width="13.42578125" style="6" bestFit="1" customWidth="1"/>
    <col min="29" max="30" width="7.7109375" style="15" customWidth="1"/>
    <col min="31" max="31" width="12.7109375" style="6" bestFit="1" customWidth="1"/>
    <col min="32" max="33" width="7.7109375" style="15" customWidth="1"/>
    <col min="34" max="34" width="12.28515625" style="6" bestFit="1" customWidth="1"/>
    <col min="35" max="36" width="7.7109375" style="15" customWidth="1"/>
    <col min="37" max="37" width="9.140625" style="6"/>
    <col min="38" max="39" width="7.7109375" style="15" customWidth="1"/>
    <col min="40" max="40" width="20.28515625" style="6" customWidth="1"/>
    <col min="41" max="42" width="9.28515625" style="15" customWidth="1"/>
    <col min="43" max="43" width="20.28515625" style="1" customWidth="1"/>
    <col min="44" max="44" width="23.42578125" style="1" customWidth="1"/>
    <col min="45" max="45" width="9.140625" style="1"/>
    <col min="46" max="46" width="12.5703125" style="1" customWidth="1"/>
    <col min="47" max="16384" width="9.140625" style="1"/>
  </cols>
  <sheetData>
    <row r="1" spans="1:46" s="33" customFormat="1" ht="30" x14ac:dyDescent="0.25">
      <c r="A1" s="15" t="s">
        <v>19</v>
      </c>
      <c r="B1" s="26" t="s">
        <v>42</v>
      </c>
      <c r="C1" s="40" t="s">
        <v>74</v>
      </c>
      <c r="D1" s="26" t="s">
        <v>41</v>
      </c>
      <c r="E1" s="26" t="s">
        <v>40</v>
      </c>
      <c r="F1" s="40" t="s">
        <v>72</v>
      </c>
      <c r="G1" s="27" t="s">
        <v>39</v>
      </c>
      <c r="H1" s="28" t="s">
        <v>46</v>
      </c>
      <c r="I1" s="29" t="s">
        <v>38</v>
      </c>
      <c r="J1" s="30" t="s">
        <v>47</v>
      </c>
      <c r="K1" s="27" t="s">
        <v>37</v>
      </c>
      <c r="L1" s="28" t="s">
        <v>48</v>
      </c>
      <c r="M1" s="29" t="s">
        <v>36</v>
      </c>
      <c r="N1" s="30" t="s">
        <v>49</v>
      </c>
      <c r="O1" s="27" t="s">
        <v>35</v>
      </c>
      <c r="P1" s="31" t="s">
        <v>34</v>
      </c>
      <c r="Q1" s="14" t="s">
        <v>52</v>
      </c>
      <c r="R1" s="39" t="s">
        <v>64</v>
      </c>
      <c r="S1" s="31" t="s">
        <v>33</v>
      </c>
      <c r="T1" s="14" t="s">
        <v>54</v>
      </c>
      <c r="U1" s="39" t="s">
        <v>65</v>
      </c>
      <c r="V1" s="31" t="s">
        <v>32</v>
      </c>
      <c r="W1" s="14" t="s">
        <v>55</v>
      </c>
      <c r="X1" s="39" t="s">
        <v>66</v>
      </c>
      <c r="Y1" s="31" t="s">
        <v>31</v>
      </c>
      <c r="Z1" s="14" t="s">
        <v>56</v>
      </c>
      <c r="AA1" s="39" t="s">
        <v>67</v>
      </c>
      <c r="AB1" s="31" t="s">
        <v>30</v>
      </c>
      <c r="AC1" s="14" t="s">
        <v>57</v>
      </c>
      <c r="AD1" s="39" t="s">
        <v>68</v>
      </c>
      <c r="AE1" s="31" t="s">
        <v>29</v>
      </c>
      <c r="AF1" s="14" t="s">
        <v>58</v>
      </c>
      <c r="AG1" s="39" t="s">
        <v>69</v>
      </c>
      <c r="AH1" s="31" t="s">
        <v>28</v>
      </c>
      <c r="AI1" s="14" t="s">
        <v>59</v>
      </c>
      <c r="AJ1" s="39" t="s">
        <v>70</v>
      </c>
      <c r="AK1" s="31" t="s">
        <v>27</v>
      </c>
      <c r="AL1" s="14" t="s">
        <v>60</v>
      </c>
      <c r="AM1" s="39" t="s">
        <v>71</v>
      </c>
      <c r="AN1" s="28" t="s">
        <v>50</v>
      </c>
      <c r="AO1" s="14" t="s">
        <v>53</v>
      </c>
      <c r="AP1" s="40" t="s">
        <v>73</v>
      </c>
      <c r="AQ1" s="30" t="s">
        <v>51</v>
      </c>
      <c r="AR1" s="32" t="s">
        <v>45</v>
      </c>
      <c r="AS1" s="42" t="s">
        <v>75</v>
      </c>
      <c r="AT1" s="42" t="s">
        <v>76</v>
      </c>
    </row>
    <row r="2" spans="1:46" x14ac:dyDescent="0.25">
      <c r="A2" s="1" t="str">
        <f t="shared" ref="A2:A18" si="0">B2</f>
        <v>Jaelyn</v>
      </c>
      <c r="B2" s="45" t="s">
        <v>77</v>
      </c>
      <c r="C2" s="41" t="s">
        <v>141</v>
      </c>
      <c r="D2" s="50" t="s">
        <v>78</v>
      </c>
      <c r="E2" s="45" t="s">
        <v>63</v>
      </c>
      <c r="F2" s="38">
        <v>107</v>
      </c>
      <c r="G2" s="3">
        <v>107</v>
      </c>
      <c r="H2" s="6">
        <v>3</v>
      </c>
      <c r="I2" s="13">
        <f>H2</f>
        <v>3</v>
      </c>
      <c r="J2" s="12">
        <v>0</v>
      </c>
      <c r="K2" s="3">
        <f>J2+_xlfn.IFNA(VLOOKUP($P2,[1]Weapon!$A$1:$M$301,9,FALSE),0)+_xlfn.IFNA(VLOOKUP($S2,[1]Weapon!$A$1:$M$301,9,FALSE),0)+_xlfn.IFNA(VLOOKUP($V2,[1]Weapon!$A$1:$M$301,9,FALSE),0)+_xlfn.IFNA(VLOOKUP($Y2,[1]Weapon!$A$1:$M$301,9,FALSE),0)+_xlfn.IFNA(VLOOKUP($AB2,[1]Weapon!$A$1:$M$301,9,FALSE),0)+_xlfn.IFNA(VLOOKUP($AE2,[1]Weapon!$A$1:$M$301,9,FALSE),0)+_xlfn.IFNA(VLOOKUP($AH2,[1]Weapon!$A$1:$M$301,9,FALSE),0)+_xlfn.IFNA(VLOOKUP($AK2,[1]Weapon!$A$1:$M$301,9,FALSE),0)</f>
        <v>11</v>
      </c>
      <c r="L2" s="6">
        <v>6</v>
      </c>
      <c r="M2" s="13">
        <f>L2+5</f>
        <v>11</v>
      </c>
      <c r="N2" s="12">
        <v>12</v>
      </c>
      <c r="O2" s="3">
        <f>N2</f>
        <v>12</v>
      </c>
      <c r="P2" s="47" t="s">
        <v>114</v>
      </c>
      <c r="Q2" s="15">
        <v>13</v>
      </c>
      <c r="R2" s="15">
        <f>_xlfn.IFNA(IF($E2="Robot",VLOOKUP(P2,[1]Weapon!$B$1:$G$300,6,FALSE)/2,VLOOKUP(P2,[1]Weapon!$B$1:$G$300,6,FALSE)),0)</f>
        <v>15</v>
      </c>
      <c r="S2" s="47" t="s">
        <v>115</v>
      </c>
      <c r="T2" s="15">
        <v>-1</v>
      </c>
      <c r="U2" s="15">
        <f>_xlfn.IFNA(IF($E2="Robot",VLOOKUP(S2,[1]Weapon!$B$1:$G$300,6,FALSE)/2,VLOOKUP(S2,[1]Weapon!$B$1:$G$300,6,FALSE)),0)</f>
        <v>-2</v>
      </c>
      <c r="V2" s="47" t="s">
        <v>135</v>
      </c>
      <c r="W2" s="15">
        <v>15</v>
      </c>
      <c r="X2" s="15">
        <f>_xlfn.IFNA(IF($E2="Robot",VLOOKUP(V2,[1]Weapon!$B$1:$G$300,6,FALSE)/2,VLOOKUP(V2,[1]Weapon!$B$1:$G$300,6,FALSE)),0)</f>
        <v>15</v>
      </c>
      <c r="Y2" s="48" t="s">
        <v>142</v>
      </c>
      <c r="Z2" s="25">
        <v>14</v>
      </c>
      <c r="AA2" s="15">
        <f>_xlfn.IFNA(IF($E2="Robot",VLOOKUP(Y2,[1]Weapon!$B$1:$G$300,6,FALSE)/2,VLOOKUP(Y2,[1]Weapon!$B$1:$G$300,6,FALSE)),0)</f>
        <v>15</v>
      </c>
      <c r="AB2" s="47" t="s">
        <v>109</v>
      </c>
      <c r="AC2" s="15">
        <v>50</v>
      </c>
      <c r="AD2" s="15">
        <f>_xlfn.IFNA(IF($E2="Robot",VLOOKUP(AB2,[1]Weapon!$B$1:$G$300,6,FALSE)/2,VLOOKUP(AB2,[1]Weapon!$B$1:$G$300,6,FALSE)),0)</f>
        <v>50</v>
      </c>
      <c r="AE2" s="59" t="s">
        <v>157</v>
      </c>
      <c r="AF2" s="15">
        <v>-1</v>
      </c>
      <c r="AG2" s="15">
        <f>_xlfn.IFNA(IF($E2="Robot",VLOOKUP(AE2,[1]Weapon!$B$1:$G$300,6,FALSE)/2,VLOOKUP(AE2,[1]Weapon!$B$1:$G$300,6,FALSE)),0)</f>
        <v>-2</v>
      </c>
      <c r="AH2" s="47" t="s">
        <v>107</v>
      </c>
      <c r="AI2" s="15">
        <v>-1</v>
      </c>
      <c r="AJ2" s="15">
        <f>_xlfn.IFNA(IF($E2="Robot",VLOOKUP(AH2,[1]Weapon!$B$1:$G$300,6,FALSE)/2,VLOOKUP(AH2,[1]Weapon!$B$1:$G$300,6,FALSE)),0)</f>
        <v>-2</v>
      </c>
      <c r="AK2" s="6" t="s">
        <v>141</v>
      </c>
      <c r="AL2" s="15">
        <v>-1</v>
      </c>
      <c r="AM2" s="15">
        <f>_xlfn.IFNA(IF($E2="Robot",VLOOKUP(AK2,[1]Weapon!$B$1:$G$300,6,FALSE)/2,VLOOKUP(AK2,[1]Weapon!$B$1:$G$300,6,FALSE)),0)</f>
        <v>0</v>
      </c>
      <c r="AN2" s="6" t="s">
        <v>141</v>
      </c>
      <c r="AO2" s="15">
        <v>0</v>
      </c>
      <c r="AP2" s="15">
        <f>_xlfn.IFNA(IF($E2="Robot",VLOOKUP(AN2,[1]Weapon!$B$1:$G$300,6,FALSE)/2,VLOOKUP(AN2,[1]Weapon!$B$1:$G$300,6,FALSE)),0)</f>
        <v>0</v>
      </c>
      <c r="AQ2" s="4" t="s">
        <v>141</v>
      </c>
      <c r="AR2" s="4" t="s">
        <v>141</v>
      </c>
      <c r="AS2" s="1">
        <v>148</v>
      </c>
      <c r="AT2" s="1" t="s">
        <v>141</v>
      </c>
    </row>
    <row r="3" spans="1:46" x14ac:dyDescent="0.25">
      <c r="A3" s="1" t="str">
        <f t="shared" si="0"/>
        <v>Rando</v>
      </c>
      <c r="B3" s="45" t="s">
        <v>79</v>
      </c>
      <c r="C3" s="41" t="s">
        <v>141</v>
      </c>
      <c r="D3" s="50" t="s">
        <v>80</v>
      </c>
      <c r="E3" s="58" t="s">
        <v>151</v>
      </c>
      <c r="F3" s="54">
        <v>156</v>
      </c>
      <c r="G3" s="3">
        <f>IF(ISBLANK(VLOOKUP($E3,[1]Monster!$A$2:$X$257,10,FALSE)),"",VLOOKUP($E3,[1]Monster!$A$2:$X$257,10,FALSE))</f>
        <v>156</v>
      </c>
      <c r="H3" s="6">
        <f>IF(ISBLANK(VLOOKUP($E3,[1]Monster!$A$2:$X$257,11,FALSE)),"",VLOOKUP($E3,[1]Monster!$A$2:$X$257,11,FALSE))</f>
        <v>18</v>
      </c>
      <c r="I3" s="13">
        <f t="shared" ref="I3" si="1">H3</f>
        <v>18</v>
      </c>
      <c r="J3" s="12">
        <f>IF(ISBLANK(VLOOKUP($E3,[1]Monster!$A$2:$X$257,14,FALSE)),"",VLOOKUP($E3,[1]Monster!$A$2:$X$257,14,FALSE))</f>
        <v>17</v>
      </c>
      <c r="K3" s="3">
        <f>J3+_xlfn.IFNA(VLOOKUP($P3,[1]Weapon!$A$1:$M$301,9,FALSE),0)+_xlfn.IFNA(VLOOKUP($S3,[1]Weapon!$A$1:$M$301,9,FALSE),0)+_xlfn.IFNA(VLOOKUP($V3,[1]Weapon!$A$1:$M$301,9,FALSE),0)+_xlfn.IFNA(VLOOKUP($Y3,[1]Weapon!$A$1:$M$301,9,FALSE),0)+_xlfn.IFNA(VLOOKUP($AB3,[1]Weapon!$A$1:$M$301,9,FALSE),0)+_xlfn.IFNA(VLOOKUP($AE3,[1]Weapon!$A$1:$M$301,9,FALSE),0)+_xlfn.IFNA(VLOOKUP($AH3,[1]Weapon!$A$1:$M$301,9,FALSE),0)+_xlfn.IFNA(VLOOKUP($AK3,[1]Weapon!$A$1:$M$301,9,FALSE),0)</f>
        <v>17</v>
      </c>
      <c r="L3" s="6">
        <f>IF(ISBLANK(VLOOKUP($E3,[1]Monster!$A$2:$X$257,12,FALSE)),"",VLOOKUP($E3,[1]Monster!$A$2:$X$257,12,FALSE))</f>
        <v>20</v>
      </c>
      <c r="M3" s="13">
        <f t="shared" ref="M3" si="2">L3</f>
        <v>20</v>
      </c>
      <c r="N3" s="12">
        <f>IF(ISBLANK(VLOOKUP($E3,[1]Monster!$A$2:$X$257,13,FALSE)),"",VLOOKUP($E3,[1]Monster!$A$2:$X$257,13,FALSE))</f>
        <v>21</v>
      </c>
      <c r="O3" s="3">
        <f t="shared" ref="O3" si="3">N3</f>
        <v>21</v>
      </c>
      <c r="P3" s="6" t="str">
        <f>IF(ISBLANK(VLOOKUP($E3,[1]Monster!$A$2:$X$257,16,FALSE)),"",VLOOKUP($E3,[1]Monster!$A$2:$X$257,16,FALSE))</f>
        <v>Stab</v>
      </c>
      <c r="Q3" s="15">
        <v>30</v>
      </c>
      <c r="R3" s="15">
        <f>_xlfn.IFNA(IF($E3="Robot",VLOOKUP(P3,[1]Weapon!$B$1:$G$300,6,FALSE)/2,VLOOKUP(P3,[1]Weapon!$B$1:$G$300,6,FALSE)),0)</f>
        <v>30</v>
      </c>
      <c r="S3" s="6" t="str">
        <f>IF(ISBLANK(VLOOKUP($E3,[1]Monster!$A$2:$X$257,17,FALSE)),"",VLOOKUP($E3,[1]Monster!$A$2:$X$257,17,FALSE))</f>
        <v>Defense</v>
      </c>
      <c r="T3" s="15">
        <v>30</v>
      </c>
      <c r="U3" s="15">
        <f>_xlfn.IFNA(IF($E3="Robot",VLOOKUP(S3,[1]Weapon!$B$1:$G$300,6,FALSE)/2,VLOOKUP(S3,[1]Weapon!$B$1:$G$300,6,FALSE)),0)</f>
        <v>30</v>
      </c>
      <c r="V3" s="6" t="str">
        <f>IF(ISBLANK(VLOOKUP($E3,[1]Monster!$A$2:$X$257,18,FALSE)),"",VLOOKUP($E3,[1]Monster!$A$2:$X$257,18,FALSE))</f>
        <v>O-Change</v>
      </c>
      <c r="W3" s="55">
        <v>-1</v>
      </c>
      <c r="X3" s="15">
        <f>_xlfn.IFNA(IF($E3="Robot",VLOOKUP(V3,[1]Weapon!$B$1:$G$300,6,FALSE)/2,VLOOKUP(V3,[1]Weapon!$B$1:$G$300,6,FALSE)),0)</f>
        <v>-2</v>
      </c>
      <c r="Y3" s="6" t="str">
        <f>IF(ISBLANK(VLOOKUP($E$4,[1]Monster!$A$2:$X$257,19,FALSE)),"",VLOOKUP($E3,[1]Monster!$A$2:$X$257,19,FALSE))</f>
        <v/>
      </c>
      <c r="AA3" s="15">
        <f>_xlfn.IFNA(IF($E3="Robot",VLOOKUP(Y3,[1]Weapon!$B$1:$G$300,6,FALSE)/2,VLOOKUP(Y3,[1]Weapon!$B$1:$G$300,6,FALSE)),0)</f>
        <v>0</v>
      </c>
      <c r="AB3" s="6" t="str">
        <f>IF(ISBLANK(VLOOKUP($E3,[1]Monster!$A$2:$X$257,20,FALSE)),"",VLOOKUP($E3,[1]Monster!$A$2:$X$257,20,FALSE))</f>
        <v/>
      </c>
      <c r="AD3" s="15">
        <f>_xlfn.IFNA(IF($E3="Robot",VLOOKUP(AB3,[1]Weapon!$B$1:$G$300,6,FALSE)/2,VLOOKUP(AB3,[1]Weapon!$B$1:$G$300,6,FALSE)),0)</f>
        <v>0</v>
      </c>
      <c r="AE3" s="6" t="str">
        <f>IF(ISBLANK(VLOOKUP($E3,[1]Monster!$A$2:$X$257,21,FALSE)),"",VLOOKUP($E3,[1]Monster!$A$2:$X$257,21,FALSE))</f>
        <v/>
      </c>
      <c r="AG3" s="15">
        <f>_xlfn.IFNA(IF($E3="Robot",VLOOKUP(AE3,[1]Weapon!$B$1:$G$300,6,FALSE)/2,VLOOKUP(AE3,[1]Weapon!$B$1:$G$300,6,FALSE)),0)</f>
        <v>0</v>
      </c>
      <c r="AH3" s="6" t="str">
        <f>IF(ISBLANK(VLOOKUP($E3,[1]Monster!$A$2:$X$257,22,FALSE)),"",VLOOKUP($E3,[1]Monster!$A$2:$X$257,22,FALSE))</f>
        <v/>
      </c>
      <c r="AJ3" s="15">
        <f>_xlfn.IFNA(IF($E3="Robot",VLOOKUP(AH3,[1]Weapon!$B$1:$G$300,6,FALSE)/2,VLOOKUP(AH3,[1]Weapon!$B$1:$G$300,6,FALSE)),0)</f>
        <v>0</v>
      </c>
      <c r="AK3" s="6" t="str">
        <f>IF(ISBLANK(VLOOKUP($E3,[1]Monster!$A$2:$X$257,23,FALSE)),"",VLOOKUP($E3,[1]Monster!$A$2:$X$257,23,FALSE))</f>
        <v/>
      </c>
      <c r="AM3" s="15">
        <f>_xlfn.IFNA(IF($E3="Robot",VLOOKUP(AK3,[1]Weapon!$B$1:$G$300,6,FALSE)/2,VLOOKUP(AK3,[1]Weapon!$B$1:$G$300,6,FALSE)),0)</f>
        <v>0</v>
      </c>
      <c r="AN3" s="56"/>
      <c r="AO3" s="55">
        <v>0</v>
      </c>
      <c r="AP3" s="15">
        <f>_xlfn.IFNA(IF($E3="Robot",VLOOKUP(AN3,[1]Weapon!$B$1:$G$300,6,FALSE)/2,VLOOKUP(AN3,[1]Weapon!$B$1:$G$300,6,FALSE)),0)</f>
        <v>0</v>
      </c>
      <c r="AQ3" s="54"/>
      <c r="AR3" s="58" t="s">
        <v>162</v>
      </c>
      <c r="AS3" s="1">
        <v>134</v>
      </c>
      <c r="AT3" s="1" t="s">
        <v>141</v>
      </c>
    </row>
    <row r="4" spans="1:46" x14ac:dyDescent="0.25">
      <c r="A4" s="1" t="str">
        <f t="shared" si="0"/>
        <v>XScorpion</v>
      </c>
      <c r="B4" s="45" t="s">
        <v>82</v>
      </c>
      <c r="C4" s="41" t="s">
        <v>141</v>
      </c>
      <c r="D4" s="50" t="s">
        <v>82</v>
      </c>
      <c r="E4" s="58" t="s">
        <v>152</v>
      </c>
      <c r="F4" s="12">
        <v>148</v>
      </c>
      <c r="G4" s="3">
        <f>IF(ISBLANK(VLOOKUP($E4,[1]Monster!$A$2:$X$257,10,FALSE)),"",VLOOKUP($E4,[1]Monster!$A$2:$X$257,10,FALSE))</f>
        <v>148</v>
      </c>
      <c r="H4" s="6">
        <f>IF(ISBLANK(VLOOKUP($E4,[1]Monster!$A$2:$X$257,11,FALSE)),"",VLOOKUP($E4,[1]Monster!$A$2:$X$257,11,FALSE))</f>
        <v>13</v>
      </c>
      <c r="I4" s="13">
        <f t="shared" ref="I4" si="4">H4</f>
        <v>13</v>
      </c>
      <c r="J4" s="12">
        <f>IF(ISBLANK(VLOOKUP($E4,[1]Monster!$A$2:$X$257,14,FALSE)),"",VLOOKUP($E4,[1]Monster!$A$2:$X$257,14,FALSE))</f>
        <v>15</v>
      </c>
      <c r="K4" s="3">
        <f>J4+_xlfn.IFNA(VLOOKUP($P4,[1]Weapon!$A$1:$M$301,9,FALSE),0)+_xlfn.IFNA(VLOOKUP($S4,[1]Weapon!$A$1:$M$301,9,FALSE),0)+_xlfn.IFNA(VLOOKUP($V4,[1]Weapon!$A$1:$M$301,9,FALSE),0)+_xlfn.IFNA(VLOOKUP($Y4,[1]Weapon!$A$1:$M$301,9,FALSE),0)+_xlfn.IFNA(VLOOKUP($AB4,[1]Weapon!$A$1:$M$301,9,FALSE),0)+_xlfn.IFNA(VLOOKUP($AE4,[1]Weapon!$A$1:$M$301,9,FALSE),0)+_xlfn.IFNA(VLOOKUP($AH4,[1]Weapon!$A$1:$M$301,9,FALSE),0)+_xlfn.IFNA(VLOOKUP($AK4,[1]Weapon!$A$1:$M$301,9,FALSE),0)</f>
        <v>15</v>
      </c>
      <c r="L4" s="6">
        <f>IF(ISBLANK(VLOOKUP($E4,[1]Monster!$A$2:$X$257,12,FALSE)),"",VLOOKUP($E4,[1]Monster!$A$2:$X$257,12,FALSE))</f>
        <v>8</v>
      </c>
      <c r="M4" s="13">
        <f t="shared" ref="M4" si="5">L4</f>
        <v>8</v>
      </c>
      <c r="N4" s="12">
        <f>IF(ISBLANK(VLOOKUP($E4,[1]Monster!$A$2:$X$257,13,FALSE)),"",VLOOKUP($E4,[1]Monster!$A$2:$X$257,13,FALSE))</f>
        <v>13</v>
      </c>
      <c r="O4" s="3">
        <f t="shared" ref="O4" si="6">N4</f>
        <v>13</v>
      </c>
      <c r="P4" s="6" t="str">
        <f>IF(ISBLANK(VLOOKUP($E4,[1]Monster!$A$2:$X$257,16,FALSE)),"",VLOOKUP($E4,[1]Monster!$A$2:$X$257,16,FALSE))</f>
        <v>Punch</v>
      </c>
      <c r="Q4" s="15">
        <v>30</v>
      </c>
      <c r="R4" s="15">
        <f>_xlfn.IFNA(IF($E4="Robot",VLOOKUP(P4,[1]Weapon!$B$1:$G$300,6,FALSE)/2,VLOOKUP(P4,[1]Weapon!$B$1:$G$300,6,FALSE)),0)</f>
        <v>30</v>
      </c>
      <c r="S4" s="6" t="str">
        <f>IF(ISBLANK(VLOOKUP($E4,[1]Monster!$A$2:$X$257,17,FALSE)),"",VLOOKUP($E4,[1]Monster!$A$2:$X$257,17,FALSE))</f>
        <v>Kick</v>
      </c>
      <c r="T4" s="15">
        <v>15</v>
      </c>
      <c r="U4" s="15">
        <f>_xlfn.IFNA(IF($E4="Robot",VLOOKUP(S4,[1]Weapon!$B$1:$G$300,6,FALSE)/2,VLOOKUP(S4,[1]Weapon!$B$1:$G$300,6,FALSE)),0)</f>
        <v>15</v>
      </c>
      <c r="V4" s="6" t="str">
        <f>IF(ISBLANK(VLOOKUP($E4,[1]Monster!$A$2:$X$257,18,FALSE)),"",VLOOKUP($E4,[1]Monster!$A$2:$X$257,18,FALSE))</f>
        <v>X-Fire</v>
      </c>
      <c r="W4" s="34">
        <v>-1</v>
      </c>
      <c r="X4" s="15">
        <f>_xlfn.IFNA(IF($E4="Robot",VLOOKUP(V4,[1]Weapon!$B$1:$G$300,6,FALSE)/2,VLOOKUP(V4,[1]Weapon!$B$1:$G$300,6,FALSE)),0)</f>
        <v>-2</v>
      </c>
      <c r="Y4" s="56" t="s">
        <v>141</v>
      </c>
      <c r="Z4" s="15">
        <v>-1</v>
      </c>
      <c r="AA4" s="15">
        <f>_xlfn.IFNA(IF($E4="Robot",VLOOKUP(Y4,[1]Weapon!$B$1:$G$300,6,FALSE)/2,VLOOKUP(Y4,[1]Weapon!$B$1:$G$300,6,FALSE)),0)</f>
        <v>0</v>
      </c>
      <c r="AB4" s="6" t="s">
        <v>141</v>
      </c>
      <c r="AC4" s="15">
        <v>-1</v>
      </c>
      <c r="AD4" s="15">
        <f>_xlfn.IFNA(IF($E4="Robot",VLOOKUP(AB4,[1]Weapon!$B$1:$G$300,6,FALSE)/2,VLOOKUP(AB4,[1]Weapon!$B$1:$G$300,6,FALSE)),0)</f>
        <v>0</v>
      </c>
      <c r="AE4" s="6" t="s">
        <v>141</v>
      </c>
      <c r="AF4" s="15">
        <v>-1</v>
      </c>
      <c r="AG4" s="15">
        <f>_xlfn.IFNA(IF($E4="Robot",VLOOKUP(AE4,[1]Weapon!$B$1:$G$300,6,FALSE)/2,VLOOKUP(AE4,[1]Weapon!$B$1:$G$300,6,FALSE)),0)</f>
        <v>0</v>
      </c>
      <c r="AH4" s="6" t="s">
        <v>141</v>
      </c>
      <c r="AI4" s="15">
        <v>-1</v>
      </c>
      <c r="AJ4" s="15">
        <f>_xlfn.IFNA(IF($E4="Robot",VLOOKUP(AH4,[1]Weapon!$B$1:$G$300,6,FALSE)/2,VLOOKUP(AH4,[1]Weapon!$B$1:$G$300,6,FALSE)),0)</f>
        <v>0</v>
      </c>
      <c r="AK4" s="6" t="s">
        <v>141</v>
      </c>
      <c r="AL4" s="15">
        <v>-1</v>
      </c>
      <c r="AM4" s="15">
        <f>_xlfn.IFNA(IF($E4="Robot",VLOOKUP(AK4,[1]Weapon!$B$1:$G$300,6,FALSE)/2,VLOOKUP(AK4,[1]Weapon!$B$1:$G$300,6,FALSE)),0)</f>
        <v>0</v>
      </c>
      <c r="AN4" s="6" t="s">
        <v>141</v>
      </c>
      <c r="AO4" s="15">
        <v>0</v>
      </c>
      <c r="AP4" s="15">
        <f>_xlfn.IFNA(IF($E4="Robot",VLOOKUP(AN4,[1]Weapon!$B$1:$G$300,6,FALSE)/2,VLOOKUP(AN4,[1]Weapon!$B$1:$G$300,6,FALSE)),0)</f>
        <v>0</v>
      </c>
      <c r="AQ4" s="1" t="s">
        <v>141</v>
      </c>
      <c r="AR4" s="1" t="s">
        <v>141</v>
      </c>
      <c r="AS4" s="1">
        <v>134</v>
      </c>
      <c r="AT4" s="1" t="s">
        <v>141</v>
      </c>
    </row>
    <row r="5" spans="1:46" x14ac:dyDescent="0.25">
      <c r="A5" s="1" t="str">
        <f t="shared" si="0"/>
        <v>Bubble</v>
      </c>
      <c r="B5" s="45" t="s">
        <v>81</v>
      </c>
      <c r="C5" s="41" t="s">
        <v>141</v>
      </c>
      <c r="D5" s="50" t="s">
        <v>83</v>
      </c>
      <c r="E5" s="45" t="s">
        <v>62</v>
      </c>
      <c r="F5" s="1">
        <v>111</v>
      </c>
      <c r="G5" s="3">
        <v>111</v>
      </c>
      <c r="H5" s="6">
        <v>12</v>
      </c>
      <c r="I5" s="13">
        <v>13</v>
      </c>
      <c r="J5" s="12">
        <v>0</v>
      </c>
      <c r="K5" s="3">
        <f>J5+_xlfn.IFNA(VLOOKUP($P5,[1]Weapon!$A$1:$M$301,9,FALSE),0)+_xlfn.IFNA(VLOOKUP($S5,[1]Weapon!$A$1:$M$301,9,FALSE),0)+_xlfn.IFNA(VLOOKUP($V5,[1]Weapon!$A$1:$M$301,9,FALSE),0)+_xlfn.IFNA(VLOOKUP($Y5,[1]Weapon!$A$1:$M$301,9,FALSE),0)+_xlfn.IFNA(VLOOKUP($AB5,[1]Weapon!$A$1:$M$301,9,FALSE),0)+_xlfn.IFNA(VLOOKUP($AE5,[1]Weapon!$A$1:$M$301,9,FALSE),0)+_xlfn.IFNA(VLOOKUP($AH5,[1]Weapon!$A$1:$M$301,9,FALSE),0)+_xlfn.IFNA(VLOOKUP($AK5,[1]Weapon!$A$1:$M$301,9,FALSE),0)</f>
        <v>10</v>
      </c>
      <c r="L5" s="6">
        <v>6</v>
      </c>
      <c r="M5" s="13">
        <f>L5+10</f>
        <v>16</v>
      </c>
      <c r="N5" s="12">
        <v>3</v>
      </c>
      <c r="O5" s="3">
        <f t="shared" ref="O5:O16" si="7">N5</f>
        <v>3</v>
      </c>
      <c r="P5" s="47" t="s">
        <v>43</v>
      </c>
      <c r="Q5" s="16">
        <v>46</v>
      </c>
      <c r="R5" s="15">
        <f>_xlfn.IFNA(IF($E5="Robot",VLOOKUP(P5,[1]Weapon!$B$1:$G$300,6,FALSE)/2,VLOOKUP(P5,[1]Weapon!$B$1:$G$300,6,FALSE)),0)</f>
        <v>50</v>
      </c>
      <c r="S5" s="47" t="s">
        <v>119</v>
      </c>
      <c r="T5" s="15">
        <v>39</v>
      </c>
      <c r="U5" s="15">
        <f>_xlfn.IFNA(IF($E5="Robot",VLOOKUP(S5,[1]Weapon!$B$1:$G$300,6,FALSE)/2,VLOOKUP(S5,[1]Weapon!$B$1:$G$300,6,FALSE)),0)</f>
        <v>40</v>
      </c>
      <c r="V5" s="47" t="s">
        <v>118</v>
      </c>
      <c r="W5" s="35">
        <v>9</v>
      </c>
      <c r="X5" s="15">
        <f>_xlfn.IFNA(IF($E5="Robot",VLOOKUP(V5,[1]Weapon!$B$1:$G$300,6,FALSE)/2,VLOOKUP(V5,[1]Weapon!$B$1:$G$300,6,FALSE)),0)</f>
        <v>40</v>
      </c>
      <c r="Y5" s="47" t="s">
        <v>116</v>
      </c>
      <c r="Z5" s="15">
        <v>-1</v>
      </c>
      <c r="AA5" s="15">
        <f>_xlfn.IFNA(IF($E5="Robot",VLOOKUP(Y5,[1]Weapon!$B$1:$G$300,6,FALSE)/2,VLOOKUP(Y5,[1]Weapon!$B$1:$G$300,6,FALSE)),0)</f>
        <v>-2</v>
      </c>
      <c r="AB5" s="47" t="s">
        <v>108</v>
      </c>
      <c r="AC5" s="15">
        <v>-1</v>
      </c>
      <c r="AD5" s="15">
        <f>_xlfn.IFNA(IF($E5="Robot",VLOOKUP(AB5,[1]Weapon!$B$1:$G$300,6,FALSE)/2,VLOOKUP(AB5,[1]Weapon!$B$1:$G$300,6,FALSE)),0)</f>
        <v>-2</v>
      </c>
      <c r="AE5" s="47" t="s">
        <v>107</v>
      </c>
      <c r="AF5" s="15">
        <v>-1</v>
      </c>
      <c r="AG5" s="15">
        <f>_xlfn.IFNA(IF($E5="Robot",VLOOKUP(AE5,[1]Weapon!$B$1:$G$300,6,FALSE)/2,VLOOKUP(AE5,[1]Weapon!$B$1:$G$300,6,FALSE)),0)</f>
        <v>-2</v>
      </c>
      <c r="AH5" s="59" t="s">
        <v>158</v>
      </c>
      <c r="AI5" s="15">
        <v>-1</v>
      </c>
      <c r="AJ5" s="15">
        <f>_xlfn.IFNA(IF($E5="Robot",VLOOKUP(AH5,[1]Weapon!$B$1:$G$300,6,FALSE)/2,VLOOKUP(AH5,[1]Weapon!$B$1:$G$300,6,FALSE)),0)</f>
        <v>-2</v>
      </c>
      <c r="AK5" s="6" t="s">
        <v>141</v>
      </c>
      <c r="AL5" s="15">
        <v>-1</v>
      </c>
      <c r="AM5" s="15">
        <f>_xlfn.IFNA(IF($E5="Robot",VLOOKUP(AK5,[1]Weapon!$B$1:$G$300,6,FALSE)/2,VLOOKUP(AK5,[1]Weapon!$B$1:$G$300,6,FALSE)),0)</f>
        <v>0</v>
      </c>
      <c r="AN5" s="6" t="s">
        <v>141</v>
      </c>
      <c r="AO5" s="15">
        <v>0</v>
      </c>
      <c r="AP5" s="15">
        <f>_xlfn.IFNA(IF($E5="Robot",VLOOKUP(AN5,[1]Weapon!$B$1:$G$300,6,FALSE)/2,VLOOKUP(AN5,[1]Weapon!$B$1:$G$300,6,FALSE)),0)</f>
        <v>0</v>
      </c>
      <c r="AQ5" s="1" t="s">
        <v>141</v>
      </c>
      <c r="AR5" s="1" t="s">
        <v>141</v>
      </c>
      <c r="AS5" s="1">
        <v>192</v>
      </c>
      <c r="AT5" s="1" t="s">
        <v>141</v>
      </c>
    </row>
    <row r="6" spans="1:46" x14ac:dyDescent="0.25">
      <c r="A6" s="1" t="str">
        <f t="shared" si="0"/>
        <v>Trog</v>
      </c>
      <c r="B6" s="46" t="s">
        <v>103</v>
      </c>
      <c r="C6" s="41" t="s">
        <v>141</v>
      </c>
      <c r="D6" s="50" t="s">
        <v>84</v>
      </c>
      <c r="E6" s="46" t="s">
        <v>62</v>
      </c>
      <c r="F6" s="38">
        <v>110</v>
      </c>
      <c r="G6" s="3">
        <v>110</v>
      </c>
      <c r="H6" s="6">
        <v>8</v>
      </c>
      <c r="I6" s="13">
        <f>H6+3</f>
        <v>11</v>
      </c>
      <c r="J6" s="12">
        <v>0</v>
      </c>
      <c r="K6" s="3">
        <f>J6+_xlfn.IFNA(VLOOKUP($P6,[1]Weapon!$A$1:$M$301,9,FALSE),0)+_xlfn.IFNA(VLOOKUP($S6,[1]Weapon!$A$1:$M$301,9,FALSE),0)+_xlfn.IFNA(VLOOKUP($V6,[1]Weapon!$A$1:$M$301,9,FALSE),0)+_xlfn.IFNA(VLOOKUP($Y6,[1]Weapon!$A$1:$M$301,9,FALSE),0)+_xlfn.IFNA(VLOOKUP($AB6,[1]Weapon!$A$1:$M$301,9,FALSE),0)+_xlfn.IFNA(VLOOKUP($AE6,[1]Weapon!$A$1:$M$301,9,FALSE),0)+_xlfn.IFNA(VLOOKUP($AH6,[1]Weapon!$A$1:$M$301,9,FALSE),0)+_xlfn.IFNA(VLOOKUP($AK6,[1]Weapon!$A$1:$M$301,9,FALSE),0)</f>
        <v>10</v>
      </c>
      <c r="L6" s="6">
        <v>9</v>
      </c>
      <c r="M6" s="13">
        <f>L6+3</f>
        <v>12</v>
      </c>
      <c r="N6" s="12">
        <v>6</v>
      </c>
      <c r="O6" s="3">
        <f>N6+3</f>
        <v>9</v>
      </c>
      <c r="P6" s="47" t="s">
        <v>120</v>
      </c>
      <c r="Q6" s="15">
        <v>48</v>
      </c>
      <c r="R6" s="15">
        <f>_xlfn.IFNA(IF($E6="Robot",VLOOKUP(P6,[1]Weapon!$B$1:$G$300,6,FALSE)/2,VLOOKUP(P6,[1]Weapon!$B$1:$G$300,6,FALSE)),0)</f>
        <v>60</v>
      </c>
      <c r="S6" s="47" t="s">
        <v>121</v>
      </c>
      <c r="T6" s="23">
        <v>49</v>
      </c>
      <c r="U6" s="15">
        <f>_xlfn.IFNA(IF($E6="Robot",VLOOKUP(S6,[1]Weapon!$B$1:$G$300,6,FALSE)/2,VLOOKUP(S6,[1]Weapon!$B$1:$G$300,6,FALSE)),0)</f>
        <v>50</v>
      </c>
      <c r="V6" s="47" t="s">
        <v>116</v>
      </c>
      <c r="W6" s="36">
        <v>-1</v>
      </c>
      <c r="X6" s="15">
        <f>_xlfn.IFNA(IF($E6="Robot",VLOOKUP(V6,[1]Weapon!$B$1:$G$300,6,FALSE)/2,VLOOKUP(V6,[1]Weapon!$B$1:$G$300,6,FALSE)),0)</f>
        <v>-2</v>
      </c>
      <c r="Y6" s="47" t="s">
        <v>125</v>
      </c>
      <c r="Z6" s="36">
        <v>-1</v>
      </c>
      <c r="AA6" s="15">
        <f>_xlfn.IFNA(IF($E6="Robot",VLOOKUP(Y6,[1]Weapon!$B$1:$G$300,6,FALSE)/2,VLOOKUP(Y6,[1]Weapon!$B$1:$G$300,6,FALSE)),0)</f>
        <v>-2</v>
      </c>
      <c r="AB6" s="48" t="s">
        <v>143</v>
      </c>
      <c r="AC6" s="37">
        <v>2</v>
      </c>
      <c r="AD6" s="15">
        <f>_xlfn.IFNA(IF($E6="Robot",VLOOKUP(AB6,[1]Weapon!$B$1:$G$300,6,FALSE)/2,VLOOKUP(AB6,[1]Weapon!$B$1:$G$300,6,FALSE)),0)</f>
        <v>4</v>
      </c>
      <c r="AE6" s="59" t="s">
        <v>159</v>
      </c>
      <c r="AF6" s="22">
        <v>-1</v>
      </c>
      <c r="AG6" s="15">
        <f>_xlfn.IFNA(IF($E6="Robot",VLOOKUP(AE6,[1]Weapon!$B$1:$G$300,6,FALSE)/2,VLOOKUP(AE6,[1]Weapon!$B$1:$G$300,6,FALSE)),0)</f>
        <v>-2</v>
      </c>
      <c r="AH6" s="6" t="s">
        <v>141</v>
      </c>
      <c r="AI6" s="15">
        <v>-1</v>
      </c>
      <c r="AJ6" s="15">
        <f>_xlfn.IFNA(IF($E6="Robot",VLOOKUP(AH6,[1]Weapon!$B$1:$G$300,6,FALSE)/2,VLOOKUP(AH6,[1]Weapon!$B$1:$G$300,6,FALSE)),0)</f>
        <v>0</v>
      </c>
      <c r="AK6" s="6" t="s">
        <v>141</v>
      </c>
      <c r="AL6" s="15">
        <v>-1</v>
      </c>
      <c r="AM6" s="15">
        <f>_xlfn.IFNA(IF($E6="Robot",VLOOKUP(AK6,[1]Weapon!$B$1:$G$300,6,FALSE)/2,VLOOKUP(AK6,[1]Weapon!$B$1:$G$300,6,FALSE)),0)</f>
        <v>0</v>
      </c>
      <c r="AN6" s="9" t="s">
        <v>141</v>
      </c>
      <c r="AO6" s="20">
        <v>0</v>
      </c>
      <c r="AP6" s="15">
        <f>_xlfn.IFNA(IF($E6="Robot",VLOOKUP(AN6,[1]Weapon!$B$1:$G$300,6,FALSE)/2,VLOOKUP(AN6,[1]Weapon!$B$1:$G$300,6,FALSE)),0)</f>
        <v>0</v>
      </c>
      <c r="AQ6" s="4" t="s">
        <v>141</v>
      </c>
      <c r="AR6" s="1" t="s">
        <v>141</v>
      </c>
      <c r="AS6" s="1">
        <v>166</v>
      </c>
      <c r="AT6" s="1" t="s">
        <v>141</v>
      </c>
    </row>
    <row r="7" spans="1:46" x14ac:dyDescent="0.25">
      <c r="A7" s="1" t="str">
        <f t="shared" si="0"/>
        <v>Sandy</v>
      </c>
      <c r="B7" s="45" t="s">
        <v>85</v>
      </c>
      <c r="C7" s="41" t="s">
        <v>141</v>
      </c>
      <c r="D7" s="50" t="s">
        <v>86</v>
      </c>
      <c r="E7" s="45" t="s">
        <v>62</v>
      </c>
      <c r="F7" s="2">
        <v>104</v>
      </c>
      <c r="G7" s="3">
        <v>104</v>
      </c>
      <c r="H7" s="6">
        <v>4</v>
      </c>
      <c r="I7" s="13">
        <f>H7+10</f>
        <v>14</v>
      </c>
      <c r="J7" s="12">
        <v>0</v>
      </c>
      <c r="K7" s="3">
        <f>J7+_xlfn.IFNA(VLOOKUP($P7,[1]Weapon!$A$1:$M$301,9,FALSE),0)+_xlfn.IFNA(VLOOKUP($S7,[1]Weapon!$A$1:$M$301,9,FALSE),0)+_xlfn.IFNA(VLOOKUP($V7,[1]Weapon!$A$1:$M$301,9,FALSE),0)+_xlfn.IFNA(VLOOKUP($Y7,[1]Weapon!$A$1:$M$301,9,FALSE),0)+_xlfn.IFNA(VLOOKUP($AB7,[1]Weapon!$A$1:$M$301,9,FALSE),0)+_xlfn.IFNA(VLOOKUP($AE7,[1]Weapon!$A$1:$M$301,9,FALSE),0)+_xlfn.IFNA(VLOOKUP($AH7,[1]Weapon!$A$1:$M$301,9,FALSE),0)+_xlfn.IFNA(VLOOKUP($AK7,[1]Weapon!$A$1:$M$301,9,FALSE),0)</f>
        <v>11</v>
      </c>
      <c r="L7" s="6">
        <v>8</v>
      </c>
      <c r="M7" s="13">
        <f t="shared" ref="M7:M14" si="8">L7</f>
        <v>8</v>
      </c>
      <c r="N7" s="12">
        <v>10</v>
      </c>
      <c r="O7" s="3">
        <f t="shared" si="7"/>
        <v>10</v>
      </c>
      <c r="P7" s="47" t="s">
        <v>122</v>
      </c>
      <c r="Q7" s="15">
        <v>4</v>
      </c>
      <c r="R7" s="15">
        <f>_xlfn.IFNA(IF($E7="Robot",VLOOKUP(P7,[1]Weapon!$B$1:$G$300,6,FALSE)/2,VLOOKUP(P7,[1]Weapon!$B$1:$G$300,6,FALSE)),0)</f>
        <v>30</v>
      </c>
      <c r="S7" s="47" t="s">
        <v>123</v>
      </c>
      <c r="T7" s="15">
        <v>30</v>
      </c>
      <c r="U7" s="15">
        <f>_xlfn.IFNA(IF($E7="Robot",VLOOKUP(S7,[1]Weapon!$B$1:$G$300,6,FALSE)/2,VLOOKUP(S7,[1]Weapon!$B$1:$G$300,6,FALSE)),0)</f>
        <v>30</v>
      </c>
      <c r="V7" s="47" t="s">
        <v>124</v>
      </c>
      <c r="W7" s="36">
        <v>22</v>
      </c>
      <c r="X7" s="15">
        <f>_xlfn.IFNA(IF($E7="Robot",VLOOKUP(V7,[1]Weapon!$B$1:$G$300,6,FALSE)/2,VLOOKUP(V7,[1]Weapon!$B$1:$G$300,6,FALSE)),0)</f>
        <v>30</v>
      </c>
      <c r="Y7" s="47"/>
      <c r="Z7" s="15">
        <v>-1</v>
      </c>
      <c r="AA7" s="15">
        <f>_xlfn.IFNA(IF($E7="Robot",VLOOKUP(Y7,[1]Weapon!$B$1:$G$300,6,FALSE)/2,VLOOKUP(Y7,[1]Weapon!$B$1:$G$300,6,FALSE)),0)</f>
        <v>0</v>
      </c>
      <c r="AB7" s="47" t="s">
        <v>108</v>
      </c>
      <c r="AC7" s="15">
        <v>-1</v>
      </c>
      <c r="AD7" s="15">
        <f>_xlfn.IFNA(IF($E7="Robot",VLOOKUP(AB7,[1]Weapon!$B$1:$G$300,6,FALSE)/2,VLOOKUP(AB7,[1]Weapon!$B$1:$G$300,6,FALSE)),0)</f>
        <v>-2</v>
      </c>
      <c r="AE7" s="47" t="s">
        <v>109</v>
      </c>
      <c r="AF7" s="15">
        <v>50</v>
      </c>
      <c r="AG7" s="15">
        <f>_xlfn.IFNA(IF($E7="Robot",VLOOKUP(AE7,[1]Weapon!$B$1:$G$300,6,FALSE)/2,VLOOKUP(AE7,[1]Weapon!$B$1:$G$300,6,FALSE)),0)</f>
        <v>50</v>
      </c>
      <c r="AH7" s="59" t="s">
        <v>116</v>
      </c>
      <c r="AI7" s="15">
        <v>-1</v>
      </c>
      <c r="AJ7" s="15">
        <f>_xlfn.IFNA(IF($E7="Robot",VLOOKUP(AH7,[1]Weapon!$B$1:$G$300,6,FALSE)/2,VLOOKUP(AH7,[1]Weapon!$B$1:$G$300,6,FALSE)),0)</f>
        <v>-2</v>
      </c>
      <c r="AK7" s="59" t="s">
        <v>160</v>
      </c>
      <c r="AL7" s="15">
        <v>-1</v>
      </c>
      <c r="AM7" s="15">
        <f>_xlfn.IFNA(IF($E7="Robot",VLOOKUP(AK7,[1]Weapon!$B$1:$G$300,6,FALSE)/2,VLOOKUP(AK7,[1]Weapon!$B$1:$G$300,6,FALSE)),0)</f>
        <v>-2</v>
      </c>
      <c r="AN7" s="9" t="s">
        <v>141</v>
      </c>
      <c r="AO7" s="20">
        <v>0</v>
      </c>
      <c r="AP7" s="15">
        <f>_xlfn.IFNA(IF($E7="Robot",VLOOKUP(AN7,[1]Weapon!$B$1:$G$300,6,FALSE)/2,VLOOKUP(AN7,[1]Weapon!$B$1:$G$300,6,FALSE)),0)</f>
        <v>0</v>
      </c>
      <c r="AQ7" s="1" t="s">
        <v>141</v>
      </c>
      <c r="AR7" s="1" t="s">
        <v>141</v>
      </c>
      <c r="AS7" s="1">
        <v>343</v>
      </c>
      <c r="AT7" s="1" t="s">
        <v>141</v>
      </c>
    </row>
    <row r="8" spans="1:46" x14ac:dyDescent="0.25">
      <c r="A8" s="1" t="str">
        <f t="shared" si="0"/>
        <v>Astrid</v>
      </c>
      <c r="B8" s="45" t="s">
        <v>87</v>
      </c>
      <c r="C8" s="41" t="s">
        <v>141</v>
      </c>
      <c r="D8" s="50" t="s">
        <v>88</v>
      </c>
      <c r="E8" s="45" t="s">
        <v>63</v>
      </c>
      <c r="F8" s="38">
        <v>114</v>
      </c>
      <c r="G8" s="3">
        <v>114</v>
      </c>
      <c r="H8" s="6">
        <v>8</v>
      </c>
      <c r="I8" s="13">
        <f t="shared" ref="I8:I13" si="9">H8</f>
        <v>8</v>
      </c>
      <c r="J8" s="12">
        <v>0</v>
      </c>
      <c r="K8" s="3">
        <f>J8+_xlfn.IFNA(VLOOKUP($P8,[1]Weapon!$A$1:$M$301,9,FALSE),0)+_xlfn.IFNA(VLOOKUP($S8,[1]Weapon!$A$1:$M$301,9,FALSE),0)+_xlfn.IFNA(VLOOKUP($V8,[1]Weapon!$A$1:$M$301,9,FALSE),0)+_xlfn.IFNA(VLOOKUP($Y8,[1]Weapon!$A$1:$M$301,9,FALSE),0)+_xlfn.IFNA(VLOOKUP($AB8,[1]Weapon!$A$1:$M$301,9,FALSE),0)+_xlfn.IFNA(VLOOKUP($AE8,[1]Weapon!$A$1:$M$301,9,FALSE),0)+_xlfn.IFNA(VLOOKUP($AH8,[1]Weapon!$A$1:$M$301,9,FALSE),0)+_xlfn.IFNA(VLOOKUP($AK8,[1]Weapon!$A$1:$M$301,9,FALSE),0)</f>
        <v>11</v>
      </c>
      <c r="L8" s="6">
        <v>9</v>
      </c>
      <c r="M8" s="13">
        <f t="shared" si="8"/>
        <v>9</v>
      </c>
      <c r="N8" s="12">
        <v>9</v>
      </c>
      <c r="O8" s="3">
        <f t="shared" si="7"/>
        <v>9</v>
      </c>
      <c r="P8" s="47" t="s">
        <v>128</v>
      </c>
      <c r="Q8" s="17">
        <v>13</v>
      </c>
      <c r="R8" s="15">
        <f>_xlfn.IFNA(IF($E8="Robot",VLOOKUP(P8,[1]Weapon!$B$1:$G$300,6,FALSE)/2,VLOOKUP(P8,[1]Weapon!$B$1:$G$300,6,FALSE)),0)</f>
        <v>15</v>
      </c>
      <c r="S8" s="47" t="s">
        <v>127</v>
      </c>
      <c r="T8" s="24">
        <v>-1</v>
      </c>
      <c r="U8" s="15">
        <f>_xlfn.IFNA(IF($E8="Robot",VLOOKUP(S8,[1]Weapon!$B$1:$G$300,6,FALSE)/2,VLOOKUP(S8,[1]Weapon!$B$1:$G$300,6,FALSE)),0)</f>
        <v>-2</v>
      </c>
      <c r="V8" s="47" t="s">
        <v>129</v>
      </c>
      <c r="W8" s="25">
        <v>-1</v>
      </c>
      <c r="X8" s="15">
        <f>_xlfn.IFNA(IF($E8="Robot",VLOOKUP(V8,[1]Weapon!$B$1:$G$300,6,FALSE)/2,VLOOKUP(V8,[1]Weapon!$B$1:$G$300,6,FALSE)),0)</f>
        <v>-2</v>
      </c>
      <c r="Y8" s="10" t="s">
        <v>141</v>
      </c>
      <c r="Z8" s="25">
        <v>-1</v>
      </c>
      <c r="AA8" s="15">
        <f>_xlfn.IFNA(IF($E8="Robot",VLOOKUP(Y8,[1]Weapon!$B$1:$G$300,6,FALSE)/2,VLOOKUP(Y8,[1]Weapon!$B$1:$G$300,6,FALSE)),0)</f>
        <v>0</v>
      </c>
      <c r="AB8" s="47" t="s">
        <v>120</v>
      </c>
      <c r="AC8" s="15">
        <v>38</v>
      </c>
      <c r="AD8" s="15">
        <f>_xlfn.IFNA(IF($E8="Robot",VLOOKUP(AB8,[1]Weapon!$B$1:$G$300,6,FALSE)/2,VLOOKUP(AB8,[1]Weapon!$B$1:$G$300,6,FALSE)),0)</f>
        <v>60</v>
      </c>
      <c r="AE8" s="47" t="s">
        <v>117</v>
      </c>
      <c r="AF8" s="15">
        <v>-1</v>
      </c>
      <c r="AG8" s="15">
        <f>_xlfn.IFNA(IF($E8="Robot",VLOOKUP(AE8,[1]Weapon!$B$1:$G$300,6,FALSE)/2,VLOOKUP(AE8,[1]Weapon!$B$1:$G$300,6,FALSE)),0)</f>
        <v>-2</v>
      </c>
      <c r="AH8" s="59" t="s">
        <v>125</v>
      </c>
      <c r="AI8" s="15">
        <v>-1</v>
      </c>
      <c r="AJ8" s="15">
        <f>_xlfn.IFNA(IF($E8="Robot",VLOOKUP(AH8,[1]Weapon!$B$1:$G$300,6,FALSE)/2,VLOOKUP(AH8,[1]Weapon!$B$1:$G$300,6,FALSE)),0)</f>
        <v>-2</v>
      </c>
      <c r="AK8" s="6" t="s">
        <v>141</v>
      </c>
      <c r="AL8" s="15">
        <v>-1</v>
      </c>
      <c r="AM8" s="15">
        <f>_xlfn.IFNA(IF($E8="Robot",VLOOKUP(AK8,[1]Weapon!$B$1:$G$300,6,FALSE)/2,VLOOKUP(AK8,[1]Weapon!$B$1:$G$300,6,FALSE)),0)</f>
        <v>0</v>
      </c>
      <c r="AN8" s="6" t="s">
        <v>141</v>
      </c>
      <c r="AO8" s="15">
        <v>0</v>
      </c>
      <c r="AP8" s="15">
        <f>_xlfn.IFNA(IF($E8="Robot",VLOOKUP(AN8,[1]Weapon!$B$1:$G$300,6,FALSE)/2,VLOOKUP(AN8,[1]Weapon!$B$1:$G$300,6,FALSE)),0)</f>
        <v>0</v>
      </c>
      <c r="AQ8" s="1" t="s">
        <v>141</v>
      </c>
      <c r="AR8" s="1" t="s">
        <v>141</v>
      </c>
      <c r="AS8" s="1">
        <v>301</v>
      </c>
      <c r="AT8" s="1" t="s">
        <v>141</v>
      </c>
    </row>
    <row r="9" spans="1:46" x14ac:dyDescent="0.25">
      <c r="A9" s="1" t="str">
        <f t="shared" si="0"/>
        <v>Obrez</v>
      </c>
      <c r="B9" s="45" t="s">
        <v>89</v>
      </c>
      <c r="C9" s="41" t="s">
        <v>141</v>
      </c>
      <c r="D9" s="50" t="s">
        <v>90</v>
      </c>
      <c r="E9" s="45" t="s">
        <v>26</v>
      </c>
      <c r="F9" s="38">
        <v>132</v>
      </c>
      <c r="G9" s="3">
        <f>24+_xlfn.IFNA(VLOOKUP($P9,[1]Weapon!$A$1:$M$301,12,FALSE),0)+_xlfn.IFNA(VLOOKUP($S9,[1]Weapon!$A$1:$M$301,12,FALSE),0)+_xlfn.IFNA(VLOOKUP($V9,[1]Weapon!$A$1:$M$301,12,FALSE),0)+_xlfn.IFNA(VLOOKUP($Y9,[1]Weapon!$A$1:$M$301,12,FALSE),0)+_xlfn.IFNA(VLOOKUP($AB9,[1]Weapon!$A$1:$M$301,12,FALSE),0)+_xlfn.IFNA(VLOOKUP($AE9,[1]Weapon!$A$1:$M$301,12,FALSE),0)+_xlfn.IFNA(VLOOKUP($AH9,[1]Weapon!$A$1:$M$301,12,FALSE),0)+_xlfn.IFNA(VLOOKUP($AK9,[1]Weapon!$A$1:$M$301,12,FALSE),0)</f>
        <v>132</v>
      </c>
      <c r="H9" s="6">
        <v>0</v>
      </c>
      <c r="I9" s="13">
        <f>H9+6</f>
        <v>6</v>
      </c>
      <c r="J9" s="12">
        <v>6</v>
      </c>
      <c r="K9" s="3">
        <f>J9+4+2</f>
        <v>12</v>
      </c>
      <c r="L9" s="6">
        <v>5</v>
      </c>
      <c r="M9" s="13">
        <f t="shared" si="8"/>
        <v>5</v>
      </c>
      <c r="N9" s="12">
        <v>0</v>
      </c>
      <c r="O9" s="3">
        <f t="shared" si="7"/>
        <v>0</v>
      </c>
      <c r="P9" s="7" t="s">
        <v>105</v>
      </c>
      <c r="Q9" s="18">
        <v>-1</v>
      </c>
      <c r="R9" s="15">
        <f>_xlfn.IFNA(IF($E9="Robot",VLOOKUP(P9,[1]Weapon!$B$1:$G$300,6,FALSE)/2,VLOOKUP(P9,[1]Weapon!$B$1:$G$300,6,FALSE)),0)</f>
        <v>-1</v>
      </c>
      <c r="S9" s="47" t="s">
        <v>112</v>
      </c>
      <c r="T9" s="25">
        <v>25</v>
      </c>
      <c r="U9" s="15">
        <f>_xlfn.IFNA(IF($E9="Robot",VLOOKUP(S9,[1]Weapon!$B$1:$G$300,6,FALSE)/2,VLOOKUP(S9,[1]Weapon!$B$1:$G$300,6,FALSE)),0)</f>
        <v>25</v>
      </c>
      <c r="V9" s="47" t="s">
        <v>113</v>
      </c>
      <c r="W9" s="15">
        <v>7</v>
      </c>
      <c r="X9" s="15">
        <f>_xlfn.IFNA(IF($E9="Robot",VLOOKUP(V9,[1]Weapon!$B$1:$G$300,6,FALSE)/2,VLOOKUP(V9,[1]Weapon!$B$1:$G$300,6,FALSE)),0)</f>
        <v>10</v>
      </c>
      <c r="Y9" s="59" t="s">
        <v>111</v>
      </c>
      <c r="Z9" s="15">
        <v>-1</v>
      </c>
      <c r="AA9" s="15">
        <f>_xlfn.IFNA(IF($E9="Robot",VLOOKUP(Y9,[1]Weapon!$B$1:$G$300,6,FALSE)/2,VLOOKUP(Y9,[1]Weapon!$B$1:$G$300,6,FALSE)),0)</f>
        <v>-1</v>
      </c>
      <c r="AB9" s="6" t="s">
        <v>141</v>
      </c>
      <c r="AC9" s="15">
        <v>-1</v>
      </c>
      <c r="AD9" s="15">
        <f>_xlfn.IFNA(IF($E9="Robot",VLOOKUP(AB9,[1]Weapon!$B$1:$G$300,6,FALSE)/2,VLOOKUP(AB9,[1]Weapon!$B$1:$G$300,6,FALSE)),0)</f>
        <v>0</v>
      </c>
      <c r="AE9" s="6" t="s">
        <v>141</v>
      </c>
      <c r="AF9" s="15">
        <v>-1</v>
      </c>
      <c r="AG9" s="15">
        <f>_xlfn.IFNA(IF($E9="Robot",VLOOKUP(AE9,[1]Weapon!$B$1:$G$300,6,FALSE)/2,VLOOKUP(AE9,[1]Weapon!$B$1:$G$300,6,FALSE)),0)</f>
        <v>0</v>
      </c>
      <c r="AH9" s="6" t="s">
        <v>141</v>
      </c>
      <c r="AI9" s="15">
        <v>-1</v>
      </c>
      <c r="AJ9" s="15">
        <f>_xlfn.IFNA(IF($E9="Robot",VLOOKUP(AH9,[1]Weapon!$B$1:$G$300,6,FALSE)/2,VLOOKUP(AH9,[1]Weapon!$B$1:$G$300,6,FALSE)),0)</f>
        <v>0</v>
      </c>
      <c r="AK9" s="6" t="s">
        <v>141</v>
      </c>
      <c r="AL9" s="15">
        <v>-1</v>
      </c>
      <c r="AM9" s="15">
        <f>_xlfn.IFNA(IF($E9="Robot",VLOOKUP(AK9,[1]Weapon!$B$1:$G$300,6,FALSE)/2,VLOOKUP(AK9,[1]Weapon!$B$1:$G$300,6,FALSE)),0)</f>
        <v>0</v>
      </c>
      <c r="AN9" s="6" t="s">
        <v>141</v>
      </c>
      <c r="AO9" s="15">
        <v>0</v>
      </c>
      <c r="AP9" s="15">
        <f>_xlfn.IFNA(IF($E9="Robot",VLOOKUP(AN9,[1]Weapon!$B$1:$G$300,6,FALSE)/2,VLOOKUP(AN9,[1]Weapon!$B$1:$G$300,6,FALSE)),0)</f>
        <v>0</v>
      </c>
      <c r="AQ9" s="1" t="s">
        <v>141</v>
      </c>
      <c r="AR9" s="1" t="s">
        <v>141</v>
      </c>
      <c r="AS9" s="1">
        <v>378</v>
      </c>
      <c r="AT9" s="1" t="s">
        <v>141</v>
      </c>
    </row>
    <row r="10" spans="1:46" x14ac:dyDescent="0.25">
      <c r="A10" s="1" t="str">
        <f t="shared" si="0"/>
        <v>Elishar</v>
      </c>
      <c r="B10" s="45" t="s">
        <v>91</v>
      </c>
      <c r="C10" s="41" t="s">
        <v>141</v>
      </c>
      <c r="D10" s="50" t="s">
        <v>92</v>
      </c>
      <c r="E10" s="45" t="s">
        <v>26</v>
      </c>
      <c r="F10" s="38">
        <v>105</v>
      </c>
      <c r="G10" s="3">
        <f>24+_xlfn.IFNA(VLOOKUP($P10,[1]Weapon!$A$1:$M$301,12,FALSE),0)+_xlfn.IFNA(VLOOKUP($S10,[1]Weapon!$A$1:$M$301,12,FALSE),0)+_xlfn.IFNA(VLOOKUP($V10,[1]Weapon!$A$1:$M$301,12,FALSE),0)+_xlfn.IFNA(VLOOKUP($Y10,[1]Weapon!$A$1:$M$301,12,FALSE),0)+_xlfn.IFNA(VLOOKUP($AB10,[1]Weapon!$A$1:$M$301,12,FALSE),0)+_xlfn.IFNA(VLOOKUP($AE10,[1]Weapon!$A$1:$M$301,12,FALSE),0)+_xlfn.IFNA(VLOOKUP($AH10,[1]Weapon!$A$1:$M$301,12,FALSE),0)+_xlfn.IFNA(VLOOKUP($AK10,[1]Weapon!$A$1:$M$301,12,FALSE),0)</f>
        <v>105</v>
      </c>
      <c r="H10" s="6">
        <v>0</v>
      </c>
      <c r="I10" s="13">
        <f t="shared" si="9"/>
        <v>0</v>
      </c>
      <c r="J10" s="12">
        <v>6</v>
      </c>
      <c r="K10" s="3">
        <f>J10+4</f>
        <v>10</v>
      </c>
      <c r="L10" s="6">
        <v>5</v>
      </c>
      <c r="M10" s="13">
        <f>L10+4+4</f>
        <v>13</v>
      </c>
      <c r="N10" s="12">
        <v>0</v>
      </c>
      <c r="O10" s="3">
        <f t="shared" si="7"/>
        <v>0</v>
      </c>
      <c r="P10" s="8" t="s">
        <v>105</v>
      </c>
      <c r="Q10" s="19">
        <v>-1</v>
      </c>
      <c r="R10" s="15">
        <f>_xlfn.IFNA(IF($E10="Robot",VLOOKUP(P10,[1]Weapon!$B$1:$G$300,6,FALSE)/2,VLOOKUP(P10,[1]Weapon!$B$1:$G$300,6,FALSE)),0)</f>
        <v>-1</v>
      </c>
      <c r="S10" s="47" t="s">
        <v>110</v>
      </c>
      <c r="T10" s="15">
        <v>21</v>
      </c>
      <c r="U10" s="15">
        <f>_xlfn.IFNA(IF($E10="Robot",VLOOKUP(S10,[1]Weapon!$B$1:$G$300,6,FALSE)/2,VLOOKUP(S10,[1]Weapon!$B$1:$G$300,6,FALSE)),0)</f>
        <v>25</v>
      </c>
      <c r="V10" s="59" t="s">
        <v>156</v>
      </c>
      <c r="W10" s="15">
        <v>25</v>
      </c>
      <c r="X10" s="15">
        <f>_xlfn.IFNA(IF($E10="Robot",VLOOKUP(V10,[1]Weapon!$B$1:$G$300,6,FALSE)/2,VLOOKUP(V10,[1]Weapon!$B$1:$G$300,6,FALSE)),0)</f>
        <v>25</v>
      </c>
      <c r="Y10" s="47" t="s">
        <v>111</v>
      </c>
      <c r="Z10" s="15">
        <v>-1</v>
      </c>
      <c r="AA10" s="15">
        <f>_xlfn.IFNA(IF($E10="Robot",VLOOKUP(Y10,[1]Weapon!$B$1:$G$300,6,FALSE)/2,VLOOKUP(Y10,[1]Weapon!$B$1:$G$300,6,FALSE)),0)</f>
        <v>-1</v>
      </c>
      <c r="AB10" s="47" t="s">
        <v>141</v>
      </c>
      <c r="AC10" s="15">
        <v>-1</v>
      </c>
      <c r="AD10" s="15">
        <f>_xlfn.IFNA(IF($E10="Robot",VLOOKUP(AB10,[1]Weapon!$B$1:$G$300,6,FALSE)/2,VLOOKUP(AB10,[1]Weapon!$B$1:$G$300,6,FALSE)),0)</f>
        <v>0</v>
      </c>
      <c r="AE10" s="47" t="s">
        <v>141</v>
      </c>
      <c r="AF10" s="15">
        <v>-1</v>
      </c>
      <c r="AG10" s="15">
        <f>_xlfn.IFNA(IF($E10="Robot",VLOOKUP(AE10,[1]Weapon!$B$1:$G$300,6,FALSE)/2,VLOOKUP(AE10,[1]Weapon!$B$1:$G$300,6,FALSE)),0)</f>
        <v>0</v>
      </c>
      <c r="AH10" s="6" t="s">
        <v>141</v>
      </c>
      <c r="AI10" s="15">
        <v>-1</v>
      </c>
      <c r="AJ10" s="15">
        <f>_xlfn.IFNA(IF($E10="Robot",VLOOKUP(AH10,[1]Weapon!$B$1:$G$300,6,FALSE)/2,VLOOKUP(AH10,[1]Weapon!$B$1:$G$300,6,FALSE)),0)</f>
        <v>0</v>
      </c>
      <c r="AK10" s="6" t="s">
        <v>141</v>
      </c>
      <c r="AL10" s="15">
        <v>-1</v>
      </c>
      <c r="AM10" s="15">
        <f>_xlfn.IFNA(IF($E10="Robot",VLOOKUP(AK10,[1]Weapon!$B$1:$G$300,6,FALSE)/2,VLOOKUP(AK10,[1]Weapon!$B$1:$G$300,6,FALSE)),0)</f>
        <v>0</v>
      </c>
      <c r="AN10" s="6" t="s">
        <v>141</v>
      </c>
      <c r="AO10" s="15">
        <v>0</v>
      </c>
      <c r="AP10" s="15">
        <f>_xlfn.IFNA(IF($E10="Robot",VLOOKUP(AN10,[1]Weapon!$B$1:$G$300,6,FALSE)/2,VLOOKUP(AN10,[1]Weapon!$B$1:$G$300,6,FALSE)),0)</f>
        <v>0</v>
      </c>
      <c r="AQ10" s="1" t="s">
        <v>141</v>
      </c>
      <c r="AR10" s="58" t="s">
        <v>162</v>
      </c>
      <c r="AS10" s="1">
        <v>166</v>
      </c>
      <c r="AT10" s="1" t="s">
        <v>141</v>
      </c>
    </row>
    <row r="11" spans="1:46" x14ac:dyDescent="0.25">
      <c r="A11" s="1" t="str">
        <f t="shared" si="0"/>
        <v>Tapioca</v>
      </c>
      <c r="B11" s="45" t="s">
        <v>93</v>
      </c>
      <c r="C11" s="41" t="s">
        <v>141</v>
      </c>
      <c r="D11" s="50" t="s">
        <v>94</v>
      </c>
      <c r="E11" s="58" t="s">
        <v>154</v>
      </c>
      <c r="F11" s="38">
        <v>148</v>
      </c>
      <c r="G11" s="3">
        <f>IF(ISBLANK(VLOOKUP($E11,[1]Monster!$A$2:$X$257,10,FALSE)),"",VLOOKUP($E11,[1]Monster!$A$2:$X$257,10,FALSE))</f>
        <v>148</v>
      </c>
      <c r="H11" s="6">
        <f>IF(ISBLANK(VLOOKUP($E11,[1]Monster!$A$2:$X$257,11,FALSE)),"",VLOOKUP($E11,[1]Monster!$A$2:$X$257,11,FALSE))</f>
        <v>15</v>
      </c>
      <c r="I11" s="13">
        <f t="shared" si="9"/>
        <v>15</v>
      </c>
      <c r="J11" s="12">
        <f>IF(ISBLANK(VLOOKUP($E11,[1]Monster!$A$2:$X$257,14,FALSE)),"",VLOOKUP($E11,[1]Monster!$A$2:$X$257,14,FALSE))</f>
        <v>9</v>
      </c>
      <c r="K11" s="3">
        <f>J11+_xlfn.IFNA(VLOOKUP($P11,[1]Weapon!$A$1:$M$301,9,FALSE),0)+_xlfn.IFNA(VLOOKUP($S11,[1]Weapon!$A$1:$M$301,9,FALSE),0)+_xlfn.IFNA(VLOOKUP($V11,[1]Weapon!$A$1:$M$301,9,FALSE),0)+_xlfn.IFNA(VLOOKUP($Y11,[1]Weapon!$A$1:$M$301,9,FALSE),0)+_xlfn.IFNA(VLOOKUP($AB11,[1]Weapon!$A$1:$M$301,9,FALSE),0)+_xlfn.IFNA(VLOOKUP($AE11,[1]Weapon!$A$1:$M$301,9,FALSE),0)+_xlfn.IFNA(VLOOKUP($AH11,[1]Weapon!$A$1:$M$301,9,FALSE),0)+_xlfn.IFNA(VLOOKUP($AK11,[1]Weapon!$A$1:$M$301,9,FALSE),0)</f>
        <v>9</v>
      </c>
      <c r="L11" s="6">
        <f>IF(ISBLANK(VLOOKUP($E11,[1]Monster!$A$2:$X$257,12,FALSE)),"",VLOOKUP($E11,[1]Monster!$A$2:$X$257,12,FALSE))</f>
        <v>12</v>
      </c>
      <c r="M11" s="13">
        <f t="shared" ref="M11" si="10">L11</f>
        <v>12</v>
      </c>
      <c r="N11" s="12">
        <f>IF(ISBLANK(VLOOKUP($E11,[1]Monster!$A$2:$X$257,13,FALSE)),"",VLOOKUP($E11,[1]Monster!$A$2:$X$257,13,FALSE))</f>
        <v>12</v>
      </c>
      <c r="O11" s="3">
        <f t="shared" si="7"/>
        <v>12</v>
      </c>
      <c r="P11" s="6" t="str">
        <f>IF(ISBLANK(VLOOKUP($E11,[1]Monster!$A$2:$X$257,16,FALSE)),"",VLOOKUP($E11,[1]Monster!$A$2:$X$257,16,FALSE))</f>
        <v>Dissolve</v>
      </c>
      <c r="Q11" s="15">
        <v>15</v>
      </c>
      <c r="R11" s="15">
        <f>_xlfn.IFNA(IF($E11="Robot",VLOOKUP(P11,[1]Weapon!$B$1:$G$300,6,FALSE)/2,VLOOKUP(P11,[1]Weapon!$B$1:$G$300,6,FALSE)),0)</f>
        <v>15</v>
      </c>
      <c r="S11" s="6" t="str">
        <f>IF(ISBLANK(VLOOKUP($E11,[1]Monster!$A$2:$X$257,17,FALSE)),"",VLOOKUP($E11,[1]Monster!$A$2:$X$257,17,FALSE))</f>
        <v>Gas</v>
      </c>
      <c r="T11" s="15">
        <v>15</v>
      </c>
      <c r="U11" s="15">
        <f>_xlfn.IFNA(IF($E11="Robot",VLOOKUP(S11,[1]Weapon!$B$1:$G$300,6,FALSE)/2,VLOOKUP(S11,[1]Weapon!$B$1:$G$300,6,FALSE)),0)</f>
        <v>15</v>
      </c>
      <c r="V11" s="6" t="str">
        <f>IF(ISBLANK(VLOOKUP($E11,[1]Monster!$A$2:$X$257,18,FALSE)),"",VLOOKUP($E11,[1]Monster!$A$2:$X$257,18,FALSE))</f>
        <v>X-Thunder</v>
      </c>
      <c r="W11" s="34">
        <v>-1</v>
      </c>
      <c r="X11" s="15">
        <f>_xlfn.IFNA(IF($E11="Robot",VLOOKUP(V11,[1]Weapon!$B$1:$G$300,6,FALSE)/2,VLOOKUP(V11,[1]Weapon!$B$1:$G$300,6,FALSE)),0)</f>
        <v>-2</v>
      </c>
      <c r="Y11" s="56" t="s">
        <v>141</v>
      </c>
      <c r="Z11" s="15">
        <v>-1</v>
      </c>
      <c r="AA11" s="15">
        <f>_xlfn.IFNA(IF($E11="Robot",VLOOKUP(Y11,[1]Weapon!$B$1:$G$300,6,FALSE)/2,VLOOKUP(Y11,[1]Weapon!$B$1:$G$300,6,FALSE)),0)</f>
        <v>0</v>
      </c>
      <c r="AB11" s="6" t="s">
        <v>141</v>
      </c>
      <c r="AC11" s="15">
        <v>-1</v>
      </c>
      <c r="AD11" s="15">
        <f>_xlfn.IFNA(IF($E11="Robot",VLOOKUP(AB11,[1]Weapon!$B$1:$G$300,6,FALSE)/2,VLOOKUP(AB11,[1]Weapon!$B$1:$G$300,6,FALSE)),0)</f>
        <v>0</v>
      </c>
      <c r="AE11" s="6" t="s">
        <v>141</v>
      </c>
      <c r="AF11" s="15">
        <v>-1</v>
      </c>
      <c r="AG11" s="15">
        <f>_xlfn.IFNA(IF($E11="Robot",VLOOKUP(AE11,[1]Weapon!$B$1:$G$300,6,FALSE)/2,VLOOKUP(AE11,[1]Weapon!$B$1:$G$300,6,FALSE)),0)</f>
        <v>0</v>
      </c>
      <c r="AH11" s="6" t="s">
        <v>141</v>
      </c>
      <c r="AI11" s="15">
        <v>-1</v>
      </c>
      <c r="AJ11" s="15">
        <f>_xlfn.IFNA(IF($E11="Robot",VLOOKUP(AH11,[1]Weapon!$B$1:$G$300,6,FALSE)/2,VLOOKUP(AH11,[1]Weapon!$B$1:$G$300,6,FALSE)),0)</f>
        <v>0</v>
      </c>
      <c r="AK11" s="6" t="s">
        <v>141</v>
      </c>
      <c r="AL11" s="15">
        <v>-1</v>
      </c>
      <c r="AM11" s="15">
        <f>_xlfn.IFNA(IF($E11="Robot",VLOOKUP(AK11,[1]Weapon!$B$1:$G$300,6,FALSE)/2,VLOOKUP(AK11,[1]Weapon!$B$1:$G$300,6,FALSE)),0)</f>
        <v>0</v>
      </c>
      <c r="AN11" s="6" t="s">
        <v>141</v>
      </c>
      <c r="AO11" s="15">
        <v>0</v>
      </c>
      <c r="AP11" s="15">
        <f>_xlfn.IFNA(IF($E11="Robot",VLOOKUP(AN11,[1]Weapon!$B$1:$G$300,6,FALSE)/2,VLOOKUP(AN11,[1]Weapon!$B$1:$G$300,6,FALSE)),0)</f>
        <v>0</v>
      </c>
      <c r="AQ11" s="1" t="s">
        <v>141</v>
      </c>
      <c r="AR11" s="1" t="s">
        <v>141</v>
      </c>
      <c r="AS11" s="1">
        <v>301</v>
      </c>
      <c r="AT11" s="1" t="s">
        <v>141</v>
      </c>
    </row>
    <row r="12" spans="1:46" x14ac:dyDescent="0.25">
      <c r="A12" s="1" t="str">
        <f t="shared" si="0"/>
        <v>Terrance</v>
      </c>
      <c r="B12" s="45" t="s">
        <v>99</v>
      </c>
      <c r="C12" s="41" t="s">
        <v>141</v>
      </c>
      <c r="D12" s="50" t="s">
        <v>100</v>
      </c>
      <c r="E12" s="58" t="s">
        <v>153</v>
      </c>
      <c r="F12" s="38">
        <v>126</v>
      </c>
      <c r="G12" s="3">
        <f>IF(ISBLANK(VLOOKUP($E12,[1]Monster!$A$2:$X$257,10,FALSE)),"",VLOOKUP($E12,[1]Monster!$A$2:$X$257,10,FALSE))</f>
        <v>126</v>
      </c>
      <c r="H12" s="6">
        <f>IF(ISBLANK(VLOOKUP($E12,[1]Monster!$A$2:$X$257,11,FALSE)),"",VLOOKUP($E12,[1]Monster!$A$2:$X$257,11,FALSE))</f>
        <v>14</v>
      </c>
      <c r="I12" s="13">
        <f t="shared" ref="I12" si="11">H12</f>
        <v>14</v>
      </c>
      <c r="J12" s="12">
        <f>IF(ISBLANK(VLOOKUP($E12,[1]Monster!$A$2:$X$257,14,FALSE)),"",VLOOKUP($E12,[1]Monster!$A$2:$X$257,14,FALSE))</f>
        <v>13</v>
      </c>
      <c r="K12" s="3">
        <f>J12+_xlfn.IFNA(VLOOKUP($P12,[1]Weapon!$A$1:$M$301,9,FALSE),0)+_xlfn.IFNA(VLOOKUP($S12,[1]Weapon!$A$1:$M$301,9,FALSE),0)+_xlfn.IFNA(VLOOKUP($V12,[1]Weapon!$A$1:$M$301,9,FALSE),0)+_xlfn.IFNA(VLOOKUP($Y12,[1]Weapon!$A$1:$M$301,9,FALSE),0)+_xlfn.IFNA(VLOOKUP($AB12,[1]Weapon!$A$1:$M$301,9,FALSE),0)+_xlfn.IFNA(VLOOKUP($AE12,[1]Weapon!$A$1:$M$301,9,FALSE),0)+_xlfn.IFNA(VLOOKUP($AH12,[1]Weapon!$A$1:$M$301,9,FALSE),0)+_xlfn.IFNA(VLOOKUP($AK12,[1]Weapon!$A$1:$M$301,9,FALSE),0)</f>
        <v>13</v>
      </c>
      <c r="L12" s="6">
        <f>IF(ISBLANK(VLOOKUP($E12,[1]Monster!$A$2:$X$257,12,FALSE)),"",VLOOKUP($E12,[1]Monster!$A$2:$X$257,12,FALSE))</f>
        <v>14</v>
      </c>
      <c r="M12" s="13">
        <f t="shared" ref="M12" si="12">L12</f>
        <v>14</v>
      </c>
      <c r="N12" s="12">
        <f>IF(ISBLANK(VLOOKUP($E12,[1]Monster!$A$2:$X$257,13,FALSE)),"",VLOOKUP($E12,[1]Monster!$A$2:$X$257,13,FALSE))</f>
        <v>10</v>
      </c>
      <c r="O12" s="3">
        <f t="shared" ref="O12" si="13">N12</f>
        <v>10</v>
      </c>
      <c r="P12" s="6" t="str">
        <f>IF(ISBLANK(VLOOKUP($E12,[1]Monster!$A$2:$X$257,16,FALSE)),"",VLOOKUP($E12,[1]Monster!$A$2:$X$257,16,FALSE))</f>
        <v>Kick</v>
      </c>
      <c r="Q12" s="15">
        <v>15</v>
      </c>
      <c r="R12" s="15">
        <f>_xlfn.IFNA(IF($E12="Robot",VLOOKUP(P12,[1]Weapon!$B$1:$G$300,6,FALSE)/2,VLOOKUP(P12,[1]Weapon!$B$1:$G$300,6,FALSE)),0)</f>
        <v>15</v>
      </c>
      <c r="S12" s="6" t="str">
        <f>IF(ISBLANK(VLOOKUP($E12,[1]Monster!$A$2:$X$257,17,FALSE)),"",VLOOKUP($E12,[1]Monster!$A$2:$X$257,17,FALSE))</f>
        <v>Breath</v>
      </c>
      <c r="T12" s="15">
        <v>20</v>
      </c>
      <c r="U12" s="15">
        <f>_xlfn.IFNA(IF($E12="Robot",VLOOKUP(S12,[1]Weapon!$B$1:$G$300,6,FALSE)/2,VLOOKUP(S12,[1]Weapon!$B$1:$G$300,6,FALSE)),0)</f>
        <v>20</v>
      </c>
      <c r="V12" s="6" t="str">
        <f>IF(ISBLANK(VLOOKUP($E12,[1]Monster!$A$2:$X$257,18,FALSE)),"",VLOOKUP($E12,[1]Monster!$A$2:$X$257,18,FALSE))</f>
        <v/>
      </c>
      <c r="W12" s="34">
        <v>-1</v>
      </c>
      <c r="X12" s="15">
        <f>_xlfn.IFNA(IF($E12="Robot",VLOOKUP(V12,[1]Weapon!$B$1:$G$300,6,FALSE)/2,VLOOKUP(V12,[1]Weapon!$B$1:$G$300,6,FALSE)),0)</f>
        <v>0</v>
      </c>
      <c r="Y12" s="56" t="s">
        <v>141</v>
      </c>
      <c r="Z12" s="15">
        <v>-1</v>
      </c>
      <c r="AA12" s="15">
        <f>_xlfn.IFNA(IF($E12="Robot",VLOOKUP(Y12,[1]Weapon!$B$1:$G$300,6,FALSE)/2,VLOOKUP(Y12,[1]Weapon!$B$1:$G$300,6,FALSE)),0)</f>
        <v>0</v>
      </c>
      <c r="AB12" s="6" t="s">
        <v>141</v>
      </c>
      <c r="AC12" s="15">
        <v>-1</v>
      </c>
      <c r="AD12" s="15">
        <f>_xlfn.IFNA(IF($E12="Robot",VLOOKUP(AB12,[1]Weapon!$B$1:$G$300,6,FALSE)/2,VLOOKUP(AB12,[1]Weapon!$B$1:$G$300,6,FALSE)),0)</f>
        <v>0</v>
      </c>
      <c r="AE12" s="6" t="s">
        <v>141</v>
      </c>
      <c r="AF12" s="15">
        <v>-1</v>
      </c>
      <c r="AG12" s="15">
        <f>_xlfn.IFNA(IF($E12="Robot",VLOOKUP(AE12,[1]Weapon!$B$1:$G$300,6,FALSE)/2,VLOOKUP(AE12,[1]Weapon!$B$1:$G$300,6,FALSE)),0)</f>
        <v>0</v>
      </c>
      <c r="AH12" s="6" t="s">
        <v>141</v>
      </c>
      <c r="AI12" s="15">
        <v>-1</v>
      </c>
      <c r="AJ12" s="15">
        <f>_xlfn.IFNA(IF($E12="Robot",VLOOKUP(AH12,[1]Weapon!$B$1:$G$300,6,FALSE)/2,VLOOKUP(AH12,[1]Weapon!$B$1:$G$300,6,FALSE)),0)</f>
        <v>0</v>
      </c>
      <c r="AK12" s="6" t="s">
        <v>141</v>
      </c>
      <c r="AL12" s="15">
        <v>-1</v>
      </c>
      <c r="AM12" s="15">
        <f>_xlfn.IFNA(IF($E12="Robot",VLOOKUP(AK12,[1]Weapon!$B$1:$G$300,6,FALSE)/2,VLOOKUP(AK12,[1]Weapon!$B$1:$G$300,6,FALSE)),0)</f>
        <v>0</v>
      </c>
      <c r="AN12" s="6" t="s">
        <v>141</v>
      </c>
      <c r="AO12" s="15">
        <v>0</v>
      </c>
      <c r="AP12" s="15">
        <f>_xlfn.IFNA(IF($E12="Robot",VLOOKUP(AN12,[1]Weapon!$B$1:$G$300,6,FALSE)/2,VLOOKUP(AN12,[1]Weapon!$B$1:$G$300,6,FALSE)),0)</f>
        <v>0</v>
      </c>
      <c r="AQ12" s="1" t="s">
        <v>141</v>
      </c>
      <c r="AR12" s="1" t="s">
        <v>141</v>
      </c>
      <c r="AS12" s="1">
        <v>174</v>
      </c>
      <c r="AT12" s="1" t="s">
        <v>141</v>
      </c>
    </row>
    <row r="13" spans="1:46" x14ac:dyDescent="0.25">
      <c r="A13" s="1" t="str">
        <f t="shared" si="0"/>
        <v>Tsumetai</v>
      </c>
      <c r="B13" s="45" t="s">
        <v>95</v>
      </c>
      <c r="C13" s="41" t="s">
        <v>141</v>
      </c>
      <c r="D13" s="50" t="s">
        <v>96</v>
      </c>
      <c r="E13" s="45" t="s">
        <v>63</v>
      </c>
      <c r="F13" s="38">
        <v>99</v>
      </c>
      <c r="G13" s="3">
        <v>99</v>
      </c>
      <c r="H13" s="6">
        <v>4</v>
      </c>
      <c r="I13" s="13">
        <f t="shared" si="9"/>
        <v>4</v>
      </c>
      <c r="J13" s="12">
        <v>0</v>
      </c>
      <c r="K13" s="3">
        <f>J13+_xlfn.IFNA(VLOOKUP($P13,[1]Weapon!$A$1:$M$301,9,FALSE),0)+_xlfn.IFNA(VLOOKUP($S13,[1]Weapon!$A$1:$M$301,9,FALSE),0)+_xlfn.IFNA(VLOOKUP($V13,[1]Weapon!$A$1:$M$301,9,FALSE),0)+_xlfn.IFNA(VLOOKUP($Y13,[1]Weapon!$A$1:$M$301,9,FALSE),0)+_xlfn.IFNA(VLOOKUP($AB13,[1]Weapon!$A$1:$M$301,9,FALSE),0)+_xlfn.IFNA(VLOOKUP($AE13,[1]Weapon!$A$1:$M$301,9,FALSE),0)+_xlfn.IFNA(VLOOKUP($AH13,[1]Weapon!$A$1:$M$301,9,FALSE),0)+_xlfn.IFNA(VLOOKUP($AK13,[1]Weapon!$A$1:$M$301,9,FALSE),0)</f>
        <v>11</v>
      </c>
      <c r="L13" s="6">
        <v>13</v>
      </c>
      <c r="M13" s="13">
        <f t="shared" si="8"/>
        <v>13</v>
      </c>
      <c r="N13" s="12">
        <v>8</v>
      </c>
      <c r="O13" s="3">
        <f t="shared" si="7"/>
        <v>8</v>
      </c>
      <c r="P13" s="47" t="s">
        <v>130</v>
      </c>
      <c r="Q13" s="21">
        <v>13</v>
      </c>
      <c r="R13" s="15">
        <f>_xlfn.IFNA(IF($E13="Robot",VLOOKUP(P13,[1]Weapon!$B$1:$G$300,6,FALSE)/2,VLOOKUP(P13,[1]Weapon!$B$1:$G$300,6,FALSE)),0)</f>
        <v>15</v>
      </c>
      <c r="S13" s="47" t="s">
        <v>131</v>
      </c>
      <c r="T13" s="21">
        <v>-1</v>
      </c>
      <c r="U13" s="15">
        <f>_xlfn.IFNA(IF($E13="Robot",VLOOKUP(S13,[1]Weapon!$B$1:$G$300,6,FALSE)/2,VLOOKUP(S13,[1]Weapon!$B$1:$G$300,6,FALSE)),0)</f>
        <v>-2</v>
      </c>
      <c r="V13" s="47" t="s">
        <v>133</v>
      </c>
      <c r="W13" s="25">
        <v>15</v>
      </c>
      <c r="X13" s="15">
        <f>_xlfn.IFNA(IF($E13="Robot",VLOOKUP(V13,[1]Weapon!$B$1:$G$300,6,FALSE)/2,VLOOKUP(V13,[1]Weapon!$B$1:$G$300,6,FALSE)),0)</f>
        <v>15</v>
      </c>
      <c r="Y13" s="10" t="s">
        <v>141</v>
      </c>
      <c r="Z13" s="25">
        <v>-1</v>
      </c>
      <c r="AA13" s="15">
        <f>_xlfn.IFNA(IF($E13="Robot",VLOOKUP(Y13,[1]Weapon!$B$1:$G$300,6,FALSE)/2,VLOOKUP(Y13,[1]Weapon!$B$1:$G$300,6,FALSE)),0)</f>
        <v>0</v>
      </c>
      <c r="AB13" s="47" t="s">
        <v>110</v>
      </c>
      <c r="AC13" s="15">
        <v>44</v>
      </c>
      <c r="AD13" s="15">
        <f>_xlfn.IFNA(IF($E13="Robot",VLOOKUP(AB13,[1]Weapon!$B$1:$G$300,6,FALSE)/2,VLOOKUP(AB13,[1]Weapon!$B$1:$G$300,6,FALSE)),0)</f>
        <v>50</v>
      </c>
      <c r="AE13" s="59" t="s">
        <v>117</v>
      </c>
      <c r="AF13" s="15">
        <v>-1</v>
      </c>
      <c r="AG13" s="15">
        <f>_xlfn.IFNA(IF($E13="Robot",VLOOKUP(AE13,[1]Weapon!$B$1:$G$300,6,FALSE)/2,VLOOKUP(AE13,[1]Weapon!$B$1:$G$300,6,FALSE)),0)</f>
        <v>-2</v>
      </c>
      <c r="AH13" s="47" t="s">
        <v>125</v>
      </c>
      <c r="AI13" s="15">
        <v>-1</v>
      </c>
      <c r="AJ13" s="15">
        <f>_xlfn.IFNA(IF($E13="Robot",VLOOKUP(AH13,[1]Weapon!$B$1:$G$300,6,FALSE)/2,VLOOKUP(AH13,[1]Weapon!$B$1:$G$300,6,FALSE)),0)</f>
        <v>-2</v>
      </c>
      <c r="AK13" s="6" t="s">
        <v>141</v>
      </c>
      <c r="AL13" s="15">
        <v>-1</v>
      </c>
      <c r="AM13" s="15">
        <f>_xlfn.IFNA(IF($E13="Robot",VLOOKUP(AK13,[1]Weapon!$B$1:$G$300,6,FALSE)/2,VLOOKUP(AK13,[1]Weapon!$B$1:$G$300,6,FALSE)),0)</f>
        <v>0</v>
      </c>
      <c r="AN13" s="6" t="s">
        <v>141</v>
      </c>
      <c r="AO13" s="15">
        <v>0</v>
      </c>
      <c r="AP13" s="15">
        <f>_xlfn.IFNA(IF($E13="Robot",VLOOKUP(AN13,[1]Weapon!$B$1:$G$300,6,FALSE)/2,VLOOKUP(AN13,[1]Weapon!$B$1:$G$300,6,FALSE)),0)</f>
        <v>0</v>
      </c>
      <c r="AQ13" s="1" t="s">
        <v>141</v>
      </c>
      <c r="AR13" s="1" t="s">
        <v>141</v>
      </c>
      <c r="AS13" s="1">
        <v>134</v>
      </c>
      <c r="AT13" s="1" t="s">
        <v>141</v>
      </c>
    </row>
    <row r="14" spans="1:46" x14ac:dyDescent="0.25">
      <c r="A14" s="1" t="str">
        <f t="shared" si="0"/>
        <v>Phil</v>
      </c>
      <c r="B14" s="45" t="s">
        <v>97</v>
      </c>
      <c r="C14" s="41" t="s">
        <v>141</v>
      </c>
      <c r="D14" s="50" t="s">
        <v>98</v>
      </c>
      <c r="E14" s="46" t="s">
        <v>63</v>
      </c>
      <c r="F14" s="5">
        <v>107</v>
      </c>
      <c r="G14" s="3">
        <v>107</v>
      </c>
      <c r="H14" s="6">
        <v>10</v>
      </c>
      <c r="I14" s="13">
        <f>H14+5</f>
        <v>15</v>
      </c>
      <c r="J14" s="12">
        <v>1</v>
      </c>
      <c r="K14" s="3">
        <f>J14+_xlfn.IFNA(VLOOKUP($P14,[1]Weapon!$A$1:$M$301,9,FALSE),0)+_xlfn.IFNA(VLOOKUP($S14,[1]Weapon!$A$1:$M$301,9,FALSE),0)+_xlfn.IFNA(VLOOKUP($V14,[1]Weapon!$A$1:$M$301,9,FALSE),0)+_xlfn.IFNA(VLOOKUP($Y14,[1]Weapon!$A$1:$M$301,9,FALSE),0)+_xlfn.IFNA(VLOOKUP($AB14,[1]Weapon!$A$1:$M$301,9,FALSE),0)+_xlfn.IFNA(VLOOKUP($AE14,[1]Weapon!$A$1:$M$301,9,FALSE),0)+_xlfn.IFNA(VLOOKUP($AH14,[1]Weapon!$A$1:$M$301,9,FALSE),0)+_xlfn.IFNA(VLOOKUP($AK14,[1]Weapon!$A$1:$M$301,9,FALSE),0)</f>
        <v>10</v>
      </c>
      <c r="L14" s="6">
        <v>7</v>
      </c>
      <c r="M14" s="13">
        <f t="shared" si="8"/>
        <v>7</v>
      </c>
      <c r="N14" s="12">
        <v>7</v>
      </c>
      <c r="O14" s="3">
        <f t="shared" si="7"/>
        <v>7</v>
      </c>
      <c r="P14" s="47" t="s">
        <v>126</v>
      </c>
      <c r="Q14" s="15">
        <v>13</v>
      </c>
      <c r="R14" s="15">
        <f>_xlfn.IFNA(IF($E14="Robot",VLOOKUP(P14,[1]Weapon!$B$1:$G$300,6,FALSE)/2,VLOOKUP(P14,[1]Weapon!$B$1:$G$300,6,FALSE)),0)</f>
        <v>15</v>
      </c>
      <c r="S14" s="47" t="s">
        <v>132</v>
      </c>
      <c r="T14" s="15">
        <v>-1</v>
      </c>
      <c r="U14" s="15">
        <f>_xlfn.IFNA(IF($E14="Robot",VLOOKUP(S14,[1]Weapon!$B$1:$G$300,6,FALSE)/2,VLOOKUP(S14,[1]Weapon!$B$1:$G$300,6,FALSE)),0)</f>
        <v>-2</v>
      </c>
      <c r="V14" s="47" t="s">
        <v>134</v>
      </c>
      <c r="W14" s="15">
        <v>30</v>
      </c>
      <c r="X14" s="15">
        <f>_xlfn.IFNA(IF($E14="Robot",VLOOKUP(V14,[1]Weapon!$B$1:$G$300,6,FALSE)/2,VLOOKUP(V14,[1]Weapon!$B$1:$G$300,6,FALSE)),0)</f>
        <v>30</v>
      </c>
      <c r="Y14" s="57" t="s">
        <v>131</v>
      </c>
      <c r="Z14" s="15">
        <v>-1</v>
      </c>
      <c r="AA14" s="15">
        <f>_xlfn.IFNA(IF($E14="Robot",VLOOKUP(Y14,[1]Weapon!$B$1:$G$300,6,FALSE)/2,VLOOKUP(Y14,[1]Weapon!$B$1:$G$300,6,FALSE)),0)</f>
        <v>-2</v>
      </c>
      <c r="AB14" s="47" t="s">
        <v>43</v>
      </c>
      <c r="AC14" s="15">
        <v>46</v>
      </c>
      <c r="AD14" s="15">
        <f>_xlfn.IFNA(IF($E14="Robot",VLOOKUP(AB14,[1]Weapon!$B$1:$G$300,6,FALSE)/2,VLOOKUP(AB14,[1]Weapon!$B$1:$G$300,6,FALSE)),0)</f>
        <v>50</v>
      </c>
      <c r="AE14" s="47" t="s">
        <v>116</v>
      </c>
      <c r="AF14" s="15">
        <v>-1</v>
      </c>
      <c r="AG14" s="15">
        <f>_xlfn.IFNA(IF($E14="Robot",VLOOKUP(AE14,[1]Weapon!$B$1:$G$300,6,FALSE)/2,VLOOKUP(AE14,[1]Weapon!$B$1:$G$300,6,FALSE)),0)</f>
        <v>-2</v>
      </c>
      <c r="AH14" s="47" t="s">
        <v>125</v>
      </c>
      <c r="AI14" s="15">
        <v>-1</v>
      </c>
      <c r="AJ14" s="15">
        <f>_xlfn.IFNA(IF($E14="Robot",VLOOKUP(AH14,[1]Weapon!$B$1:$G$300,6,FALSE)/2,VLOOKUP(AH14,[1]Weapon!$B$1:$G$300,6,FALSE)),0)</f>
        <v>-2</v>
      </c>
      <c r="AK14" s="59" t="s">
        <v>161</v>
      </c>
      <c r="AL14" s="15">
        <v>-1</v>
      </c>
      <c r="AM14" s="15">
        <f>_xlfn.IFNA(IF($E14="Robot",VLOOKUP(AK14,[1]Weapon!$B$1:$G$300,6,FALSE)/2,VLOOKUP(AK14,[1]Weapon!$B$1:$G$300,6,FALSE)),0)</f>
        <v>-2</v>
      </c>
      <c r="AN14" s="6" t="s">
        <v>141</v>
      </c>
      <c r="AO14" s="15">
        <v>0</v>
      </c>
      <c r="AP14" s="15">
        <f>_xlfn.IFNA(IF($E14="Robot",VLOOKUP(AN14,[1]Weapon!$B$1:$G$300,6,FALSE)/2,VLOOKUP(AN14,[1]Weapon!$B$1:$G$300,6,FALSE)),0)</f>
        <v>0</v>
      </c>
      <c r="AQ14" s="1" t="s">
        <v>141</v>
      </c>
      <c r="AR14" s="1" t="s">
        <v>141</v>
      </c>
      <c r="AS14" s="1">
        <v>227</v>
      </c>
      <c r="AT14" s="1" t="s">
        <v>141</v>
      </c>
    </row>
    <row r="15" spans="1:46" x14ac:dyDescent="0.25">
      <c r="A15" s="1" t="str">
        <f t="shared" si="0"/>
        <v>BYTE</v>
      </c>
      <c r="B15" s="46" t="s">
        <v>101</v>
      </c>
      <c r="C15" s="41" t="s">
        <v>141</v>
      </c>
      <c r="D15" s="51" t="s">
        <v>102</v>
      </c>
      <c r="E15" s="46" t="s">
        <v>26</v>
      </c>
      <c r="F15" s="11">
        <v>114</v>
      </c>
      <c r="G15" s="3">
        <f>24+_xlfn.IFNA(VLOOKUP($P15,[1]Weapon!$A$1:$M$301,12,FALSE),0)+_xlfn.IFNA(VLOOKUP($S15,[1]Weapon!$A$1:$M$301,12,FALSE),0)+_xlfn.IFNA(VLOOKUP($V15,[1]Weapon!$A$1:$M$301,12,FALSE),0)+_xlfn.IFNA(VLOOKUP($Y15,[1]Weapon!$A$1:$M$301,12,FALSE),0)+_xlfn.IFNA(VLOOKUP($AB15,[1]Weapon!$A$1:$M$301,12,FALSE),0)+_xlfn.IFNA(VLOOKUP($AE15,[1]Weapon!$A$1:$M$301,12,FALSE),0)+_xlfn.IFNA(VLOOKUP($AH15,[1]Weapon!$A$1:$M$301,12,FALSE),0)+_xlfn.IFNA(VLOOKUP($AK15,[1]Weapon!$A$1:$M$301,12,FALSE),0)</f>
        <v>114</v>
      </c>
      <c r="H15" s="6">
        <v>0</v>
      </c>
      <c r="I15" s="13">
        <f>H15+10+4</f>
        <v>14</v>
      </c>
      <c r="J15" s="12">
        <v>6</v>
      </c>
      <c r="K15" s="3">
        <f>J15+2</f>
        <v>8</v>
      </c>
      <c r="L15" s="6">
        <v>5</v>
      </c>
      <c r="M15" s="13">
        <f>L15+5</f>
        <v>10</v>
      </c>
      <c r="N15" s="12">
        <v>0</v>
      </c>
      <c r="O15" s="3">
        <f t="shared" si="7"/>
        <v>0</v>
      </c>
      <c r="P15" s="47" t="s">
        <v>105</v>
      </c>
      <c r="Q15" s="15">
        <v>-1</v>
      </c>
      <c r="R15" s="15">
        <f>_xlfn.IFNA(IF($E15="Robot",VLOOKUP(P15,[1]Weapon!$B$1:$G$300,6,FALSE)/2,VLOOKUP(P15,[1]Weapon!$B$1:$G$300,6,FALSE)),0)</f>
        <v>-1</v>
      </c>
      <c r="S15" s="47" t="s">
        <v>104</v>
      </c>
      <c r="T15" s="15">
        <v>8</v>
      </c>
      <c r="U15" s="15">
        <f>_xlfn.IFNA(IF($E15="Robot",VLOOKUP(S15,[1]Weapon!$B$1:$G$300,6,FALSE)/2,VLOOKUP(S15,[1]Weapon!$B$1:$G$300,6,FALSE)),0)</f>
        <v>15</v>
      </c>
      <c r="V15" s="47" t="s">
        <v>106</v>
      </c>
      <c r="W15" s="15">
        <v>-1</v>
      </c>
      <c r="X15" s="15">
        <f>_xlfn.IFNA(IF($E15="Robot",VLOOKUP(V15,[1]Weapon!$B$1:$G$300,6,FALSE)/2,VLOOKUP(V15,[1]Weapon!$B$1:$G$300,6,FALSE)),0)</f>
        <v>-1</v>
      </c>
      <c r="Y15" s="59" t="s">
        <v>43</v>
      </c>
      <c r="Z15" s="15">
        <v>25</v>
      </c>
      <c r="AA15" s="15">
        <f>_xlfn.IFNA(IF($E15="Robot",VLOOKUP(Y15,[1]Weapon!$B$1:$G$300,6,FALSE)/2,VLOOKUP(Y15,[1]Weapon!$B$1:$G$300,6,FALSE)),0)</f>
        <v>25</v>
      </c>
      <c r="AB15" s="47" t="s">
        <v>141</v>
      </c>
      <c r="AC15" s="15">
        <v>-1</v>
      </c>
      <c r="AD15" s="15">
        <f>_xlfn.IFNA(IF($E15="Robot",VLOOKUP(AB15,[1]Weapon!$B$1:$G$300,6,FALSE)/2,VLOOKUP(AB15,[1]Weapon!$B$1:$G$300,6,FALSE)),0)</f>
        <v>0</v>
      </c>
      <c r="AE15" s="47" t="s">
        <v>141</v>
      </c>
      <c r="AF15" s="15">
        <v>-1</v>
      </c>
      <c r="AG15" s="15">
        <f>_xlfn.IFNA(IF($E15="Robot",VLOOKUP(AE15,[1]Weapon!$B$1:$G$300,6,FALSE)/2,VLOOKUP(AE15,[1]Weapon!$B$1:$G$300,6,FALSE)),0)</f>
        <v>0</v>
      </c>
      <c r="AH15" s="6" t="s">
        <v>141</v>
      </c>
      <c r="AI15" s="15">
        <v>-1</v>
      </c>
      <c r="AJ15" s="15">
        <f>_xlfn.IFNA(IF($E15="Robot",VLOOKUP(AH15,[1]Weapon!$B$1:$G$300,6,FALSE)/2,VLOOKUP(AH15,[1]Weapon!$B$1:$G$300,6,FALSE)),0)</f>
        <v>0</v>
      </c>
      <c r="AK15" s="6" t="s">
        <v>141</v>
      </c>
      <c r="AL15" s="15">
        <v>-1</v>
      </c>
      <c r="AM15" s="15">
        <f>_xlfn.IFNA(IF($E15="Robot",VLOOKUP(AK15,[1]Weapon!$B$1:$G$300,6,FALSE)/2,VLOOKUP(AK15,[1]Weapon!$B$1:$G$300,6,FALSE)),0)</f>
        <v>0</v>
      </c>
      <c r="AN15" s="6" t="s">
        <v>141</v>
      </c>
      <c r="AO15" s="15">
        <v>0</v>
      </c>
      <c r="AP15" s="15">
        <f>_xlfn.IFNA(IF($E15="Robot",VLOOKUP(AN15,[1]Weapon!$B$1:$G$300,6,FALSE)/2,VLOOKUP(AN15,[1]Weapon!$B$1:$G$300,6,FALSE)),0)</f>
        <v>0</v>
      </c>
      <c r="AQ15" s="1" t="s">
        <v>141</v>
      </c>
      <c r="AR15" s="1" t="s">
        <v>141</v>
      </c>
      <c r="AS15" s="1">
        <v>134</v>
      </c>
      <c r="AT15" s="1" t="s">
        <v>141</v>
      </c>
    </row>
    <row r="16" spans="1:46" x14ac:dyDescent="0.25">
      <c r="A16" s="1" t="str">
        <f t="shared" si="0"/>
        <v>Ursula</v>
      </c>
      <c r="B16" s="46" t="s">
        <v>136</v>
      </c>
      <c r="C16" s="41" t="s">
        <v>141</v>
      </c>
      <c r="D16" s="52" t="s">
        <v>137</v>
      </c>
      <c r="E16" s="46" t="s">
        <v>62</v>
      </c>
      <c r="F16" s="38">
        <v>110</v>
      </c>
      <c r="G16" s="3">
        <v>110</v>
      </c>
      <c r="H16" s="6">
        <v>5</v>
      </c>
      <c r="I16" s="13">
        <f>H16+5</f>
        <v>10</v>
      </c>
      <c r="J16" s="12">
        <v>0</v>
      </c>
      <c r="K16" s="3">
        <f>J16+_xlfn.IFNA(VLOOKUP($P16,[1]Weapon!$A$1:$M$301,9,FALSE),0)+_xlfn.IFNA(VLOOKUP($S16,[1]Weapon!$A$1:$M$301,9,FALSE),0)+_xlfn.IFNA(VLOOKUP($V16,[1]Weapon!$A$1:$M$301,9,FALSE),0)+_xlfn.IFNA(VLOOKUP($Y16,[1]Weapon!$A$1:$M$301,9,FALSE),0)+_xlfn.IFNA(VLOOKUP($AB16,[1]Weapon!$A$1:$M$301,9,FALSE),0)+_xlfn.IFNA(VLOOKUP($AE16,[1]Weapon!$A$1:$M$301,9,FALSE),0)+_xlfn.IFNA(VLOOKUP($AH16,[1]Weapon!$A$1:$M$301,9,FALSE),0)+_xlfn.IFNA(VLOOKUP($AK16,[1]Weapon!$A$1:$M$301,9,FALSE),0)</f>
        <v>9</v>
      </c>
      <c r="L16" s="6">
        <v>12</v>
      </c>
      <c r="M16" s="13">
        <f t="shared" ref="M16:M17" si="14">L16</f>
        <v>12</v>
      </c>
      <c r="N16" s="12">
        <v>4</v>
      </c>
      <c r="O16" s="3">
        <f t="shared" si="7"/>
        <v>4</v>
      </c>
      <c r="P16" s="47" t="s">
        <v>110</v>
      </c>
      <c r="Q16" s="15">
        <v>48</v>
      </c>
      <c r="R16" s="15">
        <f>_xlfn.IFNA(IF($E16="Robot",VLOOKUP(P16,[1]Weapon!$B$1:$G$300,6,FALSE)/2,VLOOKUP(P16,[1]Weapon!$B$1:$G$300,6,FALSE)),0)</f>
        <v>50</v>
      </c>
      <c r="S16" s="47" t="s">
        <v>138</v>
      </c>
      <c r="T16" s="15">
        <v>9</v>
      </c>
      <c r="U16" s="15">
        <f>_xlfn.IFNA(IF($E16="Robot",VLOOKUP(S16,[1]Weapon!$B$1:$G$300,6,FALSE)/2,VLOOKUP(S16,[1]Weapon!$B$1:$G$300,6,FALSE)),0)</f>
        <v>30</v>
      </c>
      <c r="V16" s="47" t="s">
        <v>125</v>
      </c>
      <c r="W16" s="15">
        <v>-1</v>
      </c>
      <c r="X16" s="15">
        <f>_xlfn.IFNA(IF($E16="Robot",VLOOKUP(V16,[1]Weapon!$B$1:$G$300,6,FALSE)/2,VLOOKUP(V16,[1]Weapon!$B$1:$G$300,6,FALSE)),0)</f>
        <v>-2</v>
      </c>
      <c r="Y16" s="47" t="s">
        <v>116</v>
      </c>
      <c r="Z16" s="15">
        <v>-1</v>
      </c>
      <c r="AA16" s="15">
        <f>_xlfn.IFNA(IF($E16="Robot",VLOOKUP(Y16,[1]Weapon!$B$1:$G$300,6,FALSE)/2,VLOOKUP(Y16,[1]Weapon!$B$1:$G$300,6,FALSE)),0)</f>
        <v>-2</v>
      </c>
      <c r="AB16" s="59" t="s">
        <v>161</v>
      </c>
      <c r="AC16" s="15">
        <v>-1</v>
      </c>
      <c r="AD16" s="15">
        <f>_xlfn.IFNA(IF($E16="Robot",VLOOKUP(AB16,[1]Weapon!$B$1:$G$300,6,FALSE)/2,VLOOKUP(AB16,[1]Weapon!$B$1:$G$300,6,FALSE)),0)</f>
        <v>-2</v>
      </c>
      <c r="AE16" s="6" t="s">
        <v>141</v>
      </c>
      <c r="AF16" s="15">
        <v>-1</v>
      </c>
      <c r="AG16" s="15">
        <f>_xlfn.IFNA(IF($E16="Robot",VLOOKUP(AE16,[1]Weapon!$B$1:$G$300,6,FALSE)/2,VLOOKUP(AE16,[1]Weapon!$B$1:$G$300,6,FALSE)),0)</f>
        <v>0</v>
      </c>
      <c r="AH16" s="6" t="s">
        <v>141</v>
      </c>
      <c r="AI16" s="15">
        <v>-1</v>
      </c>
      <c r="AJ16" s="15">
        <f>_xlfn.IFNA(IF($E16="Robot",VLOOKUP(AH16,[1]Weapon!$B$1:$G$300,6,FALSE)/2,VLOOKUP(AH16,[1]Weapon!$B$1:$G$300,6,FALSE)),0)</f>
        <v>0</v>
      </c>
      <c r="AK16" s="6" t="s">
        <v>141</v>
      </c>
      <c r="AL16" s="15">
        <v>-1</v>
      </c>
      <c r="AM16" s="15">
        <f>_xlfn.IFNA(IF($E16="Robot",VLOOKUP(AK16,[1]Weapon!$B$1:$G$300,6,FALSE)/2,VLOOKUP(AK16,[1]Weapon!$B$1:$G$300,6,FALSE)),0)</f>
        <v>0</v>
      </c>
      <c r="AN16" s="6" t="s">
        <v>141</v>
      </c>
      <c r="AO16" s="15">
        <v>0</v>
      </c>
      <c r="AP16" s="15">
        <f>_xlfn.IFNA(IF($E16="Robot",VLOOKUP(AN16,[1]Weapon!$B$1:$G$300,6,FALSE)/2,VLOOKUP(AN16,[1]Weapon!$B$1:$G$300,6,FALSE)),0)</f>
        <v>0</v>
      </c>
      <c r="AQ16" s="1" t="s">
        <v>141</v>
      </c>
      <c r="AR16" s="58" t="s">
        <v>162</v>
      </c>
      <c r="AS16" s="1">
        <v>368</v>
      </c>
      <c r="AT16" s="1" t="s">
        <v>141</v>
      </c>
    </row>
    <row r="17" spans="1:46" x14ac:dyDescent="0.25">
      <c r="A17" s="1" t="str">
        <f t="shared" si="0"/>
        <v>Squard</v>
      </c>
      <c r="B17" s="46" t="s">
        <v>140</v>
      </c>
      <c r="C17" s="49" t="s">
        <v>141</v>
      </c>
      <c r="D17" s="51" t="s">
        <v>139</v>
      </c>
      <c r="E17" s="58" t="s">
        <v>155</v>
      </c>
      <c r="F17" s="38">
        <v>115</v>
      </c>
      <c r="G17" s="3">
        <f>IF(ISBLANK(VLOOKUP($E17,[1]Monster!$A$2:$X$257,10,FALSE)),"",VLOOKUP($E17,[1]Monster!$A$2:$X$257,10,FALSE))</f>
        <v>115</v>
      </c>
      <c r="H17" s="6">
        <f>IF(ISBLANK(VLOOKUP($E17,[1]Monster!$A$2:$X$257,11,FALSE)),"",VLOOKUP($E17,[1]Monster!$A$2:$X$257,11,FALSE))</f>
        <v>10</v>
      </c>
      <c r="I17" s="13">
        <f t="shared" ref="I17" si="15">H17</f>
        <v>10</v>
      </c>
      <c r="J17" s="12">
        <f>IF(ISBLANK(VLOOKUP($E17,[1]Monster!$A$2:$X$257,14,FALSE)),"",VLOOKUP($E17,[1]Monster!$A$2:$X$257,14,FALSE))</f>
        <v>17</v>
      </c>
      <c r="K17" s="3">
        <f>J17+_xlfn.IFNA(VLOOKUP($P17,[1]Weapon!$A$1:$M$301,9,FALSE),0)+_xlfn.IFNA(VLOOKUP($S17,[1]Weapon!$A$1:$M$301,9,FALSE),0)+_xlfn.IFNA(VLOOKUP($V17,[1]Weapon!$A$1:$M$301,9,FALSE),0)+_xlfn.IFNA(VLOOKUP($Y17,[1]Weapon!$A$1:$M$301,9,FALSE),0)+_xlfn.IFNA(VLOOKUP($AB17,[1]Weapon!$A$1:$M$301,9,FALSE),0)+_xlfn.IFNA(VLOOKUP($AE17,[1]Weapon!$A$1:$M$301,9,FALSE),0)+_xlfn.IFNA(VLOOKUP($AH17,[1]Weapon!$A$1:$M$301,9,FALSE),0)+_xlfn.IFNA(VLOOKUP($AK17,[1]Weapon!$A$1:$M$301,9,FALSE),0)</f>
        <v>17</v>
      </c>
      <c r="L17" s="6">
        <f>IF(ISBLANK(VLOOKUP($E17,[1]Monster!$A$2:$X$257,12,FALSE)),"",VLOOKUP($E17,[1]Monster!$A$2:$X$257,12,FALSE))</f>
        <v>12</v>
      </c>
      <c r="M17" s="13">
        <f t="shared" si="14"/>
        <v>12</v>
      </c>
      <c r="N17" s="12">
        <f>IF(ISBLANK(VLOOKUP($E17,[1]Monster!$A$2:$X$257,13,FALSE)),"",VLOOKUP($E17,[1]Monster!$A$2:$X$257,13,FALSE))</f>
        <v>13</v>
      </c>
      <c r="O17" s="3">
        <f t="shared" ref="O17" si="16">N17</f>
        <v>13</v>
      </c>
      <c r="P17" s="6" t="str">
        <f>IF(ISBLANK(VLOOKUP($E17,[1]Monster!$A$2:$X$257,16,FALSE)),"",VLOOKUP($E17,[1]Monster!$A$2:$X$257,16,FALSE))</f>
        <v>W-Pincer</v>
      </c>
      <c r="Q17" s="15">
        <v>15</v>
      </c>
      <c r="R17" s="15">
        <f>_xlfn.IFNA(IF($E17="Robot",VLOOKUP(P17,[1]Weapon!$B$1:$G$300,6,FALSE)/2,VLOOKUP(P17,[1]Weapon!$B$1:$G$300,6,FALSE)),0)</f>
        <v>15</v>
      </c>
      <c r="S17" s="6" t="str">
        <f>IF(ISBLANK(VLOOKUP($E17,[1]Monster!$A$2:$X$257,17,FALSE)),"",VLOOKUP($E17,[1]Monster!$A$2:$X$257,17,FALSE))</f>
        <v>Shell</v>
      </c>
      <c r="T17" s="15">
        <v>30</v>
      </c>
      <c r="U17" s="15">
        <f>_xlfn.IFNA(IF($E17="Robot",VLOOKUP(S17,[1]Weapon!$B$1:$G$300,6,FALSE)/2,VLOOKUP(S17,[1]Weapon!$B$1:$G$300,6,FALSE)),0)</f>
        <v>30</v>
      </c>
      <c r="V17" s="6" t="str">
        <f>IF(ISBLANK(VLOOKUP($E17,[1]Monster!$A$2:$X$257,18,FALSE)),"",VLOOKUP($E17,[1]Monster!$A$2:$X$257,18,FALSE))</f>
        <v>X-Thunder</v>
      </c>
      <c r="W17" s="34">
        <v>-1</v>
      </c>
      <c r="X17" s="15">
        <f>_xlfn.IFNA(IF($E17="Robot",VLOOKUP(V17,[1]Weapon!$B$1:$G$300,6,FALSE)/2,VLOOKUP(V17,[1]Weapon!$B$1:$G$300,6,FALSE)),0)</f>
        <v>-2</v>
      </c>
      <c r="Y17" s="56" t="s">
        <v>141</v>
      </c>
      <c r="Z17" s="15">
        <v>-1</v>
      </c>
      <c r="AA17" s="15">
        <f>_xlfn.IFNA(IF($E17="Robot",VLOOKUP(Y17,[1]Weapon!$B$1:$G$300,6,FALSE)/2,VLOOKUP(Y17,[1]Weapon!$B$1:$G$300,6,FALSE)),0)</f>
        <v>0</v>
      </c>
      <c r="AB17" s="6" t="s">
        <v>141</v>
      </c>
      <c r="AC17" s="15">
        <v>-1</v>
      </c>
      <c r="AD17" s="15">
        <f>_xlfn.IFNA(IF($E17="Robot",VLOOKUP(AB17,[1]Weapon!$B$1:$G$300,6,FALSE)/2,VLOOKUP(AB17,[1]Weapon!$B$1:$G$300,6,FALSE)),0)</f>
        <v>0</v>
      </c>
      <c r="AE17" s="6" t="s">
        <v>141</v>
      </c>
      <c r="AF17" s="15">
        <v>-1</v>
      </c>
      <c r="AG17" s="15">
        <f>_xlfn.IFNA(IF($E17="Robot",VLOOKUP(AE17,[1]Weapon!$B$1:$G$300,6,FALSE)/2,VLOOKUP(AE17,[1]Weapon!$B$1:$G$300,6,FALSE)),0)</f>
        <v>0</v>
      </c>
      <c r="AH17" s="6" t="s">
        <v>141</v>
      </c>
      <c r="AI17" s="15">
        <v>-1</v>
      </c>
      <c r="AJ17" s="15">
        <f>_xlfn.IFNA(IF($E17="Robot",VLOOKUP(AH17,[1]Weapon!$B$1:$G$300,6,FALSE)/2,VLOOKUP(AH17,[1]Weapon!$B$1:$G$300,6,FALSE)),0)</f>
        <v>0</v>
      </c>
      <c r="AK17" s="6" t="s">
        <v>141</v>
      </c>
      <c r="AL17" s="15">
        <v>-1</v>
      </c>
      <c r="AM17" s="15">
        <f>_xlfn.IFNA(IF($E17="Robot",VLOOKUP(AK17,[1]Weapon!$B$1:$G$300,6,FALSE)/2,VLOOKUP(AK17,[1]Weapon!$B$1:$G$300,6,FALSE)),0)</f>
        <v>0</v>
      </c>
      <c r="AN17" s="6" t="s">
        <v>141</v>
      </c>
      <c r="AO17" s="15">
        <v>0</v>
      </c>
      <c r="AP17" s="15">
        <f>_xlfn.IFNA(IF($E17="Robot",VLOOKUP(AN17,[1]Weapon!$B$1:$G$300,6,FALSE)/2,VLOOKUP(AN17,[1]Weapon!$B$1:$G$300,6,FALSE)),0)</f>
        <v>0</v>
      </c>
      <c r="AQ17" s="1" t="s">
        <v>141</v>
      </c>
      <c r="AR17" s="1" t="s">
        <v>141</v>
      </c>
      <c r="AS17" s="1">
        <v>227</v>
      </c>
      <c r="AT17" s="1" t="s">
        <v>141</v>
      </c>
    </row>
    <row r="18" spans="1:46" x14ac:dyDescent="0.25">
      <c r="A18" s="1">
        <f t="shared" si="0"/>
        <v>0</v>
      </c>
      <c r="B18" s="43"/>
      <c r="E18" s="43"/>
      <c r="I18" s="13">
        <f t="shared" ref="I18" si="17">H18</f>
        <v>0</v>
      </c>
      <c r="K18" s="3">
        <f>J18+_xlfn.IFNA(VLOOKUP(P18,[1]Weapon!$A$1:$M$260,9,FALSE),0)+_xlfn.IFNA(VLOOKUP(S18,[1]Weapon!$A$1:$M$260,9,FALSE),0)+_xlfn.IFNA(VLOOKUP(V18,[1]Weapon!$A$1:$M$260,9,FALSE),0)+_xlfn.IFNA(VLOOKUP(Y18,[1]Weapon!$A$1:$M$260,9,FALSE),0)+_xlfn.IFNA(VLOOKUP(AB18,[1]Weapon!$A$1:$M$260,9,FALSE),0)+_xlfn.IFNA(VLOOKUP(AE18,[1]Weapon!$A$1:$M$260,9,FALSE),0)+_xlfn.IFNA(VLOOKUP(AH18,[1]Weapon!$A$1:$M$260,9,FALSE),0)+_xlfn.IFNA(VLOOKUP(AK18,[1]Weapon!$A$1:$M$260,9,FALSE),0)</f>
        <v>0</v>
      </c>
      <c r="M18" s="13">
        <f t="shared" ref="M18" si="18">L18</f>
        <v>0</v>
      </c>
      <c r="O18" s="3">
        <f t="shared" ref="O18" si="19">N18</f>
        <v>0</v>
      </c>
      <c r="P18" s="44"/>
      <c r="R18" s="15">
        <f>_xlfn.IFNA(IF($E18="Robot",VLOOKUP(P18,[1]Weapon!$B$1:$G$300,6,FALSE)/2,VLOOKUP(P18,[1]Weapon!$B$1:$G$300,6,FALSE)),0)</f>
        <v>0</v>
      </c>
      <c r="S18" s="44"/>
      <c r="U18" s="15">
        <f>_xlfn.IFNA(IF($E18="Robot",VLOOKUP(S18,[1]Weapon!$B$1:$G$300,6,FALSE)/2,VLOOKUP(S18,[1]Weapon!$B$1:$G$300,6,FALSE)),0)</f>
        <v>0</v>
      </c>
      <c r="V18" s="44"/>
      <c r="X18" s="15">
        <f>_xlfn.IFNA(IF($E18="Robot",VLOOKUP(V18,[1]Weapon!$B$1:$G$300,6,FALSE)/2,VLOOKUP(V18,[1]Weapon!$B$1:$G$300,6,FALSE)),0)</f>
        <v>0</v>
      </c>
      <c r="Y18" s="44"/>
      <c r="AA18" s="15">
        <f>_xlfn.IFNA(IF($E18="Robot",VLOOKUP(Y18,[1]Weapon!$B$1:$G$300,6,FALSE)/2,VLOOKUP(Y18,[1]Weapon!$B$1:$G$300,6,FALSE)),0)</f>
        <v>0</v>
      </c>
      <c r="AD18" s="15">
        <f>_xlfn.IFNA(IF($E18="Robot",VLOOKUP(AB18,[1]Weapon!$B$1:$G$300,6,FALSE)/2,VLOOKUP(AB18,[1]Weapon!$B$1:$G$300,6,FALSE)),0)</f>
        <v>0</v>
      </c>
      <c r="AG18" s="15">
        <f>_xlfn.IFNA(IF($E18="Robot",VLOOKUP(AE18,[1]Weapon!$B$1:$G$300,6,FALSE)/2,VLOOKUP(AE18,[1]Weapon!$B$1:$G$300,6,FALSE)),0)</f>
        <v>0</v>
      </c>
      <c r="AH18" s="44"/>
      <c r="AJ18" s="15">
        <f>_xlfn.IFNA(IF($E18="Robot",VLOOKUP(AH18,[1]Weapon!$B$1:$G$300,6,FALSE)/2,VLOOKUP(AH18,[1]Weapon!$B$1:$G$300,6,FALSE)),0)</f>
        <v>0</v>
      </c>
      <c r="AK18" s="44"/>
      <c r="AM18" s="15">
        <f>_xlfn.IFNA(IF($E18="Robot",VLOOKUP(AK18,[1]Weapon!$B$1:$G$300,6,FALSE)/2,VLOOKUP(AK18,[1]Weapon!$B$1:$G$300,6,FALSE)),0)</f>
        <v>0</v>
      </c>
      <c r="AO18" s="15">
        <v>0</v>
      </c>
      <c r="AP18" s="15">
        <f>_xlfn.IFNA(IF($E18="Robot",VLOOKUP(AN18,[1]Weapon!$B$1:$G$300,6,FALSE)/2,VLOOKUP(AN18,[1]Weapon!$B$1:$G$300,6,FALSE)),0)</f>
        <v>0</v>
      </c>
      <c r="AS18" s="1">
        <v>0</v>
      </c>
    </row>
  </sheetData>
  <conditionalFormatting sqref="A1:A1048576">
    <cfRule type="notContainsBlanks" dxfId="5" priority="11">
      <formula>LEN(TRIM(A1))&gt;0</formula>
    </cfRule>
  </conditionalFormatting>
  <conditionalFormatting sqref="R1:R2 U1:U2 X1:X2 AA1:AA2 AD1:AD2 AG1:AG2 AJ1:AJ2 AM1:AM2 AP1:AP2 AP4:AP1048576 AM4:AM10 AJ4:AJ10 AG4:AG10 AD4:AD10 AA4:AA10 X4:X10 U4:U10 R4:R10 R13:R16 U13:U16 X13:X16 AA13:AA16 AD13:AD16 AG13:AG16 AJ13:AJ16 AM13:AM16 AM18:AM1048576 AJ18:AJ1048576 AG18:AG1048576 AD18:AD1048576 AA18:AA1048576 X18:X1048576 U18:U1048576 R18:R1048576">
    <cfRule type="cellIs" dxfId="4" priority="9" operator="lessThan">
      <formula>0</formula>
    </cfRule>
  </conditionalFormatting>
  <conditionalFormatting sqref="R3 U3 X3 AM3 AJ3 AG3 AD3 AA3 AP3">
    <cfRule type="cellIs" dxfId="3" priority="4" operator="lessThan">
      <formula>0</formula>
    </cfRule>
  </conditionalFormatting>
  <conditionalFormatting sqref="AM11 AJ11 AG11 AD11 AA11 X11 U11 R11">
    <cfRule type="cellIs" dxfId="2" priority="3" operator="lessThan">
      <formula>0</formula>
    </cfRule>
  </conditionalFormatting>
  <conditionalFormatting sqref="AM12 AJ12 AG12 AD12 AA12 X12 U12 R12">
    <cfRule type="cellIs" dxfId="1" priority="2" operator="lessThan">
      <formula>0</formula>
    </cfRule>
  </conditionalFormatting>
  <conditionalFormatting sqref="AM17 AJ17 AG17 AD17 AA17 X17 U17 R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"/>
  <sheetViews>
    <sheetView workbookViewId="0">
      <selection activeCell="E20" sqref="E2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</v>
      </c>
      <c r="B2" t="s">
        <v>17</v>
      </c>
      <c r="C2">
        <v>1</v>
      </c>
      <c r="D2">
        <v>2</v>
      </c>
      <c r="K2" t="s">
        <v>43</v>
      </c>
    </row>
    <row r="3" spans="1:21" x14ac:dyDescent="0.2">
      <c r="A3" t="s">
        <v>2</v>
      </c>
      <c r="B3" t="s">
        <v>17</v>
      </c>
      <c r="C3">
        <v>1</v>
      </c>
      <c r="D3">
        <v>1</v>
      </c>
      <c r="K3" t="s">
        <v>3</v>
      </c>
    </row>
    <row r="4" spans="1:21" x14ac:dyDescent="0.2">
      <c r="A4" t="s">
        <v>4</v>
      </c>
      <c r="B4" t="s">
        <v>18</v>
      </c>
      <c r="C4">
        <v>2</v>
      </c>
    </row>
  </sheetData>
  <dataValidations count="1">
    <dataValidation type="list" allowBlank="1" showInputMessage="1" showErrorMessage="1" sqref="L2:L30">
      <formula1>$A$2:$A$30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1"/>
  <sheetViews>
    <sheetView workbookViewId="0">
      <selection activeCell="A2" sqref="A2:U1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79</v>
      </c>
      <c r="B2" t="s">
        <v>17</v>
      </c>
      <c r="C2">
        <v>1</v>
      </c>
      <c r="D2">
        <v>1</v>
      </c>
      <c r="E2">
        <v>22.6</v>
      </c>
      <c r="F2">
        <v>127</v>
      </c>
      <c r="G2">
        <v>18</v>
      </c>
      <c r="H2">
        <v>20</v>
      </c>
      <c r="I2">
        <v>21</v>
      </c>
      <c r="J2">
        <v>17</v>
      </c>
      <c r="K2" t="s">
        <v>167</v>
      </c>
      <c r="L2" t="s">
        <v>163</v>
      </c>
      <c r="T2" t="s">
        <v>167</v>
      </c>
      <c r="U2" t="s">
        <v>144</v>
      </c>
    </row>
    <row r="3" spans="1:21" x14ac:dyDescent="0.2">
      <c r="A3" t="s">
        <v>81</v>
      </c>
      <c r="B3" t="s">
        <v>17</v>
      </c>
      <c r="C3">
        <v>1</v>
      </c>
      <c r="D3">
        <v>6</v>
      </c>
      <c r="E3">
        <v>17.28</v>
      </c>
      <c r="F3">
        <v>111</v>
      </c>
      <c r="G3">
        <v>13</v>
      </c>
      <c r="H3">
        <v>16</v>
      </c>
      <c r="I3">
        <v>3</v>
      </c>
      <c r="J3">
        <v>10</v>
      </c>
      <c r="K3" t="s">
        <v>43</v>
      </c>
      <c r="L3" t="s">
        <v>164</v>
      </c>
      <c r="T3" t="s">
        <v>43</v>
      </c>
      <c r="U3" t="s">
        <v>144</v>
      </c>
    </row>
    <row r="4" spans="1:21" x14ac:dyDescent="0.2">
      <c r="A4" t="s">
        <v>99</v>
      </c>
      <c r="B4" t="s">
        <v>17</v>
      </c>
      <c r="C4">
        <v>1</v>
      </c>
      <c r="D4">
        <v>3</v>
      </c>
      <c r="E4">
        <v>16.66</v>
      </c>
      <c r="F4">
        <v>126</v>
      </c>
      <c r="G4">
        <v>14</v>
      </c>
      <c r="H4">
        <v>14</v>
      </c>
      <c r="I4">
        <v>10</v>
      </c>
      <c r="J4">
        <v>13</v>
      </c>
      <c r="K4" t="s">
        <v>170</v>
      </c>
      <c r="L4" t="s">
        <v>164</v>
      </c>
      <c r="T4" t="s">
        <v>170</v>
      </c>
      <c r="U4" t="s">
        <v>149</v>
      </c>
    </row>
    <row r="5" spans="1:21" x14ac:dyDescent="0.2">
      <c r="A5" t="s">
        <v>163</v>
      </c>
      <c r="B5" t="s">
        <v>18</v>
      </c>
      <c r="C5">
        <v>1</v>
      </c>
      <c r="D5">
        <v>2</v>
      </c>
      <c r="E5">
        <v>16.100000000000001</v>
      </c>
      <c r="F5">
        <v>71</v>
      </c>
      <c r="G5">
        <v>14</v>
      </c>
      <c r="H5">
        <v>14</v>
      </c>
      <c r="I5">
        <v>8</v>
      </c>
      <c r="J5">
        <v>13</v>
      </c>
      <c r="K5" t="s">
        <v>145</v>
      </c>
      <c r="L5" t="s">
        <v>146</v>
      </c>
      <c r="T5" t="s">
        <v>112</v>
      </c>
      <c r="U5" t="s">
        <v>148</v>
      </c>
    </row>
    <row r="6" spans="1:21" x14ac:dyDescent="0.2">
      <c r="A6" t="s">
        <v>163</v>
      </c>
      <c r="B6" t="s">
        <v>18</v>
      </c>
      <c r="C6">
        <v>0</v>
      </c>
      <c r="D6">
        <v>1</v>
      </c>
      <c r="E6">
        <v>15.4</v>
      </c>
      <c r="F6">
        <v>0</v>
      </c>
      <c r="G6">
        <v>14</v>
      </c>
      <c r="H6">
        <v>14</v>
      </c>
      <c r="I6">
        <v>8</v>
      </c>
      <c r="J6">
        <v>13</v>
      </c>
      <c r="K6" t="s">
        <v>145</v>
      </c>
      <c r="L6" t="s">
        <v>146</v>
      </c>
      <c r="N6" t="s">
        <v>147</v>
      </c>
      <c r="O6" t="s">
        <v>147</v>
      </c>
      <c r="P6" t="s">
        <v>147</v>
      </c>
      <c r="Q6" t="s">
        <v>147</v>
      </c>
      <c r="R6" t="s">
        <v>147</v>
      </c>
      <c r="S6" t="s">
        <v>147</v>
      </c>
      <c r="T6" t="s">
        <v>112</v>
      </c>
      <c r="U6" t="s">
        <v>148</v>
      </c>
    </row>
    <row r="7" spans="1:21" x14ac:dyDescent="0.2">
      <c r="A7" t="s">
        <v>103</v>
      </c>
      <c r="B7" t="s">
        <v>17</v>
      </c>
      <c r="C7">
        <v>0</v>
      </c>
      <c r="D7">
        <v>4</v>
      </c>
      <c r="E7">
        <v>14.76</v>
      </c>
      <c r="F7">
        <v>0</v>
      </c>
      <c r="G7">
        <v>11</v>
      </c>
      <c r="H7">
        <v>12</v>
      </c>
      <c r="I7">
        <v>9</v>
      </c>
      <c r="J7">
        <v>10</v>
      </c>
      <c r="K7" t="s">
        <v>121</v>
      </c>
      <c r="L7" t="s">
        <v>164</v>
      </c>
      <c r="N7" t="s">
        <v>147</v>
      </c>
      <c r="O7" t="s">
        <v>147</v>
      </c>
      <c r="P7" t="s">
        <v>147</v>
      </c>
      <c r="Q7" t="s">
        <v>147</v>
      </c>
      <c r="R7" t="s">
        <v>147</v>
      </c>
      <c r="S7" t="s">
        <v>147</v>
      </c>
      <c r="T7" t="s">
        <v>121</v>
      </c>
      <c r="U7" t="s">
        <v>171</v>
      </c>
    </row>
    <row r="8" spans="1:21" x14ac:dyDescent="0.2">
      <c r="A8" t="s">
        <v>164</v>
      </c>
      <c r="B8" t="s">
        <v>18</v>
      </c>
      <c r="C8">
        <v>1</v>
      </c>
      <c r="D8">
        <v>2</v>
      </c>
      <c r="E8">
        <v>13.92</v>
      </c>
      <c r="F8">
        <v>73</v>
      </c>
      <c r="G8">
        <v>16</v>
      </c>
      <c r="H8">
        <v>12</v>
      </c>
      <c r="I8">
        <v>13</v>
      </c>
      <c r="J8">
        <v>13</v>
      </c>
      <c r="K8" t="s">
        <v>145</v>
      </c>
      <c r="L8" t="s">
        <v>146</v>
      </c>
      <c r="T8" t="s">
        <v>172</v>
      </c>
      <c r="U8" t="s">
        <v>144</v>
      </c>
    </row>
    <row r="9" spans="1:21" x14ac:dyDescent="0.2">
      <c r="A9" t="s">
        <v>164</v>
      </c>
      <c r="B9" t="s">
        <v>18</v>
      </c>
      <c r="C9">
        <v>0</v>
      </c>
      <c r="D9">
        <v>1</v>
      </c>
      <c r="E9">
        <v>12.6</v>
      </c>
      <c r="F9">
        <v>0</v>
      </c>
      <c r="G9">
        <v>16</v>
      </c>
      <c r="H9">
        <v>12</v>
      </c>
      <c r="I9">
        <v>13</v>
      </c>
      <c r="J9">
        <v>13</v>
      </c>
      <c r="K9" t="s">
        <v>145</v>
      </c>
      <c r="N9" t="s">
        <v>147</v>
      </c>
      <c r="O9" t="s">
        <v>147</v>
      </c>
      <c r="P9" t="s">
        <v>147</v>
      </c>
      <c r="Q9" t="s">
        <v>147</v>
      </c>
      <c r="R9" t="s">
        <v>147</v>
      </c>
      <c r="S9" t="s">
        <v>147</v>
      </c>
    </row>
    <row r="10" spans="1:21" x14ac:dyDescent="0.2">
      <c r="A10" t="s">
        <v>85</v>
      </c>
      <c r="B10" t="s">
        <v>17</v>
      </c>
      <c r="C10">
        <v>1</v>
      </c>
      <c r="D10">
        <v>5</v>
      </c>
      <c r="E10">
        <v>9.120000000000001</v>
      </c>
      <c r="F10">
        <v>104</v>
      </c>
      <c r="G10">
        <v>14</v>
      </c>
      <c r="H10">
        <v>8</v>
      </c>
      <c r="I10">
        <v>10</v>
      </c>
      <c r="J10">
        <v>11</v>
      </c>
      <c r="K10" t="s">
        <v>124</v>
      </c>
      <c r="L10" t="s">
        <v>163</v>
      </c>
      <c r="T10" t="s">
        <v>124</v>
      </c>
      <c r="U10" t="s">
        <v>149</v>
      </c>
    </row>
    <row r="11" spans="1:21" x14ac:dyDescent="0.2">
      <c r="A11" t="s">
        <v>89</v>
      </c>
      <c r="B11" t="s">
        <v>17</v>
      </c>
      <c r="C11">
        <v>1</v>
      </c>
      <c r="D11">
        <v>2</v>
      </c>
      <c r="E11">
        <v>-1.1200000000000001</v>
      </c>
      <c r="F11">
        <v>132</v>
      </c>
      <c r="G11">
        <v>6</v>
      </c>
      <c r="H11">
        <v>5</v>
      </c>
      <c r="I11">
        <v>0</v>
      </c>
      <c r="J11">
        <v>12</v>
      </c>
      <c r="K11" t="s">
        <v>112</v>
      </c>
      <c r="L11" t="s">
        <v>163</v>
      </c>
      <c r="T11" t="s">
        <v>112</v>
      </c>
      <c r="U11" t="s">
        <v>148</v>
      </c>
    </row>
  </sheetData>
  <dataValidations count="1">
    <dataValidation type="list" allowBlank="1" showInputMessage="1" showErrorMessage="1" sqref="L2:L30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"/>
  <sheetViews>
    <sheetView workbookViewId="0">
      <selection activeCell="L12" sqref="L1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153</v>
      </c>
      <c r="B2" t="s">
        <v>18</v>
      </c>
      <c r="C2">
        <v>0</v>
      </c>
      <c r="D2">
        <v>2</v>
      </c>
      <c r="E2">
        <v>17.22</v>
      </c>
      <c r="F2">
        <v>0</v>
      </c>
      <c r="G2">
        <v>14</v>
      </c>
      <c r="H2">
        <v>14</v>
      </c>
      <c r="I2">
        <v>10</v>
      </c>
      <c r="J2">
        <v>13</v>
      </c>
      <c r="K2" t="s">
        <v>145</v>
      </c>
      <c r="L2" t="s">
        <v>146</v>
      </c>
      <c r="N2" t="s">
        <v>147</v>
      </c>
      <c r="O2" t="s">
        <v>147</v>
      </c>
      <c r="P2" t="s">
        <v>147</v>
      </c>
      <c r="Q2" t="s">
        <v>147</v>
      </c>
      <c r="R2" t="s">
        <v>147</v>
      </c>
      <c r="S2" t="s">
        <v>147</v>
      </c>
      <c r="T2" t="s">
        <v>170</v>
      </c>
      <c r="U2" t="s">
        <v>149</v>
      </c>
    </row>
    <row r="3" spans="1:21" x14ac:dyDescent="0.2">
      <c r="A3" t="s">
        <v>165</v>
      </c>
      <c r="B3" t="s">
        <v>18</v>
      </c>
      <c r="C3">
        <v>1</v>
      </c>
      <c r="D3">
        <v>2</v>
      </c>
      <c r="E3">
        <v>15.47</v>
      </c>
      <c r="F3">
        <v>197</v>
      </c>
      <c r="G3">
        <v>14</v>
      </c>
      <c r="H3">
        <v>14</v>
      </c>
      <c r="I3">
        <v>8</v>
      </c>
      <c r="J3">
        <v>15</v>
      </c>
      <c r="K3" t="s">
        <v>145</v>
      </c>
      <c r="L3" t="s">
        <v>146</v>
      </c>
      <c r="T3" t="s">
        <v>43</v>
      </c>
      <c r="U3" t="s">
        <v>144</v>
      </c>
    </row>
    <row r="4" spans="1:21" x14ac:dyDescent="0.2">
      <c r="A4" t="s">
        <v>153</v>
      </c>
      <c r="B4" t="s">
        <v>18</v>
      </c>
      <c r="C4">
        <v>0</v>
      </c>
      <c r="D4">
        <v>1</v>
      </c>
      <c r="E4">
        <v>15.26</v>
      </c>
      <c r="F4">
        <v>0</v>
      </c>
      <c r="G4">
        <v>14</v>
      </c>
      <c r="H4">
        <v>14</v>
      </c>
      <c r="I4">
        <v>10</v>
      </c>
      <c r="J4">
        <v>13</v>
      </c>
      <c r="K4" t="s">
        <v>145</v>
      </c>
      <c r="L4" t="s">
        <v>146</v>
      </c>
      <c r="N4" t="s">
        <v>147</v>
      </c>
      <c r="O4" t="s">
        <v>147</v>
      </c>
      <c r="P4" t="s">
        <v>147</v>
      </c>
      <c r="Q4" t="s">
        <v>147</v>
      </c>
      <c r="R4" t="s">
        <v>147</v>
      </c>
      <c r="S4" t="s">
        <v>147</v>
      </c>
      <c r="T4" t="s">
        <v>173</v>
      </c>
      <c r="U4" t="s">
        <v>144</v>
      </c>
    </row>
    <row r="5" spans="1:21" x14ac:dyDescent="0.2">
      <c r="A5" t="s">
        <v>93</v>
      </c>
      <c r="B5" t="s">
        <v>17</v>
      </c>
      <c r="C5">
        <v>1</v>
      </c>
      <c r="D5">
        <v>1</v>
      </c>
      <c r="E5">
        <v>14.52</v>
      </c>
      <c r="F5">
        <v>6</v>
      </c>
      <c r="G5">
        <v>15</v>
      </c>
      <c r="H5">
        <v>12</v>
      </c>
      <c r="I5">
        <v>12</v>
      </c>
      <c r="J5">
        <v>9</v>
      </c>
      <c r="K5" t="s">
        <v>169</v>
      </c>
      <c r="T5" t="s">
        <v>169</v>
      </c>
      <c r="U5" t="s">
        <v>149</v>
      </c>
    </row>
    <row r="6" spans="1:21" x14ac:dyDescent="0.2">
      <c r="A6" t="s">
        <v>136</v>
      </c>
      <c r="B6" t="s">
        <v>17</v>
      </c>
      <c r="C6">
        <v>1</v>
      </c>
      <c r="D6">
        <v>5</v>
      </c>
      <c r="E6">
        <v>13.32</v>
      </c>
      <c r="F6">
        <v>37</v>
      </c>
      <c r="G6">
        <v>10</v>
      </c>
      <c r="H6">
        <v>12</v>
      </c>
      <c r="I6">
        <v>4</v>
      </c>
      <c r="J6">
        <v>9</v>
      </c>
      <c r="K6" t="s">
        <v>138</v>
      </c>
      <c r="L6" t="s">
        <v>165</v>
      </c>
      <c r="Q6" t="s">
        <v>150</v>
      </c>
    </row>
    <row r="7" spans="1:21" x14ac:dyDescent="0.2">
      <c r="A7" t="s">
        <v>165</v>
      </c>
      <c r="B7" t="s">
        <v>18</v>
      </c>
      <c r="C7">
        <v>1</v>
      </c>
      <c r="D7">
        <v>1</v>
      </c>
      <c r="E7">
        <v>13.26</v>
      </c>
      <c r="F7">
        <v>197</v>
      </c>
      <c r="G7">
        <v>14</v>
      </c>
      <c r="H7">
        <v>14</v>
      </c>
      <c r="I7">
        <v>8</v>
      </c>
      <c r="J7">
        <v>15</v>
      </c>
      <c r="K7" t="s">
        <v>145</v>
      </c>
      <c r="L7" t="s">
        <v>146</v>
      </c>
      <c r="T7" t="s">
        <v>43</v>
      </c>
      <c r="U7" t="s">
        <v>144</v>
      </c>
    </row>
    <row r="8" spans="1:21" x14ac:dyDescent="0.2">
      <c r="A8" t="s">
        <v>87</v>
      </c>
      <c r="B8" t="s">
        <v>17</v>
      </c>
      <c r="C8">
        <v>1</v>
      </c>
      <c r="D8">
        <v>3</v>
      </c>
      <c r="E8">
        <v>6.06</v>
      </c>
      <c r="F8">
        <v>58</v>
      </c>
      <c r="G8">
        <v>8</v>
      </c>
      <c r="H8">
        <v>9</v>
      </c>
      <c r="I8">
        <v>9</v>
      </c>
      <c r="J8">
        <v>11</v>
      </c>
      <c r="K8" t="s">
        <v>128</v>
      </c>
      <c r="L8" t="s">
        <v>153</v>
      </c>
      <c r="T8" t="s">
        <v>128</v>
      </c>
      <c r="U8" t="s">
        <v>149</v>
      </c>
    </row>
    <row r="9" spans="1:21" x14ac:dyDescent="0.2">
      <c r="A9" t="s">
        <v>77</v>
      </c>
      <c r="B9" t="s">
        <v>17</v>
      </c>
      <c r="C9">
        <v>1</v>
      </c>
      <c r="D9">
        <v>4</v>
      </c>
      <c r="E9">
        <v>3.66</v>
      </c>
      <c r="F9">
        <v>107</v>
      </c>
      <c r="G9">
        <v>3</v>
      </c>
      <c r="H9">
        <v>11</v>
      </c>
      <c r="I9">
        <v>12</v>
      </c>
      <c r="J9">
        <v>11</v>
      </c>
      <c r="K9" t="s">
        <v>114</v>
      </c>
      <c r="T9" t="s">
        <v>114</v>
      </c>
      <c r="U9" t="s">
        <v>149</v>
      </c>
    </row>
    <row r="10" spans="1:21" x14ac:dyDescent="0.2">
      <c r="A10" t="s">
        <v>91</v>
      </c>
      <c r="B10" t="s">
        <v>17</v>
      </c>
      <c r="C10">
        <v>1</v>
      </c>
      <c r="D10">
        <v>2</v>
      </c>
      <c r="E10">
        <v>3.57</v>
      </c>
      <c r="F10">
        <v>105</v>
      </c>
      <c r="G10">
        <v>0</v>
      </c>
      <c r="H10">
        <v>13</v>
      </c>
      <c r="I10">
        <v>0</v>
      </c>
      <c r="J10">
        <v>10</v>
      </c>
      <c r="K10" t="s">
        <v>156</v>
      </c>
      <c r="L10" t="s">
        <v>153</v>
      </c>
      <c r="T10" t="s">
        <v>156</v>
      </c>
      <c r="U10" t="s">
        <v>148</v>
      </c>
    </row>
  </sheetData>
  <dataValidations count="1">
    <dataValidation type="list" allowBlank="1" showInputMessage="1" showErrorMessage="1" sqref="L2:L15">
      <formula1>$A$2:$A$15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7"/>
  <sheetViews>
    <sheetView tabSelected="1" workbookViewId="0">
      <selection activeCell="I10" sqref="I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166</v>
      </c>
      <c r="B2" t="s">
        <v>18</v>
      </c>
      <c r="C2">
        <v>1</v>
      </c>
      <c r="D2">
        <v>1</v>
      </c>
      <c r="E2">
        <v>26.88</v>
      </c>
      <c r="F2">
        <v>271</v>
      </c>
      <c r="G2">
        <v>19</v>
      </c>
      <c r="H2">
        <v>14</v>
      </c>
      <c r="I2">
        <v>16</v>
      </c>
      <c r="J2">
        <v>12</v>
      </c>
      <c r="K2" t="s">
        <v>145</v>
      </c>
      <c r="L2" t="s">
        <v>174</v>
      </c>
      <c r="T2" t="s">
        <v>175</v>
      </c>
      <c r="U2" t="s">
        <v>149</v>
      </c>
    </row>
    <row r="3" spans="1:21" x14ac:dyDescent="0.2">
      <c r="A3" t="s">
        <v>101</v>
      </c>
      <c r="B3" t="s">
        <v>17</v>
      </c>
      <c r="C3">
        <v>1</v>
      </c>
      <c r="D3">
        <v>3</v>
      </c>
      <c r="E3">
        <v>12</v>
      </c>
      <c r="F3">
        <v>114</v>
      </c>
      <c r="G3">
        <v>14</v>
      </c>
      <c r="H3">
        <v>10</v>
      </c>
      <c r="I3">
        <v>0</v>
      </c>
      <c r="J3">
        <v>8</v>
      </c>
      <c r="K3" t="s">
        <v>104</v>
      </c>
      <c r="L3" t="s">
        <v>166</v>
      </c>
      <c r="T3" t="s">
        <v>104</v>
      </c>
      <c r="U3" t="s">
        <v>144</v>
      </c>
    </row>
    <row r="4" spans="1:21" x14ac:dyDescent="0.2">
      <c r="A4" t="s">
        <v>97</v>
      </c>
      <c r="B4" t="s">
        <v>17</v>
      </c>
      <c r="C4">
        <v>1</v>
      </c>
      <c r="D4">
        <v>4</v>
      </c>
      <c r="E4">
        <v>7.77</v>
      </c>
      <c r="F4">
        <v>107</v>
      </c>
      <c r="G4">
        <v>25</v>
      </c>
      <c r="H4">
        <v>7</v>
      </c>
      <c r="I4">
        <v>7</v>
      </c>
      <c r="J4">
        <v>10</v>
      </c>
      <c r="K4" t="s">
        <v>126</v>
      </c>
      <c r="O4" t="s">
        <v>150</v>
      </c>
      <c r="T4" t="s">
        <v>126</v>
      </c>
      <c r="U4" t="s">
        <v>149</v>
      </c>
    </row>
    <row r="5" spans="1:21" x14ac:dyDescent="0.2">
      <c r="A5" t="s">
        <v>82</v>
      </c>
      <c r="B5" t="s">
        <v>17</v>
      </c>
      <c r="C5">
        <v>1</v>
      </c>
      <c r="D5">
        <v>2</v>
      </c>
      <c r="E5">
        <v>7.26</v>
      </c>
      <c r="F5">
        <v>148</v>
      </c>
      <c r="G5">
        <v>13</v>
      </c>
      <c r="H5">
        <v>8</v>
      </c>
      <c r="I5">
        <v>13</v>
      </c>
      <c r="J5">
        <v>15</v>
      </c>
      <c r="K5" t="s">
        <v>173</v>
      </c>
      <c r="L5" t="s">
        <v>166</v>
      </c>
      <c r="T5" t="s">
        <v>173</v>
      </c>
      <c r="U5" t="s">
        <v>144</v>
      </c>
    </row>
    <row r="6" spans="1:21" x14ac:dyDescent="0.2">
      <c r="A6" t="s">
        <v>95</v>
      </c>
      <c r="B6" t="s">
        <v>17</v>
      </c>
      <c r="C6">
        <v>1</v>
      </c>
      <c r="D6">
        <v>5</v>
      </c>
      <c r="E6">
        <v>7.08</v>
      </c>
      <c r="F6">
        <v>99</v>
      </c>
      <c r="G6">
        <v>4</v>
      </c>
      <c r="H6">
        <v>13</v>
      </c>
      <c r="I6">
        <v>8</v>
      </c>
      <c r="J6">
        <v>11</v>
      </c>
      <c r="K6" t="s">
        <v>133</v>
      </c>
      <c r="L6" t="s">
        <v>166</v>
      </c>
      <c r="T6" t="s">
        <v>133</v>
      </c>
      <c r="U6" t="s">
        <v>149</v>
      </c>
    </row>
    <row r="7" spans="1:21" x14ac:dyDescent="0.2">
      <c r="A7" t="s">
        <v>140</v>
      </c>
      <c r="B7" t="s">
        <v>17</v>
      </c>
      <c r="C7">
        <v>1</v>
      </c>
      <c r="D7">
        <v>1</v>
      </c>
      <c r="E7">
        <v>5.15</v>
      </c>
      <c r="F7">
        <v>115</v>
      </c>
      <c r="G7">
        <v>10</v>
      </c>
      <c r="H7">
        <v>12</v>
      </c>
      <c r="I7">
        <v>13</v>
      </c>
      <c r="J7">
        <v>17</v>
      </c>
      <c r="K7" t="s">
        <v>168</v>
      </c>
      <c r="L7" t="s">
        <v>166</v>
      </c>
      <c r="T7" t="s">
        <v>168</v>
      </c>
      <c r="U7" t="s">
        <v>144</v>
      </c>
    </row>
  </sheetData>
  <dataValidations count="1">
    <dataValidation type="list" allowBlank="1" showInputMessage="1" showErrorMessage="1" sqref="L2:L30">
      <formula1>$A$2:$A$30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Players</vt:lpstr>
      <vt:lpstr>Template</vt:lpstr>
      <vt:lpstr>Stand</vt:lpstr>
      <vt:lpstr>Defend</vt:lpstr>
      <vt:lpstr>Brave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2019-06-14T19:31:01Z</dcterms:modified>
</cp:coreProperties>
</file>