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0036DDE1-B1E9-45B1-BB2C-C7867C2A765B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Inn and Cafe" sheetId="31" r:id="rId4"/>
    <sheet name="Weapon Shop" sheetId="32" r:id="rId5"/>
    <sheet name="Tool Shop" sheetId="33" r:id="rId6"/>
    <sheet name="Butcher Shop" sheetId="35" r:id="rId7"/>
    <sheet name="Dojo" sheetId="36" r:id="rId8"/>
  </sheets>
  <externalReferences>
    <externalReference r:id="rId9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30" l="1"/>
  <c r="S4" i="30"/>
  <c r="S5" i="30"/>
  <c r="S6" i="30"/>
  <c r="S7" i="30"/>
  <c r="S9" i="30"/>
  <c r="S10" i="30"/>
  <c r="S11" i="30"/>
  <c r="S12" i="30"/>
  <c r="S13" i="30"/>
  <c r="S14" i="30"/>
  <c r="S15" i="30"/>
  <c r="S16" i="30"/>
  <c r="S17" i="30"/>
  <c r="L4" i="36"/>
  <c r="K4" i="36"/>
  <c r="F4" i="36"/>
  <c r="L3" i="36"/>
  <c r="K3" i="36"/>
  <c r="F3" i="36"/>
  <c r="L2" i="36"/>
  <c r="K2" i="36"/>
  <c r="F2" i="36"/>
  <c r="L4" i="35"/>
  <c r="K4" i="35"/>
  <c r="F4" i="35"/>
  <c r="L3" i="35"/>
  <c r="K3" i="35"/>
  <c r="F3" i="35"/>
  <c r="L2" i="35"/>
  <c r="K2" i="35"/>
  <c r="F2" i="35"/>
  <c r="R30" i="30"/>
  <c r="R29" i="30"/>
  <c r="S8" i="30" l="1"/>
  <c r="D10" i="30"/>
  <c r="C10" i="30"/>
  <c r="B10" i="30"/>
  <c r="D9" i="30"/>
  <c r="C9" i="30"/>
  <c r="B9" i="30"/>
  <c r="D8" i="30"/>
  <c r="C8" i="30"/>
  <c r="B8" i="30"/>
  <c r="G7" i="30"/>
  <c r="D7" i="30"/>
  <c r="C7" i="30"/>
  <c r="B7" i="30"/>
  <c r="D6" i="30"/>
  <c r="C6" i="30"/>
  <c r="B6" i="30"/>
  <c r="D5" i="30"/>
  <c r="C5" i="30"/>
  <c r="B5" i="30"/>
  <c r="H7" i="30" l="1"/>
  <c r="I7" i="30" s="1"/>
  <c r="H16" i="16"/>
  <c r="F3" i="33"/>
  <c r="F4" i="33"/>
  <c r="F2" i="33"/>
  <c r="F3" i="32"/>
  <c r="F4" i="32"/>
  <c r="F2" i="32"/>
  <c r="F3" i="31"/>
  <c r="F4" i="31"/>
  <c r="F2" i="31"/>
  <c r="M4" i="30"/>
  <c r="M7" i="30"/>
  <c r="M14" i="30"/>
  <c r="M15" i="30"/>
  <c r="M16" i="30"/>
  <c r="M10" i="30"/>
  <c r="M12" i="30"/>
  <c r="M3" i="30"/>
  <c r="M5" i="30"/>
  <c r="M13" i="30"/>
  <c r="M6" i="30"/>
  <c r="M11" i="30"/>
  <c r="M8" i="30"/>
  <c r="M17" i="30"/>
  <c r="M9" i="30"/>
  <c r="U6" i="16" l="1"/>
  <c r="U15" i="16"/>
  <c r="AG10" i="16"/>
  <c r="AG3" i="16"/>
  <c r="U7" i="16"/>
  <c r="U16" i="16"/>
  <c r="AD4" i="16"/>
  <c r="AG4" i="16"/>
  <c r="X12" i="16"/>
  <c r="U8" i="16"/>
  <c r="X9" i="16"/>
  <c r="AM8" i="16"/>
  <c r="AJ10" i="16"/>
  <c r="AD10" i="16"/>
  <c r="X13" i="16"/>
  <c r="U9" i="16"/>
  <c r="R15" i="16"/>
  <c r="U12" i="16"/>
  <c r="U13" i="16"/>
  <c r="AD11" i="16"/>
  <c r="R6" i="16"/>
  <c r="AD3" i="16"/>
  <c r="X7" i="16"/>
  <c r="R8" i="16"/>
  <c r="AP5" i="16" l="1"/>
  <c r="AD16" i="16"/>
  <c r="AG12" i="16"/>
  <c r="R11" i="16"/>
  <c r="AP15" i="16"/>
  <c r="AA12" i="16"/>
  <c r="X8" i="16"/>
  <c r="AG6" i="16"/>
  <c r="R4" i="16"/>
  <c r="AA8" i="16"/>
  <c r="AG8" i="16"/>
  <c r="R7" i="16"/>
  <c r="AM16" i="16"/>
  <c r="X16" i="16"/>
  <c r="AG16" i="16"/>
  <c r="AP13" i="16"/>
  <c r="AA10" i="16"/>
  <c r="U4" i="16"/>
  <c r="AD8" i="16"/>
  <c r="AM11" i="16"/>
  <c r="AM7" i="16"/>
  <c r="X4" i="16"/>
  <c r="AJ6" i="16"/>
  <c r="AG15" i="16"/>
  <c r="R13" i="16"/>
  <c r="AP9" i="16"/>
  <c r="AA6" i="16"/>
  <c r="AP12" i="16"/>
  <c r="R16" i="16"/>
  <c r="AD9" i="16"/>
  <c r="AM3" i="16"/>
  <c r="AJ12" i="16"/>
  <c r="AA2" i="16"/>
  <c r="AP6" i="16"/>
  <c r="AA3" i="16"/>
  <c r="AM15" i="16"/>
  <c r="AP17" i="16"/>
  <c r="AA14" i="16"/>
  <c r="AA9" i="16"/>
  <c r="AD12" i="16"/>
  <c r="AP3" i="16"/>
  <c r="AJ8" i="16"/>
  <c r="AD7" i="16"/>
  <c r="AA17" i="16"/>
  <c r="AM13" i="16"/>
  <c r="X10" i="16"/>
  <c r="AP14" i="16"/>
  <c r="AA11" i="16"/>
  <c r="U3" i="16"/>
  <c r="AJ9" i="16"/>
  <c r="AP8" i="16"/>
  <c r="AA5" i="16"/>
  <c r="AJ4" i="16"/>
  <c r="AM9" i="16"/>
  <c r="X6" i="16"/>
  <c r="AP10" i="16"/>
  <c r="AA7" i="16"/>
  <c r="AJ13" i="16"/>
  <c r="R9" i="16"/>
  <c r="AJ3" i="16"/>
  <c r="AA4" i="16"/>
  <c r="U11" i="16"/>
  <c r="AJ7" i="16"/>
  <c r="AM6" i="16"/>
  <c r="X3" i="16"/>
  <c r="AM12" i="16"/>
  <c r="R3" i="16"/>
  <c r="AP16" i="16"/>
  <c r="AA13" i="16"/>
  <c r="AD13" i="16"/>
  <c r="X15" i="16"/>
  <c r="AP2" i="16"/>
  <c r="AA15" i="16"/>
  <c r="AA16" i="16"/>
  <c r="R10" i="16"/>
  <c r="AG7" i="16"/>
  <c r="AP4" i="16"/>
  <c r="AG9" i="16"/>
  <c r="AP11" i="16"/>
  <c r="AJ16" i="16"/>
  <c r="X11" i="16"/>
  <c r="AD6" i="16"/>
  <c r="AG13" i="16"/>
  <c r="R12" i="16"/>
  <c r="X5" i="16"/>
  <c r="AJ11" i="16"/>
  <c r="U10" i="16"/>
  <c r="AM10" i="16"/>
  <c r="AG11" i="16"/>
  <c r="AM4" i="16"/>
  <c r="AJ15" i="16"/>
  <c r="AP7" i="16"/>
  <c r="AD15" i="16"/>
  <c r="J7" i="16" l="1"/>
  <c r="H7" i="16" l="1"/>
  <c r="I7" i="16" s="1"/>
  <c r="L16" i="16"/>
  <c r="J16" i="16"/>
  <c r="I16" i="16"/>
  <c r="L11" i="16"/>
  <c r="M11" i="16" s="1"/>
  <c r="L12" i="16"/>
  <c r="M12" i="16" s="1"/>
  <c r="K3" i="33" l="1"/>
  <c r="L3" i="33"/>
  <c r="K4" i="33"/>
  <c r="L4" i="33"/>
  <c r="L2" i="33"/>
  <c r="K2" i="33"/>
  <c r="K4" i="32"/>
  <c r="L4" i="32"/>
  <c r="K2" i="32"/>
  <c r="L2" i="32"/>
  <c r="L3" i="32"/>
  <c r="K3" i="32"/>
  <c r="K3" i="31"/>
  <c r="L3" i="31"/>
  <c r="K4" i="31"/>
  <c r="L4" i="31"/>
  <c r="L2" i="31"/>
  <c r="K2" i="31"/>
  <c r="R26" i="30"/>
  <c r="R32" i="30"/>
  <c r="R28" i="30"/>
  <c r="R33" i="30"/>
  <c r="R34" i="30"/>
  <c r="R31" i="30"/>
  <c r="R27" i="30"/>
  <c r="B4" i="30" l="1"/>
  <c r="B3" i="30" l="1"/>
  <c r="U4" i="30"/>
  <c r="AS3" i="16" s="1"/>
  <c r="U5" i="30"/>
  <c r="AS4" i="16" s="1"/>
  <c r="U6" i="30"/>
  <c r="AS5" i="16" s="1"/>
  <c r="U7" i="30"/>
  <c r="AS6" i="16" s="1"/>
  <c r="U8" i="30"/>
  <c r="AS7" i="16" s="1"/>
  <c r="U9" i="30"/>
  <c r="AS8" i="16" s="1"/>
  <c r="U10" i="30"/>
  <c r="AS9" i="16" s="1"/>
  <c r="U11" i="30"/>
  <c r="AS10" i="16" s="1"/>
  <c r="U12" i="30"/>
  <c r="AS11" i="16" s="1"/>
  <c r="U13" i="30"/>
  <c r="AS12" i="16" s="1"/>
  <c r="U14" i="30"/>
  <c r="AS13" i="16" s="1"/>
  <c r="U15" i="30"/>
  <c r="AS14" i="16" s="1"/>
  <c r="U16" i="30"/>
  <c r="AS15" i="16" s="1"/>
  <c r="U17" i="30"/>
  <c r="AS16" i="16" s="1"/>
  <c r="U3" i="30"/>
  <c r="AS2" i="16" s="1"/>
  <c r="AK17" i="16" l="1"/>
  <c r="AM17" i="16" s="1"/>
  <c r="AH17" i="16"/>
  <c r="AJ17" i="16" s="1"/>
  <c r="AE17" i="16"/>
  <c r="AG17" i="16" s="1"/>
  <c r="AB17" i="16"/>
  <c r="AD17" i="16" s="1"/>
  <c r="V17" i="16"/>
  <c r="X17" i="16" s="1"/>
  <c r="S17" i="16"/>
  <c r="U17" i="16" s="1"/>
  <c r="P17" i="16"/>
  <c r="R17" i="16" s="1"/>
  <c r="O17" i="16"/>
  <c r="M17" i="16"/>
  <c r="K17" i="16"/>
  <c r="I17" i="16"/>
  <c r="G17" i="16"/>
  <c r="G4" i="30" l="1"/>
  <c r="G10" i="30"/>
  <c r="H10" i="30" s="1"/>
  <c r="I10" i="30" s="1"/>
  <c r="G5" i="30"/>
  <c r="H5" i="30" s="1"/>
  <c r="I5" i="30" s="1"/>
  <c r="G9" i="30"/>
  <c r="H9" i="30" s="1"/>
  <c r="I9" i="30" s="1"/>
  <c r="G6" i="30"/>
  <c r="H6" i="30" s="1"/>
  <c r="I6" i="30" s="1"/>
  <c r="G8" i="30"/>
  <c r="H8" i="30" s="1"/>
  <c r="I8" i="30" s="1"/>
  <c r="K3" i="1"/>
  <c r="L3" i="1"/>
  <c r="K4" i="1"/>
  <c r="L4" i="1"/>
  <c r="L2" i="1"/>
  <c r="K2" i="1"/>
  <c r="O16" i="16"/>
  <c r="M16" i="16"/>
  <c r="J13" i="16" l="1"/>
  <c r="I13" i="16"/>
  <c r="O15" i="16"/>
  <c r="M15" i="16"/>
  <c r="I15" i="16"/>
  <c r="AK14" i="16" l="1"/>
  <c r="AM14" i="16" s="1"/>
  <c r="AH14" i="16"/>
  <c r="AJ14" i="16" s="1"/>
  <c r="AE14" i="16"/>
  <c r="AG14" i="16" s="1"/>
  <c r="AB14" i="16"/>
  <c r="AD14" i="16" s="1"/>
  <c r="V14" i="16"/>
  <c r="X14" i="16" s="1"/>
  <c r="S14" i="16"/>
  <c r="U14" i="16" s="1"/>
  <c r="P14" i="16"/>
  <c r="R14" i="16" s="1"/>
  <c r="O14" i="16"/>
  <c r="M14" i="16"/>
  <c r="K14" i="16"/>
  <c r="I14" i="16"/>
  <c r="G14" i="16"/>
  <c r="M13" i="16"/>
  <c r="O13" i="16"/>
  <c r="O12" i="16"/>
  <c r="I12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M5" i="16" s="1"/>
  <c r="AH5" i="16"/>
  <c r="AJ5" i="16" s="1"/>
  <c r="AE5" i="16"/>
  <c r="AG5" i="16" s="1"/>
  <c r="AB5" i="16"/>
  <c r="AD5" i="16" s="1"/>
  <c r="S5" i="16"/>
  <c r="U5" i="16" s="1"/>
  <c r="P5" i="16"/>
  <c r="R5" i="16" s="1"/>
  <c r="O5" i="16"/>
  <c r="M5" i="16"/>
  <c r="K5" i="16"/>
  <c r="I5" i="16"/>
  <c r="G5" i="16"/>
  <c r="O4" i="16"/>
  <c r="M4" i="16"/>
  <c r="I4" i="16"/>
  <c r="AK2" i="16"/>
  <c r="AM2" i="16" s="1"/>
  <c r="AH2" i="16"/>
  <c r="AJ2" i="16" s="1"/>
  <c r="AE2" i="16"/>
  <c r="AG2" i="16" s="1"/>
  <c r="AB2" i="16"/>
  <c r="AD2" i="16" s="1"/>
  <c r="V2" i="16"/>
  <c r="X2" i="16" s="1"/>
  <c r="S2" i="16"/>
  <c r="U2" i="16" s="1"/>
  <c r="P2" i="16"/>
  <c r="R2" i="16" s="1"/>
  <c r="O3" i="16"/>
  <c r="M3" i="16"/>
  <c r="I3" i="16"/>
  <c r="O2" i="16" l="1"/>
  <c r="D4" i="30" s="1"/>
  <c r="H4" i="30" s="1"/>
  <c r="M2" i="16"/>
  <c r="K2" i="16"/>
  <c r="I2" i="16"/>
  <c r="G2" i="16"/>
  <c r="C4" i="30" s="1"/>
  <c r="I4" i="30" l="1"/>
  <c r="A17" i="16"/>
  <c r="A16" i="16"/>
  <c r="A15" i="16"/>
  <c r="A14" i="16"/>
  <c r="A13" i="16"/>
  <c r="G3" i="30" l="1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K16" i="16" l="1"/>
  <c r="K7" i="16"/>
  <c r="G16" i="16"/>
  <c r="C3" i="30" s="1"/>
  <c r="I3" i="30" s="1"/>
  <c r="K10" i="16"/>
  <c r="K15" i="16"/>
  <c r="K8" i="16"/>
  <c r="G13" i="16"/>
  <c r="G7" i="16"/>
  <c r="K4" i="16"/>
  <c r="G12" i="16"/>
  <c r="K3" i="16"/>
  <c r="K12" i="16"/>
  <c r="K11" i="16"/>
  <c r="K9" i="16"/>
  <c r="K13" i="16"/>
  <c r="K6" i="16"/>
</calcChain>
</file>

<file path=xl/sharedStrings.xml><?xml version="1.0" encoding="utf-8"?>
<sst xmlns="http://schemas.openxmlformats.org/spreadsheetml/2006/main" count="450" uniqueCount="173">
  <si>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</si>
  <si>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</si>
  <si>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</si>
  <si>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</si>
  <si>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</si>
  <si>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</si>
  <si>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</si>
  <si>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</si>
  <si>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</si>
  <si>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</si>
  <si>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</si>
  <si>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</si>
  <si>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</si>
  <si>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</si>
  <si>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</si>
  <si>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</si>
  <si>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</si>
  <si>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</si>
  <si>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</si>
  <si>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</si>
  <si>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</si>
  <si>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</si>
  <si>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</si>
  <si>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</si>
  <si>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</si>
  <si>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</si>
  <si>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</si>
  <si>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</si>
  <si>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</si>
  <si>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</si>
  <si>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</si>
  <si>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</si>
  <si>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</si>
  <si>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</si>
  <si>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</si>
  <si>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</si>
  <si>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</si>
  <si>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</si>
  <si>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</si>
  <si>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</si>
  <si>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</si>
  <si>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</si>
  <si>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</si>
  <si>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</si>
  <si>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</si>
  <si>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</si>
  <si>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</si>
  <si>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</si>
  <si>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</si>
  <si>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</si>
  <si>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</si>
  <si>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</si>
  <si>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</si>
  <si>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</si>
  <si>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</si>
  <si>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</si>
  <si>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</si>
  <si>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</si>
  <si>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</si>
  <si>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</si>
  <si>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</si>
  <si>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</si>
  <si>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</si>
  <si>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</si>
  <si>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</si>
  <si>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</si>
  <si>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</si>
  <si>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</si>
  <si>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</si>
  <si>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</si>
  <si>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</si>
  <si>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</si>
  <si>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</si>
  <si>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</si>
  <si>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</si>
  <si>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</si>
  <si>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</si>
  <si>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</si>
  <si>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</si>
  <si>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</si>
  <si>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</si>
  <si>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</si>
  <si>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</si>
  <si>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</si>
  <si>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</si>
  <si>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</si>
  <si>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</si>
  <si>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</si>
  <si>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</si>
  <si>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</si>
  <si>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</si>
  <si>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</si>
  <si>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</si>
  <si>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</si>
  <si>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</si>
  <si>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</si>
  <si>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</si>
  <si>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</si>
  <si>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</si>
  <si>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</si>
  <si>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</si>
  <si>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</si>
  <si>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</si>
  <si>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</si>
  <si>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</si>
  <si>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</si>
  <si>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</si>
  <si>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</si>
  <si>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</si>
  <si>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</si>
  <si>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</si>
  <si>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</si>
  <si>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</si>
  <si>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</si>
  <si>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</si>
  <si>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</si>
  <si>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</si>
  <si>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</si>
  <si>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</si>
  <si>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</si>
  <si>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</si>
  <si>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</si>
  <si>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</si>
  <si>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</si>
  <si>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</si>
  <si>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</si>
  <si>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</si>
  <si>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</si>
  <si>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</si>
  <si>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</si>
  <si>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</si>
  <si>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</si>
  <si>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</si>
  <si>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</si>
  <si>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</si>
  <si>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</si>
  <si>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</si>
  <si>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</si>
  <si>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</si>
  <si>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BabyWyrm</t>
  </si>
  <si>
    <t>Sleep</t>
  </si>
  <si>
    <t>Tab</t>
  </si>
  <si>
    <t>Bronze Helm</t>
  </si>
  <si>
    <t>Cure Potion - 4</t>
  </si>
  <si>
    <t>Warning</t>
  </si>
  <si>
    <t>Lizard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</si>
  <si>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</si>
  <si>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</si>
  <si>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</si>
  <si>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</si>
  <si>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</si>
  <si>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</si>
  <si>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</si>
  <si>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</si>
  <si>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Tusk</t>
  </si>
  <si>
    <t>Beak</t>
  </si>
  <si>
    <t>Gold Won By Battle</t>
  </si>
  <si>
    <t>Weapon Usage</t>
  </si>
  <si>
    <t>Bronze Shield - 50</t>
  </si>
  <si>
    <t>Hammer - 50</t>
  </si>
  <si>
    <t>Silver</t>
  </si>
  <si>
    <t>Breath</t>
  </si>
  <si>
    <t>Jaguar</t>
  </si>
  <si>
    <t>Spider</t>
  </si>
  <si>
    <t>Skelton</t>
  </si>
  <si>
    <t>Gang</t>
  </si>
  <si>
    <t>Asigaru</t>
  </si>
  <si>
    <t>Odd Eye</t>
  </si>
  <si>
    <t>Butcher Shop</t>
  </si>
  <si>
    <t>Dojo</t>
  </si>
  <si>
    <t>Tool Shop</t>
  </si>
  <si>
    <t>Weapon Shop</t>
  </si>
  <si>
    <t>Inn and Cafe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</si>
</sst>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1" fillId="0" borderId="0"/>
  </cellStyleXfs>
  <cellXfs count="107">
    <xf numFmtId="0" fontId="0" fillId="0" borderId="0" xfId="0"/>
    <xf numFmtId="0" fontId="31" fillId="0" borderId="0" xfId="1"/>
    <xf numFmtId="0" fontId="31" fillId="2" borderId="0" xfId="1" applyFill="1"/>
    <xf numFmtId="0" fontId="31" fillId="0" borderId="1" xfId="1" applyBorder="1"/>
    <xf numFmtId="0" fontId="31" fillId="0" borderId="0" xfId="1" applyBorder="1"/>
    <xf numFmtId="0" fontId="31" fillId="2" borderId="5" xfId="1" applyFill="1" applyBorder="1"/>
    <xf numFmtId="0" fontId="31" fillId="0" borderId="0" xfId="1" applyAlignment="1">
      <alignment horizontal="center"/>
    </xf>
    <xf numFmtId="0" fontId="25" fillId="0" borderId="0" xfId="1" applyFont="1" applyAlignment="1">
      <alignment horizontal="center"/>
    </xf>
    <xf numFmtId="0" fontId="22" fillId="0" borderId="0" xfId="1" applyFont="1"/>
    <xf numFmtId="0" fontId="23" fillId="0" borderId="0" xfId="1" applyFont="1" applyAlignment="1">
      <alignment horizontal="center"/>
    </xf>
    <xf numFmtId="0" fontId="0" fillId="3" borderId="0" xfId="0" applyFill="1"/>
    <xf numFmtId="0" fontId="21" fillId="0" borderId="0" xfId="1" applyFont="1"/>
    <xf numFmtId="0" fontId="31" fillId="0" borderId="0" xfId="1" applyAlignment="1">
      <alignment horizontal="center" textRotation="90"/>
    </xf>
    <xf numFmtId="0" fontId="31" fillId="0" borderId="2" xfId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31" fillId="2" borderId="2" xfId="1" applyFill="1" applyBorder="1" applyAlignment="1">
      <alignment horizontal="center" textRotation="90" wrapText="1"/>
    </xf>
    <xf numFmtId="0" fontId="29" fillId="0" borderId="3" xfId="1" applyFont="1" applyBorder="1" applyAlignment="1">
      <alignment horizontal="center" textRotation="90" wrapText="1"/>
    </xf>
    <xf numFmtId="0" fontId="31" fillId="2" borderId="4" xfId="1" applyFill="1" applyBorder="1" applyAlignment="1">
      <alignment horizontal="center" textRotation="90" wrapText="1"/>
    </xf>
    <xf numFmtId="0" fontId="29" fillId="0" borderId="2" xfId="1" applyFont="1" applyBorder="1" applyAlignment="1">
      <alignment horizontal="center" textRotation="90" wrapText="1"/>
    </xf>
    <xf numFmtId="0" fontId="28" fillId="0" borderId="2" xfId="1" applyFont="1" applyBorder="1" applyAlignment="1">
      <alignment horizontal="center" textRotation="90" wrapText="1"/>
    </xf>
    <xf numFmtId="0" fontId="27" fillId="0" borderId="2" xfId="1" applyFont="1" applyBorder="1" applyAlignment="1">
      <alignment horizontal="center" textRotation="90" wrapText="1"/>
    </xf>
    <xf numFmtId="0" fontId="30" fillId="0" borderId="2" xfId="1" applyFont="1" applyBorder="1" applyAlignment="1">
      <alignment horizontal="center" textRotation="90" wrapText="1"/>
    </xf>
    <xf numFmtId="0" fontId="24" fillId="0" borderId="0" xfId="1" applyFont="1" applyAlignment="1">
      <alignment horizontal="center" textRotation="90" wrapText="1"/>
    </xf>
    <xf numFmtId="0" fontId="31" fillId="0" borderId="0" xfId="1" applyAlignment="1">
      <alignment horizontal="center" textRotation="90" wrapText="1"/>
    </xf>
    <xf numFmtId="0" fontId="31" fillId="5" borderId="3" xfId="1" applyFill="1" applyBorder="1" applyAlignment="1">
      <alignment horizontal="center" textRotation="90" wrapText="1"/>
    </xf>
    <xf numFmtId="0" fontId="31" fillId="5" borderId="1" xfId="1" applyFill="1" applyBorder="1"/>
    <xf numFmtId="0" fontId="23" fillId="5" borderId="1" xfId="1" applyFont="1" applyFill="1" applyBorder="1"/>
    <xf numFmtId="0" fontId="21" fillId="5" borderId="1" xfId="1" applyFont="1" applyFill="1" applyBorder="1"/>
    <xf numFmtId="0" fontId="29" fillId="5" borderId="3" xfId="1" applyFont="1" applyFill="1" applyBorder="1" applyAlignment="1">
      <alignment horizontal="center" textRotation="90" wrapText="1"/>
    </xf>
    <xf numFmtId="0" fontId="29" fillId="5" borderId="1" xfId="1" applyFont="1" applyFill="1" applyBorder="1"/>
    <xf numFmtId="0" fontId="26" fillId="0" borderId="4" xfId="1" applyFont="1" applyBorder="1" applyAlignment="1">
      <alignment horizontal="center" textRotation="90" wrapText="1"/>
    </xf>
    <xf numFmtId="0" fontId="31" fillId="0" borderId="5" xfId="1" applyBorder="1" applyAlignment="1">
      <alignment horizontal="center"/>
    </xf>
    <xf numFmtId="0" fontId="20" fillId="0" borderId="0" xfId="1" applyFont="1"/>
    <xf numFmtId="0" fontId="20" fillId="0" borderId="0" xfId="1" applyFont="1" applyFill="1"/>
    <xf numFmtId="0" fontId="20" fillId="5" borderId="3" xfId="1" applyFont="1" applyFill="1" applyBorder="1" applyAlignment="1">
      <alignment horizontal="center" textRotation="90" wrapText="1"/>
    </xf>
    <xf numFmtId="0" fontId="20" fillId="0" borderId="2" xfId="1" applyFont="1" applyBorder="1" applyAlignment="1">
      <alignment horizontal="center" textRotation="90" wrapText="1"/>
    </xf>
    <xf numFmtId="0" fontId="20" fillId="5" borderId="1" xfId="1" applyFont="1" applyFill="1" applyBorder="1"/>
    <xf numFmtId="0" fontId="19" fillId="5" borderId="1" xfId="1" applyFont="1" applyFill="1" applyBorder="1"/>
    <xf numFmtId="0" fontId="18" fillId="5" borderId="1" xfId="1" applyFont="1" applyFill="1" applyBorder="1"/>
    <xf numFmtId="0" fontId="18" fillId="0" borderId="0" xfId="1" applyFont="1"/>
    <xf numFmtId="0" fontId="17" fillId="0" borderId="0" xfId="1" applyFont="1" applyFill="1"/>
    <xf numFmtId="0" fontId="17" fillId="0" borderId="0" xfId="1" applyFont="1"/>
    <xf numFmtId="0" fontId="17" fillId="5" borderId="1" xfId="1" applyFont="1" applyFill="1" applyBorder="1"/>
    <xf numFmtId="0" fontId="16" fillId="0" borderId="0" xfId="1" applyFont="1" applyFill="1"/>
    <xf numFmtId="0" fontId="16" fillId="0" borderId="0" xfId="1" applyFont="1"/>
    <xf numFmtId="0" fontId="16" fillId="5" borderId="1" xfId="1" applyFont="1" applyFill="1" applyBorder="1"/>
    <xf numFmtId="0" fontId="15" fillId="5" borderId="1" xfId="1" applyFont="1" applyFill="1" applyBorder="1"/>
    <xf numFmtId="0" fontId="15" fillId="0" borderId="0" xfId="1" applyFont="1" applyFill="1"/>
    <xf numFmtId="0" fontId="34" fillId="2" borderId="5" xfId="1" applyFont="1" applyFill="1" applyBorder="1"/>
    <xf numFmtId="0" fontId="14" fillId="0" borderId="0" xfId="1" applyFont="1" applyFill="1"/>
    <xf numFmtId="0" fontId="0" fillId="0" borderId="11" xfId="0" applyBorder="1"/>
    <xf numFmtId="0" fontId="0" fillId="0" borderId="9" xfId="0" applyBorder="1"/>
    <xf numFmtId="0" fontId="17" fillId="0" borderId="9" xfId="1" applyFont="1" applyFill="1" applyBorder="1"/>
    <xf numFmtId="0" fontId="16" fillId="0" borderId="9" xfId="1" applyFont="1" applyFill="1" applyBorder="1"/>
    <xf numFmtId="0" fontId="14" fillId="0" borderId="9" xfId="1" applyFont="1" applyFill="1" applyBorder="1"/>
    <xf numFmtId="0" fontId="36" fillId="0" borderId="9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6" fillId="3" borderId="6" xfId="0" applyFont="1" applyFill="1" applyBorder="1"/>
    <xf numFmtId="0" fontId="36" fillId="0" borderId="7" xfId="0" applyFont="1" applyBorder="1"/>
    <xf numFmtId="0" fontId="36" fillId="3" borderId="7" xfId="0" applyFont="1" applyFill="1" applyBorder="1"/>
    <xf numFmtId="0" fontId="36" fillId="4" borderId="8" xfId="0" applyFont="1" applyFill="1" applyBorder="1"/>
    <xf numFmtId="0" fontId="13" fillId="0" borderId="0" xfId="1" applyFont="1" applyFill="1"/>
    <xf numFmtId="0" fontId="33" fillId="0" borderId="0" xfId="1" applyFont="1" applyBorder="1"/>
    <xf numFmtId="0" fontId="12" fillId="0" borderId="0" xfId="1" applyFont="1"/>
    <xf numFmtId="0" fontId="31" fillId="6" borderId="0" xfId="1" applyFill="1"/>
    <xf numFmtId="0" fontId="0" fillId="0" borderId="0" xfId="0" applyBorder="1"/>
    <xf numFmtId="0" fontId="0" fillId="0" borderId="12" xfId="0" applyBorder="1"/>
    <xf numFmtId="0" fontId="11" fillId="0" borderId="0" xfId="1" applyFont="1"/>
    <xf numFmtId="0" fontId="11" fillId="5" borderId="1" xfId="1" applyFont="1" applyFill="1" applyBorder="1"/>
    <xf numFmtId="0" fontId="0" fillId="0" borderId="0" xfId="0" applyAlignment="1">
      <alignment horizontal="center"/>
    </xf>
    <xf numFmtId="0" fontId="17" fillId="7" borderId="0" xfId="1" applyFont="1" applyFill="1"/>
    <xf numFmtId="0" fontId="16" fillId="7" borderId="0" xfId="1" applyFont="1" applyFill="1"/>
    <xf numFmtId="0" fontId="16" fillId="8" borderId="0" xfId="1" applyFont="1" applyFill="1"/>
    <xf numFmtId="0" fontId="15" fillId="8" borderId="0" xfId="1" applyFont="1" applyFill="1"/>
    <xf numFmtId="0" fontId="13" fillId="8" borderId="0" xfId="1" applyFont="1" applyFill="1"/>
    <xf numFmtId="0" fontId="10" fillId="5" borderId="1" xfId="1" applyFont="1" applyFill="1" applyBorder="1"/>
    <xf numFmtId="0" fontId="9" fillId="5" borderId="1" xfId="1" applyFont="1" applyFill="1" applyBorder="1"/>
    <xf numFmtId="0" fontId="33" fillId="0" borderId="1" xfId="1" applyFont="1" applyBorder="1"/>
    <xf numFmtId="0" fontId="8" fillId="5" borderId="1" xfId="1" applyFont="1" applyFill="1" applyBorder="1"/>
    <xf numFmtId="0" fontId="8" fillId="0" borderId="0" xfId="1" applyFont="1"/>
    <xf numFmtId="0" fontId="7" fillId="5" borderId="1" xfId="1" applyFont="1" applyFill="1" applyBorder="1"/>
    <xf numFmtId="0" fontId="15" fillId="0" borderId="17" xfId="1" applyFont="1" applyBorder="1"/>
    <xf numFmtId="0" fontId="6" fillId="5" borderId="1" xfId="1" applyFont="1" applyFill="1" applyBorder="1"/>
    <xf numFmtId="0" fontId="5" fillId="0" borderId="0" xfId="1" applyFont="1"/>
    <xf numFmtId="0" fontId="4" fillId="5" borderId="1" xfId="1" applyFont="1" applyFill="1" applyBorder="1"/>
    <xf numFmtId="0" fontId="3" fillId="5" borderId="1" xfId="1" applyFont="1" applyFill="1" applyBorder="1"/>
    <xf numFmtId="0" fontId="0" fillId="0" borderId="10" xfId="0" applyBorder="1"/>
    <xf numFmtId="0" fontId="0" fillId="0" borderId="13" xfId="0" applyBorder="1"/>
    <xf numFmtId="0" fontId="36" fillId="0" borderId="9" xfId="0" applyFont="1" applyBorder="1"/>
    <xf numFmtId="0" fontId="36" fillId="0" borderId="0" xfId="0" applyFont="1" applyBorder="1"/>
    <xf numFmtId="0" fontId="36" fillId="0" borderId="10" xfId="0" applyFont="1" applyBorder="1"/>
    <xf numFmtId="0" fontId="3" fillId="0" borderId="0" xfId="1" applyFont="1" applyAlignment="1">
      <alignment horizontal="center"/>
    </xf>
    <xf numFmtId="0" fontId="2" fillId="5" borderId="1" xfId="1" applyFont="1" applyFill="1" applyBorder="1"/>
    <xf numFmtId="0" fontId="2" fillId="0" borderId="0" xfId="1" applyFont="1"/>
    <xf numFmtId="0" fontId="35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16" xfId="0" applyFont="1" applyBorder="1" applyAlignment="1">
      <alignment horizontal="center"/>
    </xf>
    <xf numFmtId="0" fontId="1" fillId="8" borderId="0" xfId="1" applyFont="1" applyFill="1"/>
    <xf numFmtId="0" fontId="1" fillId="0" borderId="0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Warning</v>
          </cell>
          <cell r="R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Wing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15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Constrict</v>
          </cell>
          <cell r="B174" t="str">
            <v>Constrict</v>
          </cell>
          <cell r="C174" t="str">
            <v>Constrict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ChaosGas</v>
          </cell>
          <cell r="B211" t="str">
            <v>ChaosGas</v>
          </cell>
          <cell r="C211" t="str">
            <v>ChaosGas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Web</v>
          </cell>
          <cell r="B213" t="str">
            <v>Web</v>
          </cell>
          <cell r="C213" t="str">
            <v>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MadSong</v>
          </cell>
          <cell r="B227" t="str">
            <v>MadSong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H262">
            <v>400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Crash</v>
          </cell>
          <cell r="B271" t="str">
            <v>Crash</v>
          </cell>
          <cell r="C271" t="str">
            <v>Crash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  <row r="274">
          <cell r="A274" t="str">
            <v>Spit</v>
          </cell>
          <cell r="B274" t="str">
            <v>Spit</v>
          </cell>
          <cell r="G274">
            <v>15</v>
          </cell>
        </row>
        <row r="275">
          <cell r="B275" t="str">
            <v>Decapitate</v>
          </cell>
          <cell r="C275" t="str">
            <v>Decapitate</v>
          </cell>
          <cell r="G275">
            <v>10</v>
          </cell>
        </row>
        <row r="276">
          <cell r="B276" t="str">
            <v>Roar</v>
          </cell>
          <cell r="C276" t="str">
            <v>Roar</v>
          </cell>
          <cell r="G276">
            <v>10</v>
          </cell>
        </row>
        <row r="277">
          <cell r="B277" t="str">
            <v>Wing</v>
          </cell>
          <cell r="C277" t="str">
            <v>Wing</v>
          </cell>
          <cell r="G277">
            <v>30</v>
          </cell>
        </row>
        <row r="278">
          <cell r="B278" t="str">
            <v>Repeat X-Bow</v>
          </cell>
          <cell r="D278" t="str">
            <v>Bow</v>
          </cell>
          <cell r="G278">
            <v>40</v>
          </cell>
        </row>
        <row r="279">
          <cell r="B279" t="str">
            <v>Psi Flurry</v>
          </cell>
          <cell r="G279">
            <v>10</v>
          </cell>
        </row>
        <row r="280">
          <cell r="B280" t="str">
            <v>Hex</v>
          </cell>
          <cell r="G280">
            <v>15</v>
          </cell>
        </row>
        <row r="281">
          <cell r="B281" t="str">
            <v>Charge</v>
          </cell>
          <cell r="C281" t="str">
            <v>Charge</v>
          </cell>
          <cell r="G281">
            <v>10</v>
          </cell>
        </row>
        <row r="282">
          <cell r="B282" t="str">
            <v>DiveBomb</v>
          </cell>
          <cell r="C282" t="str">
            <v>DiveBomb</v>
          </cell>
          <cell r="G282">
            <v>15</v>
          </cell>
        </row>
        <row r="283">
          <cell r="B283" t="str">
            <v>Trample</v>
          </cell>
          <cell r="C283" t="str">
            <v>Trample</v>
          </cell>
          <cell r="G283">
            <v>15</v>
          </cell>
        </row>
        <row r="285">
          <cell r="G285" t="str">
            <v>Uses</v>
          </cell>
        </row>
        <row r="286">
          <cell r="D286" t="str">
            <v>Strike</v>
          </cell>
          <cell r="G286">
            <v>60</v>
          </cell>
        </row>
        <row r="287">
          <cell r="D287" t="str">
            <v>M-Strike</v>
          </cell>
        </row>
        <row r="288">
          <cell r="D288" t="str">
            <v>Strike Base</v>
          </cell>
          <cell r="G288">
            <v>80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W18" sqref="W18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25" bestFit="1" customWidth="1"/>
    <col min="17" max="18" width="3.7109375" style="6" bestFit="1" customWidth="1"/>
    <col min="19" max="19" width="14.85546875" style="25" bestFit="1" customWidth="1"/>
    <col min="20" max="21" width="3.7109375" style="6" bestFit="1" customWidth="1"/>
    <col min="22" max="22" width="13.7109375" style="25" bestFit="1" customWidth="1"/>
    <col min="23" max="24" width="3.7109375" style="6" bestFit="1" customWidth="1"/>
    <col min="25" max="25" width="14.140625" style="25" bestFit="1" customWidth="1"/>
    <col min="26" max="27" width="3.7109375" style="6" bestFit="1" customWidth="1"/>
    <col min="28" max="28" width="13.42578125" style="25" bestFit="1" customWidth="1"/>
    <col min="29" max="30" width="3.7109375" style="6" bestFit="1" customWidth="1"/>
    <col min="31" max="31" width="13.28515625" style="25" bestFit="1" customWidth="1"/>
    <col min="32" max="33" width="3.7109375" style="6" bestFit="1" customWidth="1"/>
    <col min="34" max="34" width="13.28515625" style="25" bestFit="1" customWidth="1"/>
    <col min="35" max="36" width="3.7109375" style="6" bestFit="1" customWidth="1"/>
    <col min="37" max="37" width="11.28515625" style="25" bestFit="1" customWidth="1"/>
    <col min="38" max="39" width="3.7109375" style="6" bestFit="1" customWidth="1"/>
    <col min="40" max="40" width="9.140625" style="25" bestFit="1" customWidth="1"/>
    <col min="41" max="41" width="3.7109375" style="6" bestFit="1" customWidth="1"/>
    <col min="42" max="42" width="3.7109375" style="3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3" customFormat="1" ht="75.75" customHeight="1" x14ac:dyDescent="0.2">
      <c r="A1" s="12" t="s">
        <v>18</v>
      </c>
      <c r="B1" s="13" t="s">
        <v>40</v>
      </c>
      <c r="C1" s="14" t="s">
        <v>71</v>
      </c>
      <c r="D1" s="13" t="s">
        <v>39</v>
      </c>
      <c r="E1" s="13" t="s">
        <v>38</v>
      </c>
      <c r="F1" s="14" t="s">
        <v>69</v>
      </c>
      <c r="G1" s="15" t="s">
        <v>37</v>
      </c>
      <c r="H1" s="16" t="s">
        <v>44</v>
      </c>
      <c r="I1" s="17" t="s">
        <v>36</v>
      </c>
      <c r="J1" s="18" t="s">
        <v>45</v>
      </c>
      <c r="K1" s="15" t="s">
        <v>35</v>
      </c>
      <c r="L1" s="16" t="s">
        <v>46</v>
      </c>
      <c r="M1" s="17" t="s">
        <v>34</v>
      </c>
      <c r="N1" s="18" t="s">
        <v>47</v>
      </c>
      <c r="O1" s="15" t="s">
        <v>33</v>
      </c>
      <c r="P1" s="24" t="s">
        <v>32</v>
      </c>
      <c r="Q1" s="19" t="s">
        <v>50</v>
      </c>
      <c r="R1" s="20" t="s">
        <v>61</v>
      </c>
      <c r="S1" s="24" t="s">
        <v>31</v>
      </c>
      <c r="T1" s="19" t="s">
        <v>52</v>
      </c>
      <c r="U1" s="20" t="s">
        <v>62</v>
      </c>
      <c r="V1" s="24" t="s">
        <v>30</v>
      </c>
      <c r="W1" s="19" t="s">
        <v>53</v>
      </c>
      <c r="X1" s="20" t="s">
        <v>63</v>
      </c>
      <c r="Y1" s="24" t="s">
        <v>29</v>
      </c>
      <c r="Z1" s="19" t="s">
        <v>54</v>
      </c>
      <c r="AA1" s="20" t="s">
        <v>64</v>
      </c>
      <c r="AB1" s="34" t="s">
        <v>28</v>
      </c>
      <c r="AC1" s="35" t="s">
        <v>55</v>
      </c>
      <c r="AD1" s="20" t="s">
        <v>65</v>
      </c>
      <c r="AE1" s="24" t="s">
        <v>27</v>
      </c>
      <c r="AF1" s="19" t="s">
        <v>56</v>
      </c>
      <c r="AG1" s="20" t="s">
        <v>66</v>
      </c>
      <c r="AH1" s="24" t="s">
        <v>26</v>
      </c>
      <c r="AI1" s="19" t="s">
        <v>57</v>
      </c>
      <c r="AJ1" s="20" t="s">
        <v>67</v>
      </c>
      <c r="AK1" s="24" t="s">
        <v>25</v>
      </c>
      <c r="AL1" s="19" t="s">
        <v>58</v>
      </c>
      <c r="AM1" s="20" t="s">
        <v>68</v>
      </c>
      <c r="AN1" s="28" t="s">
        <v>48</v>
      </c>
      <c r="AO1" s="19" t="s">
        <v>51</v>
      </c>
      <c r="AP1" s="30" t="s">
        <v>70</v>
      </c>
      <c r="AQ1" s="18" t="s">
        <v>49</v>
      </c>
      <c r="AR1" s="21" t="s">
        <v>43</v>
      </c>
      <c r="AS1" s="22" t="s">
        <v>72</v>
      </c>
      <c r="AT1" s="22" t="s">
        <v>73</v>
      </c>
    </row>
    <row r="2" spans="1:46" x14ac:dyDescent="0.25">
      <c r="A2" s="69" t="str">
        <f t="shared" ref="A2:A12" si="0">B2</f>
        <v>Rando</v>
      </c>
      <c r="B2" s="66" t="s">
        <v>92</v>
      </c>
      <c r="C2" s="96"/>
      <c r="D2" s="41" t="s">
        <v>75</v>
      </c>
      <c r="E2" s="88" t="s">
        <v>145</v>
      </c>
      <c r="F2">
        <v>59</v>
      </c>
      <c r="G2" s="2">
        <f>IF(ISBLANK(VLOOKUP($E2,[1]Monster!$A$2:$X$256,10,FALSE)),"",VLOOKUP($E2,[1]Monster!$A$2:$X$256,10,FALSE))</f>
        <v>59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2</v>
      </c>
      <c r="N2" s="4">
        <v>0</v>
      </c>
      <c r="O2" s="2">
        <f>IF(ISBLANK(VLOOKUP($E2,[1]Monster!$A$2:$X$256,13,FALSE)),"",VLOOKUP($E2,[1]Monster!$A$2:$X$256,13,FALSE))+N2</f>
        <v>5</v>
      </c>
      <c r="P2" s="36" t="str">
        <f>IF(ISBLANK(VLOOKUP($E2,[1]Monster!$A$2:$X$256,16,FALSE)),"",VLOOKUP($E2,[1]Monster!$A$2:$X$256,16,FALSE))</f>
        <v>Tusk</v>
      </c>
      <c r="Q2">
        <v>13</v>
      </c>
      <c r="R2" s="6">
        <f>_xlfn.IFNA(IF($E2="Robot",VLOOKUP(P2,[1]Weapon!$B$1:$G$351,6,FALSE)/2,VLOOKUP(P2,[1]Weapon!$B$1:$G$351,6,FALSE)),0)</f>
        <v>15</v>
      </c>
      <c r="S2" s="36" t="str">
        <f>IF(ISBLANK(VLOOKUP($E2,[1]Monster!$A$2:$X$256,17,FALSE)),"",VLOOKUP($E2,[1]Monster!$A$2:$X$256,17,FALSE))</f>
        <v>Spit</v>
      </c>
      <c r="T2">
        <v>15</v>
      </c>
      <c r="U2" s="6">
        <f>_xlfn.IFNA(IF($E2="Robot",VLOOKUP(S2,[1]Weapon!$B$1:$G$351,6,FALSE)/2,VLOOKUP(S2,[1]Weapon!$B$1:$G$351,6,FALSE)),0)</f>
        <v>15</v>
      </c>
      <c r="V2" s="36" t="str">
        <f>IF(ISBLANK(VLOOKUP($E2,[1]Monster!$A$2:$X$256,18,FALSE)),"",VLOOKUP($E2,[1]Monster!$A$2:$X$256,18,FALSE))</f>
        <v>X-Ice</v>
      </c>
      <c r="W2">
        <v>-2</v>
      </c>
      <c r="X2" s="6">
        <f>_xlfn.IFNA(IF($E2="Robot",VLOOKUP(V2,[1]Weapon!$B$1:$G$351,6,FALSE)/2,VLOOKUP(V2,[1]Weapon!$B$1:$G$351,6,FALSE)),0)</f>
        <v>-2</v>
      </c>
      <c r="Y2" s="37"/>
      <c r="Z2">
        <v>0</v>
      </c>
      <c r="AA2" s="6">
        <f>_xlfn.IFNA(IF($E2="Robot",VLOOKUP(Y2,[1]Weapon!$B$1:$G$351,6,FALSE)/2,VLOOKUP(Y2,[1]Weapon!$B$1:$G$351,6,FALSE)),0)</f>
        <v>0</v>
      </c>
      <c r="AB2" s="36" t="str">
        <f>IF(ISBLANK(VLOOKUP($E2,[1]Monster!$A$2:$X$256,20,FALSE)),"",VLOOKUP($E2,[1]Monster!$A$2:$X$256,20,FALSE))</f>
        <v/>
      </c>
      <c r="AC2">
        <v>0</v>
      </c>
      <c r="AD2" s="6">
        <f>_xlfn.IFNA(IF($E2="Robot",VLOOKUP(AB2,[1]Weapon!$B$1:$G$351,6,FALSE)/2,VLOOKUP(AB2,[1]Weapon!$B$1:$G$351,6,FALSE)),0)</f>
        <v>0</v>
      </c>
      <c r="AE2" s="36" t="str">
        <f>IF(ISBLANK(VLOOKUP($E2,[1]Monster!$A$2:$X$256,21,FALSE)),"",VLOOKUP($E2,[1]Monster!$A$2:$X$256,21,FALSE))</f>
        <v/>
      </c>
      <c r="AF2">
        <v>0</v>
      </c>
      <c r="AG2" s="6">
        <f>_xlfn.IFNA(IF($E2="Robot",VLOOKUP(AE2,[1]Weapon!$B$1:$G$351,6,FALSE)/2,VLOOKUP(AE2,[1]Weapon!$B$1:$G$351,6,FALSE)),0)</f>
        <v>0</v>
      </c>
      <c r="AH2" s="36" t="str">
        <f>IF(ISBLANK(VLOOKUP($E2,[1]Monster!$A$2:$X$256,22,FALSE)),"",VLOOKUP($E2,[1]Monster!$A$2:$X$256,22,FALSE))</f>
        <v/>
      </c>
      <c r="AI2">
        <v>0</v>
      </c>
      <c r="AJ2" s="6">
        <f>_xlfn.IFNA(IF($E2="Robot",VLOOKUP(AH2,[1]Weapon!$B$1:$G$351,6,FALSE)/2,VLOOKUP(AH2,[1]Weapon!$B$1:$G$351,6,FALSE)),0)</f>
        <v>0</v>
      </c>
      <c r="AK2" s="36" t="str">
        <f>IF(ISBLANK(VLOOKUP($E2,[1]Monster!$A$2:$X$256,23,FALSE)),"",VLOOKUP($E2,[1]Monster!$A$2:$X$256,23,FALSE))</f>
        <v/>
      </c>
      <c r="AL2">
        <v>0</v>
      </c>
      <c r="AM2" s="6">
        <f>_xlfn.IFNA(IF($E2="Robot",VLOOKUP(AK2,[1]Weapon!$B$1:$G$351,6,FALSE)/2,VLOOKUP(AK2,[1]Weapon!$B$1:$G$351,6,FALSE)),0)</f>
        <v>0</v>
      </c>
      <c r="AN2" s="29"/>
      <c r="AO2">
        <v>0</v>
      </c>
      <c r="AP2" s="6">
        <f>_xlfn.IFNA(IF($E2="Robot",VLOOKUP(AN2,[1]Weapon!$B$1:$G$351,6,FALSE)/2,VLOOKUP(AN2,[1]Weapon!$B$1:$G$351,6,FALSE)),0)</f>
        <v>0</v>
      </c>
      <c r="AQ2" s="86"/>
      <c r="AR2" s="72" t="s">
        <v>143</v>
      </c>
      <c r="AS2">
        <f>VLOOKUP(B2,Toolkit!$Q$3:$U$22,4,FALSE)</f>
        <v>0</v>
      </c>
    </row>
    <row r="3" spans="1:46" x14ac:dyDescent="0.25">
      <c r="A3" s="69" t="str">
        <f t="shared" si="0"/>
        <v>Grace</v>
      </c>
      <c r="B3" s="40" t="s">
        <v>93</v>
      </c>
      <c r="C3" s="7"/>
      <c r="D3" s="40" t="s">
        <v>94</v>
      </c>
      <c r="E3" s="75" t="s">
        <v>91</v>
      </c>
      <c r="F3">
        <v>60</v>
      </c>
      <c r="G3" s="2">
        <v>60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7</v>
      </c>
      <c r="O3" s="2">
        <f t="shared" ref="O3" si="2">N3</f>
        <v>7</v>
      </c>
      <c r="P3" s="42" t="s">
        <v>89</v>
      </c>
      <c r="Q3">
        <v>5</v>
      </c>
      <c r="R3" s="6">
        <f>_xlfn.IFNA(IF($E3="Robot",VLOOKUP(P3,[1]Weapon!$B$1:$G$351,6,FALSE)/2,VLOOKUP(P3,[1]Weapon!$B$1:$G$351,6,FALSE)),0)</f>
        <v>15</v>
      </c>
      <c r="S3" s="85" t="s">
        <v>140</v>
      </c>
      <c r="T3">
        <v>13</v>
      </c>
      <c r="U3" s="6">
        <f>_xlfn.IFNA(IF($E3="Robot",VLOOKUP(S3,[1]Weapon!$B$1:$G$351,6,FALSE)/2,VLOOKUP(S3,[1]Weapon!$B$1:$G$351,6,FALSE)),0)</f>
        <v>15</v>
      </c>
      <c r="V3" s="37"/>
      <c r="W3">
        <v>-1</v>
      </c>
      <c r="X3" s="6">
        <f>_xlfn.IFNA(IF($E3="Robot",VLOOKUP(V3,[1]Weapon!$B$1:$G$351,6,FALSE)/2,VLOOKUP(V3,[1]Weapon!$B$1:$G$351,6,FALSE)),0)</f>
        <v>0</v>
      </c>
      <c r="Y3" s="37"/>
      <c r="Z3">
        <v>-1</v>
      </c>
      <c r="AA3" s="6">
        <f>_xlfn.IFNA(IF($E3="Robot",VLOOKUP(Y3,[1]Weapon!$B$1:$G$351,6,FALSE)/2,VLOOKUP(Y3,[1]Weapon!$B$1:$G$351,6,FALSE)),0)</f>
        <v>0</v>
      </c>
      <c r="AB3" s="42" t="s">
        <v>95</v>
      </c>
      <c r="AC3">
        <v>50</v>
      </c>
      <c r="AD3" s="6">
        <f>_xlfn.IFNA(IF($E3="Robot",VLOOKUP(AB3,[1]Weapon!$B$1:$G$351,6,FALSE)/2,VLOOKUP(AB3,[1]Weapon!$B$1:$G$351,6,FALSE)),0)</f>
        <v>50</v>
      </c>
      <c r="AE3" s="42" t="s">
        <v>96</v>
      </c>
      <c r="AF3">
        <v>-1</v>
      </c>
      <c r="AG3" s="6">
        <f>_xlfn.IFNA(IF($E3="Robot",VLOOKUP(AE3,[1]Weapon!$B$1:$G$351,6,FALSE)/2,VLOOKUP(AE3,[1]Weapon!$B$1:$G$351,6,FALSE)),0)</f>
        <v>-2</v>
      </c>
      <c r="AH3" s="36"/>
      <c r="AI3">
        <v>-1</v>
      </c>
      <c r="AJ3" s="6">
        <f>_xlfn.IFNA(IF($E3="Robot",VLOOKUP(AH3,[1]Weapon!$B$1:$G$351,6,FALSE)/2,VLOOKUP(AH3,[1]Weapon!$B$1:$G$351,6,FALSE)),0)</f>
        <v>0</v>
      </c>
      <c r="AK3" s="27"/>
      <c r="AL3">
        <v>-1</v>
      </c>
      <c r="AM3" s="6">
        <f>_xlfn.IFNA(IF($E3="Robot",VLOOKUP(AK3,[1]Weapon!$B$1:$G$351,6,FALSE)/2,VLOOKUP(AK3,[1]Weapon!$B$1:$G$351,6,FALSE)),0)</f>
        <v>0</v>
      </c>
      <c r="AN3" s="36"/>
      <c r="AO3">
        <v>0</v>
      </c>
      <c r="AP3" s="6">
        <f>_xlfn.IFNA(IF($E3="Robot",VLOOKUP(AN3,[1]Weapon!$B$1:$G$351,6,FALSE)/2,VLOOKUP(AN3,[1]Weapon!$B$1:$G$351,6,FALSE)),0)</f>
        <v>0</v>
      </c>
      <c r="AQ3" s="3"/>
      <c r="AS3">
        <f>VLOOKUP(B3,Toolkit!$Q$3:$U$22,4,FALSE)</f>
        <v>0</v>
      </c>
    </row>
    <row r="4" spans="1:46" x14ac:dyDescent="0.25">
      <c r="A4" s="69" t="str">
        <f t="shared" si="0"/>
        <v>Astrid</v>
      </c>
      <c r="B4" s="40" t="s">
        <v>97</v>
      </c>
      <c r="C4" s="7"/>
      <c r="D4" s="40" t="s">
        <v>78</v>
      </c>
      <c r="E4" s="75" t="s">
        <v>91</v>
      </c>
      <c r="F4">
        <v>55</v>
      </c>
      <c r="G4" s="2">
        <v>55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42" t="s">
        <v>88</v>
      </c>
      <c r="Q4">
        <v>6</v>
      </c>
      <c r="R4" s="6">
        <f>_xlfn.IFNA(IF($E4="Robot",VLOOKUP(P4,[1]Weapon!$B$1:$G$351,6,FALSE)/2,VLOOKUP(P4,[1]Weapon!$B$1:$G$351,6,FALSE)),0)</f>
        <v>15</v>
      </c>
      <c r="S4" s="80" t="s">
        <v>144</v>
      </c>
      <c r="T4">
        <v>-1</v>
      </c>
      <c r="U4" s="6">
        <f>_xlfn.IFNA(IF($E4="Robot",VLOOKUP(S4,[1]Weapon!$B$1:$G$351,6,FALSE)/2,VLOOKUP(S4,[1]Weapon!$B$1:$G$351,6,FALSE)),0)</f>
        <v>-2</v>
      </c>
      <c r="V4" s="87" t="s">
        <v>147</v>
      </c>
      <c r="W4">
        <v>-1</v>
      </c>
      <c r="X4" s="6">
        <f>_xlfn.IFNA(IF($E4="Robot",VLOOKUP(V4,[1]Weapon!$B$1:$G$351,6,FALSE)/2,VLOOKUP(V4,[1]Weapon!$B$1:$G$351,6,FALSE)),0)</f>
        <v>-2</v>
      </c>
      <c r="Y4" s="37"/>
      <c r="Z4">
        <v>-1</v>
      </c>
      <c r="AA4" s="6">
        <f>_xlfn.IFNA(IF($E4="Robot",VLOOKUP(Y4,[1]Weapon!$B$1:$G$351,6,FALSE)/2,VLOOKUP(Y4,[1]Weapon!$B$1:$G$351,6,FALSE)),0)</f>
        <v>0</v>
      </c>
      <c r="AB4" s="42" t="s">
        <v>95</v>
      </c>
      <c r="AC4">
        <v>48</v>
      </c>
      <c r="AD4" s="6">
        <f>_xlfn.IFNA(IF($E4="Robot",VLOOKUP(AB4,[1]Weapon!$B$1:$G$351,6,FALSE)/2,VLOOKUP(AB4,[1]Weapon!$B$1:$G$351,6,FALSE)),0)</f>
        <v>50</v>
      </c>
      <c r="AE4" s="42" t="s">
        <v>96</v>
      </c>
      <c r="AF4">
        <v>-1</v>
      </c>
      <c r="AG4" s="6">
        <f>_xlfn.IFNA(IF($E4="Robot",VLOOKUP(AE4,[1]Weapon!$B$1:$G$351,6,FALSE)/2,VLOOKUP(AE4,[1]Weapon!$B$1:$G$351,6,FALSE)),0)</f>
        <v>-2</v>
      </c>
      <c r="AH4" s="37"/>
      <c r="AI4">
        <v>-1</v>
      </c>
      <c r="AJ4" s="6">
        <f>_xlfn.IFNA(IF($E4="Robot",VLOOKUP(AH4,[1]Weapon!$B$1:$G$351,6,FALSE)/2,VLOOKUP(AH4,[1]Weapon!$B$1:$G$351,6,FALSE)),0)</f>
        <v>0</v>
      </c>
      <c r="AL4">
        <v>-1</v>
      </c>
      <c r="AM4" s="6">
        <f>_xlfn.IFNA(IF($E4="Robot",VLOOKUP(AK4,[1]Weapon!$B$1:$G$351,6,FALSE)/2,VLOOKUP(AK4,[1]Weapon!$B$1:$G$351,6,FALSE)),0)</f>
        <v>0</v>
      </c>
      <c r="AO4">
        <v>0</v>
      </c>
      <c r="AP4" s="6">
        <f>_xlfn.IFNA(IF($E4="Robot",VLOOKUP(AN4,[1]Weapon!$B$1:$G$351,6,FALSE)/2,VLOOKUP(AN4,[1]Weapon!$B$1:$G$351,6,FALSE)),0)</f>
        <v>0</v>
      </c>
      <c r="AQ4" s="3"/>
      <c r="AS4">
        <f>VLOOKUP(B4,Toolkit!$Q$3:$U$22,4,FALSE)</f>
        <v>0</v>
      </c>
    </row>
    <row r="5" spans="1:46" x14ac:dyDescent="0.25">
      <c r="A5" s="69" t="str">
        <f t="shared" si="0"/>
        <v>Cuthbert</v>
      </c>
      <c r="B5" s="40" t="s">
        <v>98</v>
      </c>
      <c r="C5" s="7"/>
      <c r="D5" s="40" t="s">
        <v>99</v>
      </c>
      <c r="E5" s="68" t="s">
        <v>139</v>
      </c>
      <c r="F5">
        <v>81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36" t="str">
        <f>IF(ISBLANK(VLOOKUP($E5,[1]Monster!$A$2:$X$256,16,FALSE)),"",VLOOKUP($E5,[1]Monster!$A$2:$X$256,16,FALSE))</f>
        <v>Beak</v>
      </c>
      <c r="Q5">
        <v>19</v>
      </c>
      <c r="R5" s="6">
        <f>_xlfn.IFNA(IF($E5="Robot",VLOOKUP(P5,[1]Weapon!$B$1:$G$351,6,FALSE)/2,VLOOKUP(P5,[1]Weapon!$B$1:$G$351,6,FALSE)),0)</f>
        <v>30</v>
      </c>
      <c r="S5" s="36" t="str">
        <f>IF(ISBLANK(VLOOKUP($E5,[1]Monster!$A$2:$X$256,17,FALSE)),"",VLOOKUP($E5,[1]Monster!$A$2:$X$256,17,FALSE))</f>
        <v>O-Quake</v>
      </c>
      <c r="T5">
        <v>-1</v>
      </c>
      <c r="U5" s="6">
        <f>_xlfn.IFNA(IF($E5="Robot",VLOOKUP(S5,[1]Weapon!$B$1:$G$351,6,FALSE)/2,VLOOKUP(S5,[1]Weapon!$B$1:$G$351,6,FALSE)),0)</f>
        <v>-2</v>
      </c>
      <c r="V5" s="81"/>
      <c r="W5">
        <v>-1</v>
      </c>
      <c r="X5" s="6">
        <f>_xlfn.IFNA(IF($E5="Robot",VLOOKUP(V5,[1]Weapon!$B$1:$G$351,6,FALSE)/2,VLOOKUP(V5,[1]Weapon!$B$1:$G$351,6,FALSE)),0)</f>
        <v>0</v>
      </c>
      <c r="Y5" s="37"/>
      <c r="Z5">
        <v>-1</v>
      </c>
      <c r="AA5" s="6">
        <f>_xlfn.IFNA(IF($E5="Robot",VLOOKUP(Y5,[1]Weapon!$B$1:$G$351,6,FALSE)/2,VLOOKUP(Y5,[1]Weapon!$B$1:$G$351,6,FALSE)),0)</f>
        <v>0</v>
      </c>
      <c r="AB5" s="36" t="str">
        <f>IF(ISBLANK(VLOOKUP($E5,[1]Monster!$A$2:$X$256,20,FALSE)),"",VLOOKUP($E5,[1]Monster!$A$2:$X$256,20,FALSE))</f>
        <v/>
      </c>
      <c r="AC5">
        <v>-1</v>
      </c>
      <c r="AD5" s="6">
        <f>_xlfn.IFNA(IF($E5="Robot",VLOOKUP(AB5,[1]Weapon!$B$1:$G$351,6,FALSE)/2,VLOOKUP(AB5,[1]Weapon!$B$1:$G$351,6,FALSE)),0)</f>
        <v>0</v>
      </c>
      <c r="AE5" s="36" t="str">
        <f>IF(ISBLANK(VLOOKUP($E5,[1]Monster!$A$2:$X$256,21,FALSE)),"",VLOOKUP($E5,[1]Monster!$A$2:$X$256,21,FALSE))</f>
        <v/>
      </c>
      <c r="AF5">
        <v>-1</v>
      </c>
      <c r="AG5" s="6">
        <f>_xlfn.IFNA(IF($E5="Robot",VLOOKUP(AE5,[1]Weapon!$B$1:$G$351,6,FALSE)/2,VLOOKUP(AE5,[1]Weapon!$B$1:$G$351,6,FALSE)),0)</f>
        <v>0</v>
      </c>
      <c r="AH5" s="36" t="str">
        <f>IF(ISBLANK(VLOOKUP($E5,[1]Monster!$A$2:$X$256,22,FALSE)),"",VLOOKUP($E5,[1]Monster!$A$2:$X$256,22,FALSE))</f>
        <v/>
      </c>
      <c r="AI5">
        <v>-1</v>
      </c>
      <c r="AJ5" s="6">
        <f>_xlfn.IFNA(IF($E5="Robot",VLOOKUP(AH5,[1]Weapon!$B$1:$G$351,6,FALSE)/2,VLOOKUP(AH5,[1]Weapon!$B$1:$G$351,6,FALSE)),0)</f>
        <v>0</v>
      </c>
      <c r="AK5" s="36" t="str">
        <f>IF(ISBLANK(VLOOKUP($E5,[1]Monster!$A$2:$X$256,23,FALSE)),"",VLOOKUP($E5,[1]Monster!$A$2:$X$256,23,FALSE))</f>
        <v/>
      </c>
      <c r="AL5">
        <v>-1</v>
      </c>
      <c r="AM5" s="6">
        <f>_xlfn.IFNA(IF($E5="Robot",VLOOKUP(AK5,[1]Weapon!$B$1:$G$351,6,FALSE)/2,VLOOKUP(AK5,[1]Weapon!$B$1:$G$351,6,FALSE)),0)</f>
        <v>0</v>
      </c>
      <c r="AO5">
        <v>0</v>
      </c>
      <c r="AP5" s="6">
        <f>_xlfn.IFNA(IF($E5="Robot",VLOOKUP(AN5,[1]Weapon!$B$1:$G$351,6,FALSE)/2,VLOOKUP(AN5,[1]Weapon!$B$1:$G$351,6,FALSE)),0)</f>
        <v>0</v>
      </c>
      <c r="AQ5" s="3"/>
      <c r="AS5">
        <f>VLOOKUP(B5,Toolkit!$Q$3:$U$22,4,FALSE)</f>
        <v>0</v>
      </c>
    </row>
    <row r="6" spans="1:46" x14ac:dyDescent="0.25">
      <c r="A6" s="69" t="str">
        <f t="shared" si="0"/>
        <v>Sandy</v>
      </c>
      <c r="B6" s="40" t="s">
        <v>76</v>
      </c>
      <c r="C6" s="7"/>
      <c r="D6" s="40" t="s">
        <v>77</v>
      </c>
      <c r="E6" s="75" t="s">
        <v>60</v>
      </c>
      <c r="F6">
        <v>52</v>
      </c>
      <c r="G6" s="2">
        <v>52</v>
      </c>
      <c r="H6" s="3">
        <v>6</v>
      </c>
      <c r="I6" s="5">
        <f t="shared" ref="I6:I11" si="5">H6</f>
        <v>6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5</v>
      </c>
      <c r="L6" s="3">
        <v>6</v>
      </c>
      <c r="M6" s="5">
        <f>L6</f>
        <v>6</v>
      </c>
      <c r="N6" s="4">
        <v>5</v>
      </c>
      <c r="O6" s="2">
        <f t="shared" ref="O6" si="6">N6</f>
        <v>5</v>
      </c>
      <c r="P6" s="46" t="s">
        <v>121</v>
      </c>
      <c r="Q6">
        <v>70</v>
      </c>
      <c r="R6" s="6">
        <f>_xlfn.IFNA(IF($E6="Robot",VLOOKUP(P6,[1]Weapon!$B$1:$G$351,6,FALSE)/2,VLOOKUP(P6,[1]Weapon!$B$1:$G$351,6,FALSE)),0)</f>
        <v>80</v>
      </c>
      <c r="S6" s="42" t="s">
        <v>96</v>
      </c>
      <c r="T6">
        <v>-1</v>
      </c>
      <c r="U6" s="6">
        <f>_xlfn.IFNA(IF($E6="Robot",VLOOKUP(S6,[1]Weapon!$B$1:$G$351,6,FALSE)/2,VLOOKUP(S6,[1]Weapon!$B$1:$G$351,6,FALSE)),0)</f>
        <v>-2</v>
      </c>
      <c r="V6" s="89" t="s">
        <v>41</v>
      </c>
      <c r="W6">
        <v>50</v>
      </c>
      <c r="X6" s="6">
        <f>_xlfn.IFNA(IF($E6="Robot",VLOOKUP(V6,[1]Weapon!$B$1:$G$351,6,FALSE)/2,VLOOKUP(V6,[1]Weapon!$B$1:$G$351,6,FALSE)),0)</f>
        <v>50</v>
      </c>
      <c r="Y6" s="97" t="s">
        <v>142</v>
      </c>
      <c r="Z6">
        <v>-1</v>
      </c>
      <c r="AA6" s="6">
        <f>_xlfn.IFNA(IF($E6="Robot",VLOOKUP(Y6,[1]Weapon!$B$1:$G$351,6,FALSE)/2,VLOOKUP(Y6,[1]Weapon!$B$1:$G$351,6,FALSE)),0)</f>
        <v>-2</v>
      </c>
      <c r="AB6" s="36"/>
      <c r="AC6">
        <v>-1</v>
      </c>
      <c r="AD6" s="6">
        <f>_xlfn.IFNA(IF($E6="Robot",VLOOKUP(AB6,[1]Weapon!$B$1:$G$351,6,FALSE)/2,VLOOKUP(AB6,[1]Weapon!$B$1:$G$351,6,FALSE)),0)</f>
        <v>0</v>
      </c>
      <c r="AE6" s="36"/>
      <c r="AF6">
        <v>-1</v>
      </c>
      <c r="AG6" s="6">
        <f>_xlfn.IFNA(IF($E6="Robot",VLOOKUP(AE6,[1]Weapon!$B$1:$G$351,6,FALSE)/2,VLOOKUP(AE6,[1]Weapon!$B$1:$G$351,6,FALSE)),0)</f>
        <v>0</v>
      </c>
      <c r="AH6" s="36"/>
      <c r="AI6">
        <v>-1</v>
      </c>
      <c r="AJ6" s="6">
        <f>_xlfn.IFNA(IF($E6="Robot",VLOOKUP(AH6,[1]Weapon!$B$1:$G$351,6,FALSE)/2,VLOOKUP(AH6,[1]Weapon!$B$1:$G$351,6,FALSE)),0)</f>
        <v>0</v>
      </c>
      <c r="AL6">
        <v>-1</v>
      </c>
      <c r="AM6" s="6">
        <f>_xlfn.IFNA(IF($E6="Robot",VLOOKUP(AK6,[1]Weapon!$B$1:$G$351,6,FALSE)/2,VLOOKUP(AK6,[1]Weapon!$B$1:$G$351,6,FALSE)),0)</f>
        <v>0</v>
      </c>
      <c r="AO6">
        <v>0</v>
      </c>
      <c r="AP6" s="6">
        <f>_xlfn.IFNA(IF($E6="Robot",VLOOKUP(AN6,[1]Weapon!$B$1:$G$351,6,FALSE)/2,VLOOKUP(AN6,[1]Weapon!$B$1:$G$351,6,FALSE)),0)</f>
        <v>0</v>
      </c>
      <c r="AQ6" s="3"/>
      <c r="AR6" s="84" t="s">
        <v>143</v>
      </c>
      <c r="AS6">
        <f>VLOOKUP(B6,Toolkit!$Q$3:$U$22,4,FALSE)</f>
        <v>0</v>
      </c>
    </row>
    <row r="7" spans="1:46" x14ac:dyDescent="0.25">
      <c r="A7" s="69" t="str">
        <f t="shared" si="0"/>
        <v>Roy</v>
      </c>
      <c r="B7" s="43" t="s">
        <v>101</v>
      </c>
      <c r="C7" s="7"/>
      <c r="D7" s="43" t="s">
        <v>102</v>
      </c>
      <c r="E7" s="77" t="s">
        <v>90</v>
      </c>
      <c r="F7">
        <v>69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69</v>
      </c>
      <c r="H7" s="82">
        <f>6</f>
        <v>6</v>
      </c>
      <c r="I7" s="48">
        <f>H7</f>
        <v>6</v>
      </c>
      <c r="J7" s="4">
        <f>6+2</f>
        <v>8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8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45" t="s">
        <v>103</v>
      </c>
      <c r="Q7">
        <v>-1</v>
      </c>
      <c r="R7" s="6">
        <f>_xlfn.IFNA(IF($E7="Robot",VLOOKUP(P7,[1]Weapon!$B$1:$G$351,6,FALSE)/2,VLOOKUP(P7,[1]Weapon!$B$1:$G$351,6,FALSE)),0)</f>
        <v>-1</v>
      </c>
      <c r="S7" s="45" t="s">
        <v>104</v>
      </c>
      <c r="T7">
        <v>20</v>
      </c>
      <c r="U7" s="6">
        <f>_xlfn.IFNA(IF($E7="Robot",VLOOKUP(S7,[1]Weapon!$B$1:$G$351,6,FALSE)/2,VLOOKUP(S7,[1]Weapon!$B$1:$G$351,6,FALSE)),0)</f>
        <v>25</v>
      </c>
      <c r="V7" s="83" t="s">
        <v>124</v>
      </c>
      <c r="W7">
        <v>25</v>
      </c>
      <c r="X7" s="6">
        <f>_xlfn.IFNA(IF($E7="Robot",VLOOKUP(V7,[1]Weapon!$B$1:$G$351,6,FALSE)/2,VLOOKUP(V7,[1]Weapon!$B$1:$G$351,6,FALSE)),0)</f>
        <v>25</v>
      </c>
      <c r="Y7" s="38"/>
      <c r="Z7">
        <v>-1</v>
      </c>
      <c r="AA7" s="6">
        <f>_xlfn.IFNA(IF($E7="Robot",VLOOKUP(Y7,[1]Weapon!$B$1:$G$351,6,FALSE)/2,VLOOKUP(Y7,[1]Weapon!$B$1:$G$351,6,FALSE)),0)</f>
        <v>0</v>
      </c>
      <c r="AB7" s="36"/>
      <c r="AC7">
        <v>-1</v>
      </c>
      <c r="AD7" s="6">
        <f>_xlfn.IFNA(IF($E7="Robot",VLOOKUP(AB7,[1]Weapon!$B$1:$G$351,6,FALSE)/2,VLOOKUP(AB7,[1]Weapon!$B$1:$G$351,6,FALSE)),0)</f>
        <v>0</v>
      </c>
      <c r="AE7" s="36"/>
      <c r="AF7">
        <v>-1</v>
      </c>
      <c r="AG7" s="6">
        <f>_xlfn.IFNA(IF($E7="Robot",VLOOKUP(AE7,[1]Weapon!$B$1:$G$351,6,FALSE)/2,VLOOKUP(AE7,[1]Weapon!$B$1:$G$351,6,FALSE)),0)</f>
        <v>0</v>
      </c>
      <c r="AH7" s="37"/>
      <c r="AI7">
        <v>-1</v>
      </c>
      <c r="AJ7" s="6">
        <f>_xlfn.IFNA(IF($E7="Robot",VLOOKUP(AH7,[1]Weapon!$B$1:$G$351,6,FALSE)/2,VLOOKUP(AH7,[1]Weapon!$B$1:$G$351,6,FALSE)),0)</f>
        <v>0</v>
      </c>
      <c r="AL7">
        <v>-1</v>
      </c>
      <c r="AM7" s="6">
        <f>_xlfn.IFNA(IF($E7="Robot",VLOOKUP(AK7,[1]Weapon!$B$1:$G$351,6,FALSE)/2,VLOOKUP(AK7,[1]Weapon!$B$1:$G$351,6,FALSE)),0)</f>
        <v>0</v>
      </c>
      <c r="AO7">
        <v>0</v>
      </c>
      <c r="AP7" s="6">
        <f>_xlfn.IFNA(IF($E7="Robot",VLOOKUP(AN7,[1]Weapon!$B$1:$G$351,6,FALSE)/2,VLOOKUP(AN7,[1]Weapon!$B$1:$G$351,6,FALSE)),0)</f>
        <v>0</v>
      </c>
      <c r="AQ7" s="3"/>
      <c r="AS7">
        <f>VLOOKUP(B7,Toolkit!$Q$3:$U$22,4,FALSE)</f>
        <v>0</v>
      </c>
    </row>
    <row r="8" spans="1:46" x14ac:dyDescent="0.25">
      <c r="A8" s="69" t="str">
        <f t="shared" si="0"/>
        <v>Saffron</v>
      </c>
      <c r="B8" s="43" t="s">
        <v>105</v>
      </c>
      <c r="C8" s="7"/>
      <c r="D8" s="43" t="s">
        <v>106</v>
      </c>
      <c r="E8" s="76" t="s">
        <v>60</v>
      </c>
      <c r="F8">
        <v>59</v>
      </c>
      <c r="G8" s="2">
        <v>59</v>
      </c>
      <c r="H8" s="3">
        <v>8</v>
      </c>
      <c r="I8" s="5">
        <f t="shared" si="5"/>
        <v>8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45" t="s">
        <v>41</v>
      </c>
      <c r="Q8">
        <v>41</v>
      </c>
      <c r="R8" s="6">
        <f>_xlfn.IFNA(IF($E8="Robot",VLOOKUP(P8,[1]Weapon!$B$1:$G$351,6,FALSE)/2,VLOOKUP(P8,[1]Weapon!$B$1:$G$351,6,FALSE)),0)</f>
        <v>50</v>
      </c>
      <c r="S8" s="45" t="s">
        <v>96</v>
      </c>
      <c r="T8">
        <v>-1</v>
      </c>
      <c r="U8" s="6">
        <f>_xlfn.IFNA(IF($E8="Robot",VLOOKUP(S8,[1]Weapon!$B$1:$G$351,6,FALSE)/2,VLOOKUP(S8,[1]Weapon!$B$1:$G$351,6,FALSE)),0)</f>
        <v>-2</v>
      </c>
      <c r="V8" s="97" t="s">
        <v>95</v>
      </c>
      <c r="W8">
        <v>48</v>
      </c>
      <c r="X8" s="6">
        <f>_xlfn.IFNA(IF($E8="Robot",VLOOKUP(V8,[1]Weapon!$B$1:$G$351,6,FALSE)/2,VLOOKUP(V8,[1]Weapon!$B$1:$G$351,6,FALSE)),0)</f>
        <v>50</v>
      </c>
      <c r="Y8" s="37"/>
      <c r="Z8">
        <v>-1</v>
      </c>
      <c r="AA8" s="6">
        <f>_xlfn.IFNA(IF($E8="Robot",VLOOKUP(Y8,[1]Weapon!$B$1:$G$351,6,FALSE)/2,VLOOKUP(Y8,[1]Weapon!$B$1:$G$351,6,FALSE)),0)</f>
        <v>0</v>
      </c>
      <c r="AB8" s="36"/>
      <c r="AC8">
        <v>-1</v>
      </c>
      <c r="AD8" s="6">
        <f>_xlfn.IFNA(IF($E8="Robot",VLOOKUP(AB8,[1]Weapon!$B$1:$G$351,6,FALSE)/2,VLOOKUP(AB8,[1]Weapon!$B$1:$G$351,6,FALSE)),0)</f>
        <v>0</v>
      </c>
      <c r="AE8" s="36"/>
      <c r="AF8">
        <v>-1</v>
      </c>
      <c r="AG8" s="6">
        <f>_xlfn.IFNA(IF($E8="Robot",VLOOKUP(AE8,[1]Weapon!$B$1:$G$351,6,FALSE)/2,VLOOKUP(AE8,[1]Weapon!$B$1:$G$351,6,FALSE)),0)</f>
        <v>0</v>
      </c>
      <c r="AH8" s="37"/>
      <c r="AI8">
        <v>-1</v>
      </c>
      <c r="AJ8" s="6">
        <f>_xlfn.IFNA(IF($E8="Robot",VLOOKUP(AH8,[1]Weapon!$B$1:$G$351,6,FALSE)/2,VLOOKUP(AH8,[1]Weapon!$B$1:$G$351,6,FALSE)),0)</f>
        <v>0</v>
      </c>
      <c r="AK8" s="83" t="s">
        <v>146</v>
      </c>
      <c r="AL8">
        <v>4</v>
      </c>
      <c r="AM8" s="6">
        <f>_xlfn.IFNA(IF($E8="Robot",VLOOKUP(AK8,[1]Weapon!$B$1:$G$351,6,FALSE)/2,VLOOKUP(AK8,[1]Weapon!$B$1:$G$351,6,FALSE)),0)</f>
        <v>4</v>
      </c>
      <c r="AO8">
        <v>0</v>
      </c>
      <c r="AP8" s="6">
        <f>_xlfn.IFNA(IF($E8="Robot",VLOOKUP(AN8,[1]Weapon!$B$1:$G$351,6,FALSE)/2,VLOOKUP(AN8,[1]Weapon!$B$1:$G$351,6,FALSE)),0)</f>
        <v>0</v>
      </c>
      <c r="AQ8" s="3"/>
      <c r="AR8" s="84"/>
      <c r="AS8">
        <f>VLOOKUP(B8,Toolkit!$Q$3:$U$22,4,FALSE)</f>
        <v>0</v>
      </c>
    </row>
    <row r="9" spans="1:46" x14ac:dyDescent="0.25">
      <c r="A9" s="69" t="str">
        <f t="shared" si="0"/>
        <v>Elishar</v>
      </c>
      <c r="B9" s="43" t="s">
        <v>107</v>
      </c>
      <c r="C9" s="7"/>
      <c r="D9" s="43" t="s">
        <v>108</v>
      </c>
      <c r="E9" s="77" t="s">
        <v>60</v>
      </c>
      <c r="F9">
        <v>62</v>
      </c>
      <c r="G9" s="2">
        <v>62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6</v>
      </c>
      <c r="O9" s="2">
        <f t="shared" si="8"/>
        <v>6</v>
      </c>
      <c r="P9" s="45" t="s">
        <v>100</v>
      </c>
      <c r="Q9">
        <v>26</v>
      </c>
      <c r="R9" s="6">
        <f>_xlfn.IFNA(IF($E9="Robot",VLOOKUP(P9,[1]Weapon!$B$1:$G$351,6,FALSE)/2,VLOOKUP(P9,[1]Weapon!$B$1:$G$351,6,FALSE)),0)</f>
        <v>30</v>
      </c>
      <c r="S9" s="45" t="s">
        <v>96</v>
      </c>
      <c r="T9">
        <v>-1</v>
      </c>
      <c r="U9" s="6">
        <f>_xlfn.IFNA(IF($E9="Robot",VLOOKUP(S9,[1]Weapon!$B$1:$G$351,6,FALSE)/2,VLOOKUP(S9,[1]Weapon!$B$1:$G$351,6,FALSE)),0)</f>
        <v>-2</v>
      </c>
      <c r="V9" s="83" t="s">
        <v>121</v>
      </c>
      <c r="W9">
        <v>75</v>
      </c>
      <c r="X9" s="6">
        <f>_xlfn.IFNA(IF($E9="Robot",VLOOKUP(V9,[1]Weapon!$B$1:$G$351,6,FALSE)/2,VLOOKUP(V9,[1]Weapon!$B$1:$G$351,6,FALSE)),0)</f>
        <v>80</v>
      </c>
      <c r="Y9" s="36"/>
      <c r="Z9">
        <v>-1</v>
      </c>
      <c r="AA9" s="6">
        <f>_xlfn.IFNA(IF($E9="Robot",VLOOKUP(Y9,[1]Weapon!$B$1:$G$351,6,FALSE)/2,VLOOKUP(Y9,[1]Weapon!$B$1:$G$351,6,FALSE)),0)</f>
        <v>0</v>
      </c>
      <c r="AB9" s="36"/>
      <c r="AC9">
        <v>-1</v>
      </c>
      <c r="AD9" s="6">
        <f>_xlfn.IFNA(IF($E9="Robot",VLOOKUP(AB9,[1]Weapon!$B$1:$G$351,6,FALSE)/2,VLOOKUP(AB9,[1]Weapon!$B$1:$G$351,6,FALSE)),0)</f>
        <v>0</v>
      </c>
      <c r="AE9" s="36"/>
      <c r="AF9">
        <v>-1</v>
      </c>
      <c r="AG9" s="6">
        <f>_xlfn.IFNA(IF($E9="Robot",VLOOKUP(AE9,[1]Weapon!$B$1:$G$351,6,FALSE)/2,VLOOKUP(AE9,[1]Weapon!$B$1:$G$351,6,FALSE)),0)</f>
        <v>0</v>
      </c>
      <c r="AH9" s="36"/>
      <c r="AI9">
        <v>-1</v>
      </c>
      <c r="AJ9" s="6">
        <f>_xlfn.IFNA(IF($E9="Robot",VLOOKUP(AH9,[1]Weapon!$B$1:$G$351,6,FALSE)/2,VLOOKUP(AH9,[1]Weapon!$B$1:$G$351,6,FALSE)),0)</f>
        <v>0</v>
      </c>
      <c r="AK9" s="27"/>
      <c r="AL9">
        <v>-1</v>
      </c>
      <c r="AM9" s="6">
        <f>_xlfn.IFNA(IF($E9="Robot",VLOOKUP(AK9,[1]Weapon!$B$1:$G$351,6,FALSE)/2,VLOOKUP(AK9,[1]Weapon!$B$1:$G$351,6,FALSE)),0)</f>
        <v>0</v>
      </c>
      <c r="AO9">
        <v>0</v>
      </c>
      <c r="AP9" s="6">
        <f>_xlfn.IFNA(IF($E9="Robot",VLOOKUP(AN9,[1]Weapon!$B$1:$G$351,6,FALSE)/2,VLOOKUP(AN9,[1]Weapon!$B$1:$G$351,6,FALSE)),0)</f>
        <v>0</v>
      </c>
      <c r="AQ9" s="3"/>
      <c r="AS9">
        <f>VLOOKUP(B9,Toolkit!$Q$3:$U$22,4,FALSE)</f>
        <v>0</v>
      </c>
    </row>
    <row r="10" spans="1:46" x14ac:dyDescent="0.25">
      <c r="A10" s="69" t="str">
        <f t="shared" si="0"/>
        <v>Malli</v>
      </c>
      <c r="B10" s="43" t="s">
        <v>109</v>
      </c>
      <c r="C10" s="7"/>
      <c r="D10" s="43" t="s">
        <v>110</v>
      </c>
      <c r="E10" s="76" t="s">
        <v>91</v>
      </c>
      <c r="F10">
        <v>56</v>
      </c>
      <c r="G10" s="2">
        <v>56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45" t="s">
        <v>89</v>
      </c>
      <c r="Q10">
        <v>8</v>
      </c>
      <c r="R10" s="6">
        <f>_xlfn.IFNA(IF($E10="Robot",VLOOKUP(P10,[1]Weapon!$B$1:$G$351,6,FALSE)/2,VLOOKUP(P10,[1]Weapon!$B$1:$G$351,6,FALSE)),0)</f>
        <v>15</v>
      </c>
      <c r="S10" s="90" t="s">
        <v>144</v>
      </c>
      <c r="T10">
        <v>-1</v>
      </c>
      <c r="U10" s="6">
        <f>_xlfn.IFNA(IF($E10="Robot",VLOOKUP(S10,[1]Weapon!$B$1:$G$351,6,FALSE)/2,VLOOKUP(S10,[1]Weapon!$B$1:$G$351,6,FALSE)),0)</f>
        <v>-2</v>
      </c>
      <c r="V10" s="36"/>
      <c r="W10">
        <v>-1</v>
      </c>
      <c r="X10" s="6">
        <f>_xlfn.IFNA(IF($E10="Robot",VLOOKUP(V10,[1]Weapon!$B$1:$G$351,6,FALSE)/2,VLOOKUP(V10,[1]Weapon!$B$1:$G$351,6,FALSE)),0)</f>
        <v>0</v>
      </c>
      <c r="Y10" s="37"/>
      <c r="Z10">
        <v>-1</v>
      </c>
      <c r="AA10" s="6">
        <f>_xlfn.IFNA(IF($E10="Robot",VLOOKUP(Y10,[1]Weapon!$B$1:$G$351,6,FALSE)/2,VLOOKUP(Y10,[1]Weapon!$B$1:$G$351,6,FALSE)),0)</f>
        <v>0</v>
      </c>
      <c r="AB10" s="45" t="s">
        <v>111</v>
      </c>
      <c r="AC10">
        <v>48</v>
      </c>
      <c r="AD10" s="6">
        <f>_xlfn.IFNA(IF($E10="Robot",VLOOKUP(AB10,[1]Weapon!$B$1:$G$351,6,FALSE)/2,VLOOKUP(AB10,[1]Weapon!$B$1:$G$351,6,FALSE)),0)</f>
        <v>50</v>
      </c>
      <c r="AE10" s="45" t="s">
        <v>96</v>
      </c>
      <c r="AF10">
        <v>-1</v>
      </c>
      <c r="AG10" s="6">
        <f>_xlfn.IFNA(IF($E10="Robot",VLOOKUP(AE10,[1]Weapon!$B$1:$G$351,6,FALSE)/2,VLOOKUP(AE10,[1]Weapon!$B$1:$G$351,6,FALSE)),0)</f>
        <v>-2</v>
      </c>
      <c r="AH10" s="83" t="s">
        <v>95</v>
      </c>
      <c r="AI10">
        <v>50</v>
      </c>
      <c r="AJ10" s="6">
        <f>_xlfn.IFNA(IF($E10="Robot",VLOOKUP(AH10,[1]Weapon!$B$1:$G$351,6,FALSE)/2,VLOOKUP(AH10,[1]Weapon!$B$1:$G$351,6,FALSE)),0)</f>
        <v>50</v>
      </c>
      <c r="AL10">
        <v>-1</v>
      </c>
      <c r="AM10" s="6">
        <f>_xlfn.IFNA(IF($E10="Robot",VLOOKUP(AK10,[1]Weapon!$B$1:$G$351,6,FALSE)/2,VLOOKUP(AK10,[1]Weapon!$B$1:$G$351,6,FALSE)),0)</f>
        <v>0</v>
      </c>
      <c r="AO10">
        <v>0</v>
      </c>
      <c r="AP10" s="6">
        <f>_xlfn.IFNA(IF($E10="Robot",VLOOKUP(AN10,[1]Weapon!$B$1:$G$351,6,FALSE)/2,VLOOKUP(AN10,[1]Weapon!$B$1:$G$351,6,FALSE)),0)</f>
        <v>0</v>
      </c>
      <c r="AQ10" s="3"/>
      <c r="AS10">
        <f>VLOOKUP(B10,Toolkit!$Q$3:$U$22,4,FALSE)</f>
        <v>0</v>
      </c>
    </row>
    <row r="11" spans="1:46" x14ac:dyDescent="0.25">
      <c r="A11" s="69" t="str">
        <f t="shared" si="0"/>
        <v>Jaelyn</v>
      </c>
      <c r="B11" s="43" t="s">
        <v>74</v>
      </c>
      <c r="C11" s="7"/>
      <c r="D11" s="43" t="s">
        <v>112</v>
      </c>
      <c r="E11" s="76" t="s">
        <v>91</v>
      </c>
      <c r="F11">
        <v>52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82">
        <f>4+1</f>
        <v>5</v>
      </c>
      <c r="M11" s="48">
        <f>L11</f>
        <v>5</v>
      </c>
      <c r="N11" s="4">
        <v>7</v>
      </c>
      <c r="O11" s="2">
        <f t="shared" si="8"/>
        <v>7</v>
      </c>
      <c r="P11" s="45" t="s">
        <v>88</v>
      </c>
      <c r="Q11">
        <v>5</v>
      </c>
      <c r="R11" s="6">
        <f>_xlfn.IFNA(IF($E11="Robot",VLOOKUP(P11,[1]Weapon!$B$1:$G$351,6,FALSE)/2,VLOOKUP(P11,[1]Weapon!$B$1:$G$351,6,FALSE)),0)</f>
        <v>15</v>
      </c>
      <c r="S11" s="73" t="s">
        <v>140</v>
      </c>
      <c r="T11">
        <v>14</v>
      </c>
      <c r="U11" s="6">
        <f>_xlfn.IFNA(IF($E11="Robot",VLOOKUP(S11,[1]Weapon!$B$1:$G$351,6,FALSE)/2,VLOOKUP(S11,[1]Weapon!$B$1:$G$351,6,FALSE)),0)</f>
        <v>15</v>
      </c>
      <c r="V11" s="90" t="s">
        <v>153</v>
      </c>
      <c r="W11">
        <v>14</v>
      </c>
      <c r="X11" s="6">
        <f>_xlfn.IFNA(IF($E11="Robot",VLOOKUP(V11,[1]Weapon!$B$1:$G$351,6,FALSE)/2,VLOOKUP(V11,[1]Weapon!$B$1:$G$351,6,FALSE)),0)</f>
        <v>15</v>
      </c>
      <c r="Y11" s="37"/>
      <c r="Z11">
        <v>-1</v>
      </c>
      <c r="AA11" s="6">
        <f>_xlfn.IFNA(IF($E11="Robot",VLOOKUP(Y11,[1]Weapon!$B$1:$G$351,6,FALSE)/2,VLOOKUP(Y11,[1]Weapon!$B$1:$G$351,6,FALSE)),0)</f>
        <v>0</v>
      </c>
      <c r="AB11" s="45" t="s">
        <v>111</v>
      </c>
      <c r="AC11">
        <v>49</v>
      </c>
      <c r="AD11" s="6">
        <f>_xlfn.IFNA(IF($E11="Robot",VLOOKUP(AB11,[1]Weapon!$B$1:$G$351,6,FALSE)/2,VLOOKUP(AB11,[1]Weapon!$B$1:$G$351,6,FALSE)),0)</f>
        <v>50</v>
      </c>
      <c r="AE11" s="45" t="s">
        <v>113</v>
      </c>
      <c r="AF11">
        <v>-1</v>
      </c>
      <c r="AG11" s="6">
        <f>_xlfn.IFNA(IF($E11="Robot",VLOOKUP(AE11,[1]Weapon!$B$1:$G$351,6,FALSE)/2,VLOOKUP(AE11,[1]Weapon!$B$1:$G$351,6,FALSE)),0)</f>
        <v>-2</v>
      </c>
      <c r="AH11" s="97" t="s">
        <v>121</v>
      </c>
      <c r="AI11">
        <v>80</v>
      </c>
      <c r="AJ11" s="6">
        <f>_xlfn.IFNA(IF($E11="Robot",VLOOKUP(AH11,[1]Weapon!$B$1:$G$351,6,FALSE)/2,VLOOKUP(AH11,[1]Weapon!$B$1:$G$351,6,FALSE)),0)</f>
        <v>80</v>
      </c>
      <c r="AL11">
        <v>-1</v>
      </c>
      <c r="AM11" s="6">
        <f>_xlfn.IFNA(IF($E11="Robot",VLOOKUP(AK11,[1]Weapon!$B$1:$G$351,6,FALSE)/2,VLOOKUP(AK11,[1]Weapon!$B$1:$G$351,6,FALSE)),0)</f>
        <v>0</v>
      </c>
      <c r="AO11">
        <v>0</v>
      </c>
      <c r="AP11" s="6">
        <f>_xlfn.IFNA(IF($E11="Robot",VLOOKUP(AN11,[1]Weapon!$B$1:$G$351,6,FALSE)/2,VLOOKUP(AN11,[1]Weapon!$B$1:$G$351,6,FALSE)),0)</f>
        <v>0</v>
      </c>
      <c r="AQ11" s="3"/>
      <c r="AR11" s="98" t="s">
        <v>159</v>
      </c>
      <c r="AS11">
        <f>VLOOKUP(B11,Toolkit!$Q$3:$U$22,4,FALSE)</f>
        <v>0</v>
      </c>
    </row>
    <row r="12" spans="1:46" x14ac:dyDescent="0.25">
      <c r="A12" s="69" t="str">
        <f t="shared" si="0"/>
        <v>DAD-E</v>
      </c>
      <c r="B12" s="43" t="s">
        <v>114</v>
      </c>
      <c r="C12" s="9"/>
      <c r="D12" s="43" t="s">
        <v>115</v>
      </c>
      <c r="E12" s="77" t="s">
        <v>90</v>
      </c>
      <c r="F12">
        <v>87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87</v>
      </c>
      <c r="H12" s="82">
        <v>6</v>
      </c>
      <c r="I12" s="5">
        <f t="shared" ref="I12" si="9">H12</f>
        <v>6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82">
        <f>5+4</f>
        <v>9</v>
      </c>
      <c r="M12" s="48">
        <f>L12</f>
        <v>9</v>
      </c>
      <c r="N12" s="4">
        <v>0</v>
      </c>
      <c r="O12" s="2">
        <f t="shared" si="8"/>
        <v>0</v>
      </c>
      <c r="P12" s="45" t="s">
        <v>103</v>
      </c>
      <c r="Q12">
        <v>-1</v>
      </c>
      <c r="R12" s="6">
        <f>_xlfn.IFNA(IF($E12="Robot",VLOOKUP(P12,[1]Weapon!$B$1:$G$351,6,FALSE)/2,VLOOKUP(P12,[1]Weapon!$B$1:$G$351,6,FALSE)),0)</f>
        <v>-1</v>
      </c>
      <c r="S12" s="45" t="s">
        <v>116</v>
      </c>
      <c r="T12">
        <v>14</v>
      </c>
      <c r="U12" s="6">
        <f>_xlfn.IFNA(IF($E12="Robot",VLOOKUP(S12,[1]Weapon!$B$1:$G$351,6,FALSE)/2,VLOOKUP(S12,[1]Weapon!$B$1:$G$351,6,FALSE)),0)</f>
        <v>20</v>
      </c>
      <c r="V12" s="83" t="s">
        <v>111</v>
      </c>
      <c r="W12">
        <v>23</v>
      </c>
      <c r="X12" s="6">
        <f>_xlfn.IFNA(IF($E12="Robot",VLOOKUP(V12,[1]Weapon!$B$1:$G$351,6,FALSE)/2,VLOOKUP(V12,[1]Weapon!$B$1:$G$351,6,FALSE)),0)</f>
        <v>25</v>
      </c>
      <c r="Y12" s="89" t="s">
        <v>41</v>
      </c>
      <c r="Z12">
        <v>24</v>
      </c>
      <c r="AA12" s="6">
        <f>_xlfn.IFNA(IF($E12="Robot",VLOOKUP(Y12,[1]Weapon!$B$1:$G$351,6,FALSE)/2,VLOOKUP(Y12,[1]Weapon!$B$1:$G$351,6,FALSE)),0)</f>
        <v>25</v>
      </c>
      <c r="AB12" s="36"/>
      <c r="AC12">
        <v>-1</v>
      </c>
      <c r="AD12" s="6">
        <f>_xlfn.IFNA(IF($E12="Robot",VLOOKUP(AB12,[1]Weapon!$B$1:$G$351,6,FALSE)/2,VLOOKUP(AB12,[1]Weapon!$B$1:$G$351,6,FALSE)),0)</f>
        <v>0</v>
      </c>
      <c r="AE12" s="36"/>
      <c r="AF12">
        <v>-1</v>
      </c>
      <c r="AG12" s="6">
        <f>_xlfn.IFNA(IF($E12="Robot",VLOOKUP(AE12,[1]Weapon!$B$1:$G$351,6,FALSE)/2,VLOOKUP(AE12,[1]Weapon!$B$1:$G$351,6,FALSE)),0)</f>
        <v>0</v>
      </c>
      <c r="AH12" s="37"/>
      <c r="AI12">
        <v>-1</v>
      </c>
      <c r="AJ12" s="6">
        <f>_xlfn.IFNA(IF($E12="Robot",VLOOKUP(AH12,[1]Weapon!$B$1:$G$351,6,FALSE)/2,VLOOKUP(AH12,[1]Weapon!$B$1:$G$351,6,FALSE)),0)</f>
        <v>0</v>
      </c>
      <c r="AL12">
        <v>-1</v>
      </c>
      <c r="AM12" s="6">
        <f>_xlfn.IFNA(IF($E12="Robot",VLOOKUP(AK12,[1]Weapon!$B$1:$G$351,6,FALSE)/2,VLOOKUP(AK12,[1]Weapon!$B$1:$G$351,6,FALSE)),0)</f>
        <v>0</v>
      </c>
      <c r="AO12">
        <v>0</v>
      </c>
      <c r="AP12" s="6">
        <f>_xlfn.IFNA(IF($E12="Robot",VLOOKUP(AN12,[1]Weapon!$B$1:$G$351,6,FALSE)/2,VLOOKUP(AN12,[1]Weapon!$B$1:$G$351,6,FALSE)),0)</f>
        <v>0</v>
      </c>
      <c r="AQ12" s="3"/>
      <c r="AS12">
        <f>VLOOKUP(B12,Toolkit!$Q$3:$U$22,4,FALSE)</f>
        <v>0</v>
      </c>
    </row>
    <row r="13" spans="1:46" x14ac:dyDescent="0.25">
      <c r="A13" s="69" t="str">
        <f t="shared" ref="A13:A17" si="10">B13</f>
        <v>Tankbot</v>
      </c>
      <c r="B13" s="43" t="s">
        <v>117</v>
      </c>
      <c r="C13" s="7"/>
      <c r="D13" s="43" t="s">
        <v>118</v>
      </c>
      <c r="E13" s="44" t="s">
        <v>90</v>
      </c>
      <c r="F13">
        <v>51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51</v>
      </c>
      <c r="H13" s="3">
        <v>0</v>
      </c>
      <c r="I13" s="48">
        <f>H13</f>
        <v>0</v>
      </c>
      <c r="J13" s="67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10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45" t="s">
        <v>103</v>
      </c>
      <c r="Q13">
        <v>-1</v>
      </c>
      <c r="R13" s="6">
        <f>_xlfn.IFNA(IF($E13="Robot",VLOOKUP(P13,[1]Weapon!$B$1:$G$351,6,FALSE)/2,VLOOKUP(P13,[1]Weapon!$B$1:$G$351,6,FALSE)),0)</f>
        <v>-1</v>
      </c>
      <c r="S13" s="46" t="s">
        <v>124</v>
      </c>
      <c r="T13">
        <v>16</v>
      </c>
      <c r="U13" s="6">
        <f>_xlfn.IFNA(IF($E13="Robot",VLOOKUP(S13,[1]Weapon!$B$1:$G$351,6,FALSE)/2,VLOOKUP(S13,[1]Weapon!$B$1:$G$351,6,FALSE)),0)</f>
        <v>25</v>
      </c>
      <c r="V13" s="73" t="s">
        <v>142</v>
      </c>
      <c r="W13">
        <v>-1</v>
      </c>
      <c r="X13" s="6">
        <f>_xlfn.IFNA(IF($E13="Robot",VLOOKUP(V13,[1]Weapon!$B$1:$G$351,6,FALSE)/2,VLOOKUP(V13,[1]Weapon!$B$1:$G$351,6,FALSE)),0)</f>
        <v>-1</v>
      </c>
      <c r="Y13" s="81"/>
      <c r="Z13">
        <v>-1</v>
      </c>
      <c r="AA13" s="6">
        <f>_xlfn.IFNA(IF($E13="Robot",VLOOKUP(Y13,[1]Weapon!$B$1:$G$351,6,FALSE)/2,VLOOKUP(Y13,[1]Weapon!$B$1:$G$351,6,FALSE)),0)</f>
        <v>0</v>
      </c>
      <c r="AB13" s="36"/>
      <c r="AC13">
        <v>-1</v>
      </c>
      <c r="AD13" s="6">
        <f>_xlfn.IFNA(IF($E13="Robot",VLOOKUP(AB13,[1]Weapon!$B$1:$G$351,6,FALSE)/2,VLOOKUP(AB13,[1]Weapon!$B$1:$G$351,6,FALSE)),0)</f>
        <v>0</v>
      </c>
      <c r="AE13" s="36"/>
      <c r="AF13">
        <v>-1</v>
      </c>
      <c r="AG13" s="6">
        <f>_xlfn.IFNA(IF($E13="Robot",VLOOKUP(AE13,[1]Weapon!$B$1:$G$351,6,FALSE)/2,VLOOKUP(AE13,[1]Weapon!$B$1:$G$351,6,FALSE)),0)</f>
        <v>0</v>
      </c>
      <c r="AH13" s="36"/>
      <c r="AI13">
        <v>-1</v>
      </c>
      <c r="AJ13" s="6">
        <f>_xlfn.IFNA(IF($E13="Robot",VLOOKUP(AH13,[1]Weapon!$B$1:$G$351,6,FALSE)/2,VLOOKUP(AH13,[1]Weapon!$B$1:$G$351,6,FALSE)),0)</f>
        <v>0</v>
      </c>
      <c r="AL13">
        <v>-1</v>
      </c>
      <c r="AM13" s="6">
        <f>_xlfn.IFNA(IF($E13="Robot",VLOOKUP(AK13,[1]Weapon!$B$1:$G$351,6,FALSE)/2,VLOOKUP(AK13,[1]Weapon!$B$1:$G$351,6,FALSE)),0)</f>
        <v>0</v>
      </c>
      <c r="AO13">
        <v>0</v>
      </c>
      <c r="AP13" s="6">
        <f>_xlfn.IFNA(IF($E13="Robot",VLOOKUP(AN13,[1]Weapon!$B$1:$G$351,6,FALSE)/2,VLOOKUP(AN13,[1]Weapon!$B$1:$G$351,6,FALSE)),0)</f>
        <v>0</v>
      </c>
      <c r="AQ13" s="3"/>
      <c r="AR13" s="11"/>
      <c r="AS13">
        <f>VLOOKUP(B13,Toolkit!$Q$3:$U$22,4,FALSE)</f>
        <v>0</v>
      </c>
    </row>
    <row r="14" spans="1:46" x14ac:dyDescent="0.25">
      <c r="A14" s="69" t="str">
        <f t="shared" si="10"/>
        <v>DM</v>
      </c>
      <c r="B14" s="43" t="s">
        <v>119</v>
      </c>
      <c r="C14" s="7"/>
      <c r="D14" s="43" t="s">
        <v>120</v>
      </c>
      <c r="E14" s="105" t="s">
        <v>160</v>
      </c>
      <c r="F14">
        <v>126</v>
      </c>
      <c r="G14" s="2">
        <f>IF(ISBLANK(VLOOKUP($E14,[1]Monster!$A$2:$X$256,10,FALSE)),"",VLOOKUP($E14,[1]Monster!$A$2:$X$256,10,FALSE))</f>
        <v>126</v>
      </c>
      <c r="H14" s="3">
        <v>0</v>
      </c>
      <c r="I14" s="5">
        <f>IF(ISBLANK(VLOOKUP($E14,[1]Monster!$A$2:$X$256,11,FALSE)),"",VLOOKUP($E14,[1]Monster!$A$2:$X$256,11,FALSE))+H14</f>
        <v>14</v>
      </c>
      <c r="J14" s="4">
        <v>0</v>
      </c>
      <c r="K14" s="2">
        <f>IF(ISBLANK(VLOOKUP($E14,[1]Monster!$A$2:$X$256,14,FALSE)),"",VLOOKUP($E14,[1]Monster!$A$2:$X$256,14,FALSE))+J14</f>
        <v>13</v>
      </c>
      <c r="L14" s="3">
        <v>0</v>
      </c>
      <c r="M14" s="5">
        <f>IF(ISBLANK(VLOOKUP($E14,[1]Monster!$A$2:$X$256,12,FALSE)),"",VLOOKUP($E14,[1]Monster!$A$2:$X$256,12,FALSE))+L14</f>
        <v>14</v>
      </c>
      <c r="N14" s="4">
        <v>0</v>
      </c>
      <c r="O14" s="2">
        <f>IF(ISBLANK(VLOOKUP($E14,[1]Monster!$A$2:$X$256,13,FALSE)),"",VLOOKUP($E14,[1]Monster!$A$2:$X$256,13,FALSE))+N14</f>
        <v>10</v>
      </c>
      <c r="P14" s="36" t="str">
        <f>IF(ISBLANK(VLOOKUP($E14,[1]Monster!$A$2:$X$256,16,FALSE)),"",VLOOKUP($E14,[1]Monster!$A$2:$X$256,16,FALSE))</f>
        <v>Kick</v>
      </c>
      <c r="Q14">
        <v>15</v>
      </c>
      <c r="R14" s="6">
        <f>_xlfn.IFNA(IF($E14="Robot",VLOOKUP(P14,[1]Weapon!$B$1:$G$351,6,FALSE)/2,VLOOKUP(P14,[1]Weapon!$B$1:$G$351,6,FALSE)),0)</f>
        <v>15</v>
      </c>
      <c r="S14" s="36" t="str">
        <f>IF(ISBLANK(VLOOKUP($E14,[1]Monster!$A$2:$X$256,17,FALSE)),"",VLOOKUP($E14,[1]Monster!$A$2:$X$256,17,FALSE))</f>
        <v>Breath</v>
      </c>
      <c r="T14">
        <v>20</v>
      </c>
      <c r="U14" s="6">
        <f>_xlfn.IFNA(IF($E14="Robot",VLOOKUP(S14,[1]Weapon!$B$1:$G$351,6,FALSE)/2,VLOOKUP(S14,[1]Weapon!$B$1:$G$351,6,FALSE)),0)</f>
        <v>20</v>
      </c>
      <c r="V14" s="37" t="str">
        <f>IF(ISBLANK(VLOOKUP($E14,[1]Monster!$A$2:$X$256,18,FALSE)),"",VLOOKUP($E14,[1]Monster!$A$2:$X$256,18,FALSE))</f>
        <v/>
      </c>
      <c r="W14">
        <v>-1</v>
      </c>
      <c r="X14" s="6">
        <f>_xlfn.IFNA(IF($E14="Robot",VLOOKUP(V14,[1]Weapon!$B$1:$G$351,6,FALSE)/2,VLOOKUP(V14,[1]Weapon!$B$1:$G$351,6,FALSE)),0)</f>
        <v>0</v>
      </c>
      <c r="Y14" s="37"/>
      <c r="Z14">
        <v>-1</v>
      </c>
      <c r="AA14" s="6">
        <f>_xlfn.IFNA(IF($E14="Robot",VLOOKUP(Y14,[1]Weapon!$B$1:$G$351,6,FALSE)/2,VLOOKUP(Y14,[1]Weapon!$B$1:$G$351,6,FALSE)),0)</f>
        <v>0</v>
      </c>
      <c r="AB14" s="36" t="str">
        <f>IF(ISBLANK(VLOOKUP($E14,[1]Monster!$A$2:$X$256,20,FALSE)),"",VLOOKUP($E14,[1]Monster!$A$2:$X$256,20,FALSE))</f>
        <v/>
      </c>
      <c r="AC14">
        <v>-1</v>
      </c>
      <c r="AD14" s="6">
        <f>_xlfn.IFNA(IF($E14="Robot",VLOOKUP(AB14,[1]Weapon!$B$1:$G$351,6,FALSE)/2,VLOOKUP(AB14,[1]Weapon!$B$1:$G$351,6,FALSE)),0)</f>
        <v>0</v>
      </c>
      <c r="AE14" s="36" t="str">
        <f>IF(ISBLANK(VLOOKUP($E14,[1]Monster!$A$2:$X$256,21,FALSE)),"",VLOOKUP($E14,[1]Monster!$A$2:$X$256,21,FALSE))</f>
        <v/>
      </c>
      <c r="AF14">
        <v>-1</v>
      </c>
      <c r="AG14" s="6">
        <f>_xlfn.IFNA(IF($E14="Robot",VLOOKUP(AE14,[1]Weapon!$B$1:$G$351,6,FALSE)/2,VLOOKUP(AE14,[1]Weapon!$B$1:$G$351,6,FALSE)),0)</f>
        <v>0</v>
      </c>
      <c r="AH14" s="37" t="str">
        <f>IF(ISBLANK(VLOOKUP($E14,[1]Monster!$A$2:$X$256,22,FALSE)),"",VLOOKUP($E14,[1]Monster!$A$2:$X$256,22,FALSE))</f>
        <v/>
      </c>
      <c r="AI14">
        <v>-1</v>
      </c>
      <c r="AJ14" s="6">
        <f>_xlfn.IFNA(IF($E14="Robot",VLOOKUP(AH14,[1]Weapon!$B$1:$G$351,6,FALSE)/2,VLOOKUP(AH14,[1]Weapon!$B$1:$G$351,6,FALSE)),0)</f>
        <v>0</v>
      </c>
      <c r="AK14" s="25" t="str">
        <f>IF(ISBLANK(VLOOKUP($E14,[1]Monster!$A$2:$X$256,23,FALSE)),"",VLOOKUP($E14,[1]Monster!$A$2:$X$256,23,FALSE))</f>
        <v/>
      </c>
      <c r="AL14">
        <v>-1</v>
      </c>
      <c r="AM14" s="6">
        <f>_xlfn.IFNA(IF($E14="Robot",VLOOKUP(AK14,[1]Weapon!$B$1:$G$351,6,FALSE)/2,VLOOKUP(AK14,[1]Weapon!$B$1:$G$351,6,FALSE)),0)</f>
        <v>0</v>
      </c>
      <c r="AO14">
        <v>0</v>
      </c>
      <c r="AP14" s="6">
        <f>_xlfn.IFNA(IF($E14="Robot",VLOOKUP(AN14,[1]Weapon!$B$1:$G$351,6,FALSE)/2,VLOOKUP(AN14,[1]Weapon!$B$1:$G$351,6,FALSE)),0)</f>
        <v>0</v>
      </c>
      <c r="AQ14" s="3"/>
      <c r="AR14" s="84" t="s">
        <v>143</v>
      </c>
      <c r="AS14">
        <f>VLOOKUP(B14,Toolkit!$Q$3:$U$22,4,FALSE)</f>
        <v>0</v>
      </c>
    </row>
    <row r="15" spans="1:46" x14ac:dyDescent="0.25">
      <c r="A15" s="69" t="str">
        <f t="shared" si="10"/>
        <v>Lictus</v>
      </c>
      <c r="B15" s="49" t="s">
        <v>127</v>
      </c>
      <c r="C15" s="7"/>
      <c r="D15" s="47" t="s">
        <v>122</v>
      </c>
      <c r="E15" s="78" t="s">
        <v>60</v>
      </c>
      <c r="F15">
        <v>60</v>
      </c>
      <c r="G15" s="2">
        <v>60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46" t="s">
        <v>123</v>
      </c>
      <c r="Q15">
        <v>38</v>
      </c>
      <c r="R15" s="6">
        <f>_xlfn.IFNA(IF($E15="Robot",VLOOKUP(P15,[1]Weapon!$B$1:$G$351,6,FALSE)/2,VLOOKUP(P15,[1]Weapon!$B$1:$G$351,6,FALSE)),0)</f>
        <v>50</v>
      </c>
      <c r="S15" s="46" t="s">
        <v>96</v>
      </c>
      <c r="T15">
        <v>-1</v>
      </c>
      <c r="U15" s="6">
        <f>_xlfn.IFNA(IF($E15="Robot",VLOOKUP(S15,[1]Weapon!$B$1:$G$351,6,FALSE)/2,VLOOKUP(S15,[1]Weapon!$B$1:$G$351,6,FALSE)),0)</f>
        <v>-2</v>
      </c>
      <c r="V15" s="97" t="s">
        <v>95</v>
      </c>
      <c r="W15">
        <v>50</v>
      </c>
      <c r="X15" s="6">
        <f>_xlfn.IFNA(IF($E15="Robot",VLOOKUP(V15,[1]Weapon!$B$1:$G$351,6,FALSE)/2,VLOOKUP(V15,[1]Weapon!$B$1:$G$351,6,FALSE)),0)</f>
        <v>50</v>
      </c>
      <c r="Y15" s="37"/>
      <c r="Z15">
        <v>-1</v>
      </c>
      <c r="AA15" s="6">
        <f>_xlfn.IFNA(IF($E15="Robot",VLOOKUP(Y15,[1]Weapon!$B$1:$G$351,6,FALSE)/2,VLOOKUP(Y15,[1]Weapon!$B$1:$G$351,6,FALSE)),0)</f>
        <v>0</v>
      </c>
      <c r="AB15" s="36"/>
      <c r="AC15">
        <v>-1</v>
      </c>
      <c r="AD15" s="6">
        <f>_xlfn.IFNA(IF($E15="Robot",VLOOKUP(AB15,[1]Weapon!$B$1:$G$351,6,FALSE)/2,VLOOKUP(AB15,[1]Weapon!$B$1:$G$351,6,FALSE)),0)</f>
        <v>0</v>
      </c>
      <c r="AE15" s="36"/>
      <c r="AF15">
        <v>-1</v>
      </c>
      <c r="AG15" s="6">
        <f>_xlfn.IFNA(IF($E15="Robot",VLOOKUP(AE15,[1]Weapon!$B$1:$G$351,6,FALSE)/2,VLOOKUP(AE15,[1]Weapon!$B$1:$G$351,6,FALSE)),0)</f>
        <v>0</v>
      </c>
      <c r="AH15" s="36"/>
      <c r="AI15">
        <v>-1</v>
      </c>
      <c r="AJ15" s="6">
        <f>_xlfn.IFNA(IF($E15="Robot",VLOOKUP(AH15,[1]Weapon!$B$1:$G$351,6,FALSE)/2,VLOOKUP(AH15,[1]Weapon!$B$1:$G$351,6,FALSE)),0)</f>
        <v>0</v>
      </c>
      <c r="AL15">
        <v>-1</v>
      </c>
      <c r="AM15" s="6">
        <f>_xlfn.IFNA(IF($E15="Robot",VLOOKUP(AK15,[1]Weapon!$B$1:$G$351,6,FALSE)/2,VLOOKUP(AK15,[1]Weapon!$B$1:$G$351,6,FALSE)),0)</f>
        <v>0</v>
      </c>
      <c r="AO15">
        <v>0</v>
      </c>
      <c r="AP15" s="6">
        <f>_xlfn.IFNA(IF($E15="Robot",VLOOKUP(AN15,[1]Weapon!$B$1:$G$351,6,FALSE)/2,VLOOKUP(AN15,[1]Weapon!$B$1:$G$351,6,FALSE)),0)</f>
        <v>0</v>
      </c>
      <c r="AQ15" s="3"/>
      <c r="AR15" s="84"/>
      <c r="AS15">
        <f>VLOOKUP(B15,Toolkit!$Q$3:$U$22,4,FALSE)</f>
        <v>0</v>
      </c>
    </row>
    <row r="16" spans="1:46" x14ac:dyDescent="0.25">
      <c r="A16" s="69" t="str">
        <f t="shared" si="10"/>
        <v>BYTE</v>
      </c>
      <c r="B16" s="49" t="s">
        <v>125</v>
      </c>
      <c r="C16" s="7"/>
      <c r="D16" s="49" t="s">
        <v>126</v>
      </c>
      <c r="E16" s="44" t="s">
        <v>90</v>
      </c>
      <c r="F16">
        <v>69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69</v>
      </c>
      <c r="H16" s="82">
        <f>6+2</f>
        <v>8</v>
      </c>
      <c r="I16" s="48">
        <f>H16</f>
        <v>8</v>
      </c>
      <c r="J16" s="4">
        <f>6</f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f>5</f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45" t="s">
        <v>103</v>
      </c>
      <c r="Q16">
        <v>-1</v>
      </c>
      <c r="R16" s="6">
        <f>_xlfn.IFNA(IF($E16="Robot",VLOOKUP(P16,[1]Weapon!$B$1:$G$351,6,FALSE)/2,VLOOKUP(P16,[1]Weapon!$B$1:$G$351,6,FALSE)),0)</f>
        <v>-1</v>
      </c>
      <c r="S16" s="45" t="s">
        <v>104</v>
      </c>
      <c r="T16">
        <v>17</v>
      </c>
      <c r="U16" s="6">
        <f>_xlfn.IFNA(IF($E16="Robot",VLOOKUP(S16,[1]Weapon!$B$1:$G$351,6,FALSE)/2,VLOOKUP(S16,[1]Weapon!$B$1:$G$351,6,FALSE)),0)</f>
        <v>25</v>
      </c>
      <c r="V16" s="97" t="s">
        <v>111</v>
      </c>
      <c r="W16">
        <v>24</v>
      </c>
      <c r="X16" s="6">
        <f>_xlfn.IFNA(IF($E16="Robot",VLOOKUP(V16,[1]Weapon!$B$1:$G$351,6,FALSE)/2,VLOOKUP(V16,[1]Weapon!$B$1:$G$351,6,FALSE)),0)</f>
        <v>25</v>
      </c>
      <c r="Y16" s="36"/>
      <c r="Z16">
        <v>-1</v>
      </c>
      <c r="AA16" s="6">
        <f>_xlfn.IFNA(IF($E16="Robot",VLOOKUP(Y16,[1]Weapon!$B$1:$G$351,6,FALSE)/2,VLOOKUP(Y16,[1]Weapon!$B$1:$G$351,6,FALSE)),0)</f>
        <v>0</v>
      </c>
      <c r="AB16" s="36"/>
      <c r="AC16">
        <v>-1</v>
      </c>
      <c r="AD16" s="6">
        <f>_xlfn.IFNA(IF($E16="Robot",VLOOKUP(AB16,[1]Weapon!$B$1:$G$351,6,FALSE)/2,VLOOKUP(AB16,[1]Weapon!$B$1:$G$351,6,FALSE)),0)</f>
        <v>0</v>
      </c>
      <c r="AE16" s="36"/>
      <c r="AF16">
        <v>-1</v>
      </c>
      <c r="AG16" s="6">
        <f>_xlfn.IFNA(IF($E16="Robot",VLOOKUP(AE16,[1]Weapon!$B$1:$G$351,6,FALSE)/2,VLOOKUP(AE16,[1]Weapon!$B$1:$G$351,6,FALSE)),0)</f>
        <v>0</v>
      </c>
      <c r="AH16" s="37"/>
      <c r="AI16">
        <v>-1</v>
      </c>
      <c r="AJ16" s="6">
        <f>_xlfn.IFNA(IF($E16="Robot",VLOOKUP(AH16,[1]Weapon!$B$1:$G$351,6,FALSE)/2,VLOOKUP(AH16,[1]Weapon!$B$1:$G$351,6,FALSE)),0)</f>
        <v>0</v>
      </c>
      <c r="AL16">
        <v>-1</v>
      </c>
      <c r="AM16" s="6">
        <f>_xlfn.IFNA(IF($E16="Robot",VLOOKUP(AK16,[1]Weapon!$B$1:$G$351,6,FALSE)/2,VLOOKUP(AK16,[1]Weapon!$B$1:$G$351,6,FALSE)),0)</f>
        <v>0</v>
      </c>
      <c r="AO16">
        <v>0</v>
      </c>
      <c r="AP16" s="6">
        <f>_xlfn.IFNA(IF($E16="Robot",VLOOKUP(AN16,[1]Weapon!$B$1:$G$351,6,FALSE)/2,VLOOKUP(AN16,[1]Weapon!$B$1:$G$351,6,FALSE)),0)</f>
        <v>0</v>
      </c>
      <c r="AQ16" s="3"/>
      <c r="AR16" s="98" t="s">
        <v>158</v>
      </c>
      <c r="AS16">
        <f>VLOOKUP(B16,Toolkit!$Q$3:$U$22,4,FALSE)</f>
        <v>0</v>
      </c>
    </row>
    <row r="17" spans="1:45" x14ac:dyDescent="0.25">
      <c r="A17" s="69" t="str">
        <f t="shared" si="10"/>
        <v>Mr. S</v>
      </c>
      <c r="B17" s="66" t="s">
        <v>133</v>
      </c>
      <c r="C17" s="7"/>
      <c r="D17" s="66" t="s">
        <v>134</v>
      </c>
      <c r="E17" s="79" t="s">
        <v>135</v>
      </c>
      <c r="F17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36" t="str">
        <f>IF(ISBLANK(VLOOKUP($E17,[1]Monster!$A$2:$X$256,16,FALSE)),"",VLOOKUP($E17,[1]Monster!$A$2:$X$256,16,FALSE))</f>
        <v>Dissolve</v>
      </c>
      <c r="Q17">
        <v>15</v>
      </c>
      <c r="R17" s="6">
        <f>_xlfn.IFNA(IF($E17="Robot",VLOOKUP(P17,[1]Weapon!$B$1:$G$351,6,FALSE)/2,VLOOKUP(P17,[1]Weapon!$B$1:$G$351,6,FALSE)),0)</f>
        <v>15</v>
      </c>
      <c r="S17" s="36" t="str">
        <f>IF(ISBLANK(VLOOKUP($E17,[1]Monster!$A$2:$X$256,17,FALSE)),"",VLOOKUP($E17,[1]Monster!$A$2:$X$256,17,FALSE))</f>
        <v>Fire</v>
      </c>
      <c r="T17">
        <v>15</v>
      </c>
      <c r="U17" s="6">
        <f>_xlfn.IFNA(IF($E17="Robot",VLOOKUP(S17,[1]Weapon!$B$1:$G$351,6,FALSE)/2,VLOOKUP(S17,[1]Weapon!$B$1:$G$351,6,FALSE)),0)</f>
        <v>15</v>
      </c>
      <c r="V17" s="37" t="str">
        <f>IF(ISBLANK(VLOOKUP($E17,[1]Monster!$A$2:$X$256,18,FALSE)),"",VLOOKUP($E17,[1]Monster!$A$2:$X$256,18,FALSE))</f>
        <v>Cure</v>
      </c>
      <c r="W17">
        <v>15</v>
      </c>
      <c r="X17" s="6">
        <f>_xlfn.IFNA(IF($E17="Robot",VLOOKUP(V17,[1]Weapon!$B$1:$G$351,6,FALSE)/2,VLOOKUP(V17,[1]Weapon!$B$1:$G$351,6,FALSE)),0)</f>
        <v>15</v>
      </c>
      <c r="Y17" s="37"/>
      <c r="Z17">
        <v>-1</v>
      </c>
      <c r="AA17" s="6">
        <f>_xlfn.IFNA(IF($E17="Robot",VLOOKUP(Y17,[1]Weapon!$B$1:$G$351,6,FALSE)/2,VLOOKUP(Y17,[1]Weapon!$B$1:$G$351,6,FALSE)),0)</f>
        <v>0</v>
      </c>
      <c r="AB17" s="36" t="str">
        <f>IF(ISBLANK(VLOOKUP($E17,[1]Monster!$A$2:$X$256,20,FALSE)),"",VLOOKUP($E17,[1]Monster!$A$2:$X$256,20,FALSE))</f>
        <v/>
      </c>
      <c r="AC17">
        <v>-1</v>
      </c>
      <c r="AD17" s="6">
        <f>_xlfn.IFNA(IF($E17="Robot",VLOOKUP(AB17,[1]Weapon!$B$1:$G$351,6,FALSE)/2,VLOOKUP(AB17,[1]Weapon!$B$1:$G$351,6,FALSE)),0)</f>
        <v>0</v>
      </c>
      <c r="AE17" s="36" t="str">
        <f>IF(ISBLANK(VLOOKUP($E17,[1]Monster!$A$2:$X$256,21,FALSE)),"",VLOOKUP($E17,[1]Monster!$A$2:$X$256,21,FALSE))</f>
        <v/>
      </c>
      <c r="AF17">
        <v>-1</v>
      </c>
      <c r="AG17" s="6">
        <f>_xlfn.IFNA(IF($E17="Robot",VLOOKUP(AE17,[1]Weapon!$B$1:$G$351,6,FALSE)/2,VLOOKUP(AE17,[1]Weapon!$B$1:$G$351,6,FALSE)),0)</f>
        <v>0</v>
      </c>
      <c r="AH17" s="37" t="str">
        <f>IF(ISBLANK(VLOOKUP($E17,[1]Monster!$A$2:$X$256,22,FALSE)),"",VLOOKUP($E17,[1]Monster!$A$2:$X$256,22,FALSE))</f>
        <v/>
      </c>
      <c r="AI17">
        <v>-1</v>
      </c>
      <c r="AJ17" s="6">
        <f>_xlfn.IFNA(IF($E17="Robot",VLOOKUP(AH17,[1]Weapon!$B$1:$G$351,6,FALSE)/2,VLOOKUP(AH17,[1]Weapon!$B$1:$G$351,6,FALSE)),0)</f>
        <v>0</v>
      </c>
      <c r="AK17" s="25" t="str">
        <f>IF(ISBLANK(VLOOKUP($E17,[1]Monster!$A$2:$X$256,23,FALSE)),"",VLOOKUP($E17,[1]Monster!$A$2:$X$256,23,FALSE))</f>
        <v/>
      </c>
      <c r="AL17">
        <v>-1</v>
      </c>
      <c r="AM17" s="6">
        <f>_xlfn.IFNA(IF($E17="Robot",VLOOKUP(AK17,[1]Weapon!$B$1:$G$351,6,FALSE)/2,VLOOKUP(AK17,[1]Weapon!$B$1:$G$351,6,FALSE)),0)</f>
        <v>0</v>
      </c>
      <c r="AO17">
        <v>0</v>
      </c>
      <c r="AP17" s="6">
        <f>_xlfn.IFNA(IF($E17="Robot",VLOOKUP(AN17,[1]Weapon!$B$1:$G$351,6,FALSE)/2,VLOOKUP(AN17,[1]Weapon!$B$1:$G$351,6,FALSE)),0)</f>
        <v>0</v>
      </c>
      <c r="AQ17" s="3"/>
      <c r="AR17" s="11"/>
      <c r="AS17">
        <v>0</v>
      </c>
    </row>
    <row r="18" spans="1:45" x14ac:dyDescent="0.25">
      <c r="B18" s="33"/>
      <c r="C18" s="7"/>
      <c r="D18" s="33"/>
      <c r="E18" s="8"/>
      <c r="F18"/>
      <c r="J18" s="4"/>
      <c r="N18" s="4"/>
      <c r="P18" s="36"/>
      <c r="Q18"/>
      <c r="S18" s="36"/>
      <c r="T18"/>
      <c r="V18" s="36"/>
      <c r="W18"/>
      <c r="Y18" s="36"/>
      <c r="Z18"/>
      <c r="AB18" s="38"/>
      <c r="AC18"/>
      <c r="AE18" s="36"/>
      <c r="AF18"/>
      <c r="AH18" s="37"/>
      <c r="AI18"/>
      <c r="AL18"/>
      <c r="AO18"/>
      <c r="AR18" s="11"/>
    </row>
    <row r="19" spans="1:45" x14ac:dyDescent="0.25">
      <c r="B19" s="33"/>
      <c r="C19" s="7"/>
      <c r="D19" s="33"/>
      <c r="E19" s="32"/>
      <c r="F19"/>
      <c r="J19" s="4"/>
      <c r="N19" s="4"/>
      <c r="P19" s="37"/>
      <c r="Q19"/>
      <c r="S19" s="37"/>
      <c r="T19"/>
      <c r="V19" s="37"/>
      <c r="W19"/>
      <c r="Y19" s="37"/>
      <c r="Z19"/>
      <c r="AB19" s="37"/>
      <c r="AC19"/>
      <c r="AF19"/>
      <c r="AI19"/>
      <c r="AL19"/>
      <c r="AO19"/>
      <c r="AR19" s="11"/>
    </row>
    <row r="20" spans="1:45" x14ac:dyDescent="0.25">
      <c r="B20" s="39"/>
      <c r="D20" s="39"/>
      <c r="E20" s="39"/>
      <c r="F20"/>
      <c r="P20" s="38"/>
      <c r="Q20"/>
      <c r="S20" s="38"/>
      <c r="T20"/>
      <c r="V20" s="38"/>
      <c r="W20"/>
      <c r="Y20" s="38"/>
      <c r="Z20"/>
      <c r="AB20" s="38"/>
      <c r="AC20"/>
      <c r="AF20"/>
      <c r="AH20" s="26"/>
      <c r="AI20"/>
      <c r="AK20" s="26"/>
      <c r="AL20"/>
      <c r="AO20"/>
    </row>
    <row r="21" spans="1:45" x14ac:dyDescent="0.25">
      <c r="F21"/>
      <c r="Q21"/>
      <c r="T21"/>
      <c r="W21"/>
      <c r="Z21"/>
      <c r="AC21"/>
      <c r="AF21"/>
      <c r="AI21"/>
      <c r="AL21"/>
      <c r="AO21"/>
    </row>
    <row r="22" spans="1:45" x14ac:dyDescent="0.25">
      <c r="F22"/>
      <c r="Q22"/>
      <c r="T22"/>
      <c r="W22"/>
      <c r="Z22"/>
      <c r="AC22"/>
      <c r="AF22"/>
      <c r="AI22"/>
      <c r="AL22"/>
      <c r="AO22"/>
    </row>
    <row r="23" spans="1:45" x14ac:dyDescent="0.25">
      <c r="F23"/>
      <c r="Q23"/>
      <c r="T23"/>
      <c r="W23"/>
      <c r="Z23"/>
      <c r="AC23"/>
      <c r="AF23"/>
      <c r="AI23"/>
      <c r="AL23"/>
      <c r="AO23"/>
    </row>
    <row r="24" spans="1:45" x14ac:dyDescent="0.25">
      <c r="F24"/>
      <c r="Q24"/>
      <c r="T24"/>
      <c r="W24"/>
      <c r="Z24"/>
      <c r="AC24"/>
      <c r="AF24"/>
      <c r="AI24"/>
      <c r="AL24"/>
      <c r="AO24"/>
    </row>
    <row r="25" spans="1:45" x14ac:dyDescent="0.25">
      <c r="F25"/>
      <c r="Q25"/>
      <c r="T25"/>
      <c r="W25"/>
      <c r="Z25"/>
      <c r="AC25"/>
      <c r="AF25"/>
      <c r="AI25"/>
      <c r="AL25"/>
      <c r="AO25"/>
    </row>
    <row r="26" spans="1:45" x14ac:dyDescent="0.25">
      <c r="F26"/>
      <c r="Q26"/>
      <c r="T26"/>
      <c r="W26"/>
      <c r="Z26"/>
      <c r="AC26"/>
      <c r="AF26"/>
      <c r="AI26"/>
      <c r="AL26"/>
      <c r="AO26"/>
    </row>
    <row r="27" spans="1:45" x14ac:dyDescent="0.25">
      <c r="F27"/>
      <c r="Q27"/>
      <c r="T27"/>
      <c r="W27"/>
      <c r="Z27"/>
      <c r="AC27"/>
      <c r="AF27"/>
      <c r="AI27"/>
      <c r="AL27"/>
      <c r="AO27"/>
    </row>
    <row r="28" spans="1:45" x14ac:dyDescent="0.25">
      <c r="F28"/>
      <c r="Q28"/>
      <c r="T28"/>
      <c r="W28"/>
      <c r="Z28"/>
      <c r="AC28"/>
      <c r="AF28"/>
      <c r="AI28"/>
      <c r="AL28"/>
      <c r="AO28"/>
    </row>
    <row r="29" spans="1:45" x14ac:dyDescent="0.25">
      <c r="F29"/>
      <c r="Q29"/>
      <c r="T29"/>
      <c r="W29"/>
      <c r="Z29"/>
      <c r="AC29"/>
      <c r="AF29"/>
      <c r="AI29"/>
      <c r="AL29"/>
      <c r="AO29"/>
    </row>
    <row r="30" spans="1:45" x14ac:dyDescent="0.25">
      <c r="F30"/>
      <c r="Q30"/>
      <c r="T30"/>
      <c r="W30"/>
      <c r="Z30"/>
      <c r="AC30"/>
      <c r="AF30"/>
      <c r="AI30"/>
      <c r="AL30"/>
      <c r="AO30"/>
    </row>
    <row r="31" spans="1:45" x14ac:dyDescent="0.25">
      <c r="F31"/>
      <c r="Q31"/>
      <c r="T31"/>
      <c r="W31"/>
      <c r="Z31"/>
      <c r="AC31"/>
      <c r="AF31"/>
      <c r="AI31"/>
      <c r="AL31"/>
      <c r="AO31"/>
    </row>
    <row r="32" spans="1:45" x14ac:dyDescent="0.25">
      <c r="F32"/>
      <c r="Q32"/>
      <c r="T32"/>
      <c r="W32"/>
      <c r="Z32"/>
      <c r="AC32"/>
      <c r="AF32"/>
      <c r="AI32"/>
      <c r="AL32"/>
      <c r="AO32"/>
    </row>
    <row r="33" spans="6:41" x14ac:dyDescent="0.25">
      <c r="F33"/>
      <c r="Q33"/>
      <c r="T33"/>
      <c r="W33"/>
      <c r="Z33"/>
      <c r="AC33"/>
      <c r="AF33"/>
      <c r="AI33"/>
      <c r="AL33"/>
      <c r="AO33"/>
    </row>
    <row r="34" spans="6:41" x14ac:dyDescent="0.25">
      <c r="F34"/>
      <c r="Q34"/>
      <c r="T34"/>
      <c r="W34"/>
      <c r="Z34"/>
      <c r="AC34"/>
      <c r="AF34"/>
      <c r="AI34"/>
      <c r="AL34"/>
      <c r="AO34"/>
    </row>
    <row r="35" spans="6:41" x14ac:dyDescent="0.25">
      <c r="F35"/>
      <c r="Q35"/>
      <c r="T35"/>
      <c r="W35"/>
      <c r="Z35"/>
      <c r="AC35"/>
      <c r="AF35"/>
      <c r="AI35"/>
      <c r="AL35"/>
      <c r="AO35"/>
    </row>
    <row r="36" spans="6:41" x14ac:dyDescent="0.25">
      <c r="F36"/>
      <c r="Q36"/>
      <c r="T36"/>
      <c r="W36"/>
      <c r="Z36"/>
      <c r="AC36"/>
      <c r="AF36"/>
      <c r="AI36"/>
      <c r="AL36"/>
      <c r="AO36"/>
    </row>
    <row r="37" spans="6:41" x14ac:dyDescent="0.25">
      <c r="F37"/>
      <c r="Q37"/>
      <c r="T37"/>
      <c r="W37"/>
      <c r="Z37"/>
      <c r="AC37"/>
      <c r="AF37"/>
      <c r="AI37"/>
      <c r="AL37"/>
      <c r="AO37"/>
    </row>
    <row r="38" spans="6:41" x14ac:dyDescent="0.25">
      <c r="F38"/>
      <c r="Q38"/>
      <c r="T38"/>
      <c r="W38"/>
      <c r="Z38"/>
      <c r="AC38"/>
      <c r="AF38"/>
      <c r="AI38"/>
      <c r="AL38"/>
      <c r="AO38"/>
    </row>
    <row r="39" spans="6:41" x14ac:dyDescent="0.25">
      <c r="F39"/>
      <c r="Q39"/>
      <c r="T39"/>
      <c r="W39"/>
      <c r="Z39"/>
      <c r="AC39"/>
      <c r="AF39"/>
      <c r="AI39"/>
      <c r="AL39"/>
      <c r="AO39"/>
    </row>
    <row r="40" spans="6:41" x14ac:dyDescent="0.25">
      <c r="F40"/>
      <c r="Q40"/>
      <c r="T40"/>
      <c r="W40"/>
      <c r="Z40"/>
      <c r="AC40"/>
      <c r="AF40"/>
      <c r="AI40"/>
      <c r="AL40"/>
      <c r="AO40"/>
    </row>
  </sheetData>
  <conditionalFormatting sqref="A20:A1048576 A1:A12">
    <cfRule type="notContainsBlanks" dxfId="13" priority="23">
      <formula>LEN(TRIM(A1))&gt;0</formula>
    </cfRule>
  </conditionalFormatting>
  <conditionalFormatting sqref="Q20:AP20 AI9 AI6 Q3:Q4 AI3 Q6:Q12 Z9 S3:T4 S6:T12 R3:R17 V3:W4 V6:W12 U3:U17 Q2:X2 Y3:Z4 Y6:Z8 Y10:Z12 X3:X17 AB3:AC4 AB6:AC12 AA3:AA17 AE3:AF4 AE6:AF12 AD3:AD17 AH10:AI12 AH4:AI4 AH7:AI8 AG3:AG17 AK3:AL4 AK6:AL12 AJ3:AJ17 AN3:AO12 AM3:AM17 Z2:AP2 AP3:AP17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 Q15 Q18:AP19 S15:T15 S13:T13 V13:W13 V15:W16 Y15:Z16 Y13:Z13 AB13:AC13 AB15:AC16 AE15:AF16 AE13:AF13 AH13:AI13 AH15:AI16 AK15:AL16 AK13:AL13 AN13:AO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 Z5 S5:T5 V5:W5 AB5:AC5 AE5:AF5 AH5:AI5 AK5:AL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 S14:T14 V14:W14 Y14:Z14 AB14:AC14 AE14:AF14 AH14:AI14 AK14:AL14">
    <cfRule type="cellIs" dxfId="2" priority="3" operator="lessThan">
      <formula>0</formula>
    </cfRule>
  </conditionalFormatting>
  <conditionalFormatting sqref="Q16 S16:T16">
    <cfRule type="cellIs" dxfId="1" priority="2" operator="lessThan">
      <formula>0</formula>
    </cfRule>
  </conditionalFormatting>
  <conditionalFormatting sqref="Q17 S17:T17 V17:W17 Y17:Z17 AB17:AC17 AE17:AF17 AH17:AI17 AK17:AL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L13" sqref="L13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2.710937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.5703125" bestFit="1" customWidth="1"/>
    <col min="19" max="20" width="12.5703125" customWidth="1"/>
  </cols>
  <sheetData>
    <row r="1" spans="1:21" ht="18.75" thickBot="1" x14ac:dyDescent="0.3">
      <c r="A1" s="99" t="s">
        <v>131</v>
      </c>
      <c r="B1" s="100"/>
      <c r="C1" s="100"/>
      <c r="D1" s="100"/>
      <c r="E1" s="100"/>
      <c r="F1" s="100"/>
      <c r="G1" s="100"/>
      <c r="H1" s="100"/>
      <c r="I1" s="101"/>
      <c r="K1" s="102" t="s">
        <v>132</v>
      </c>
      <c r="L1" s="103"/>
      <c r="M1" s="103"/>
      <c r="N1" s="103"/>
      <c r="O1" s="104"/>
      <c r="Q1" s="102" t="s">
        <v>151</v>
      </c>
      <c r="R1" s="103"/>
      <c r="S1" s="103"/>
      <c r="T1" s="103"/>
      <c r="U1" s="104"/>
    </row>
    <row r="2" spans="1:21" x14ac:dyDescent="0.2">
      <c r="A2" s="62" t="s">
        <v>40</v>
      </c>
      <c r="B2" s="63" t="s">
        <v>8</v>
      </c>
      <c r="C2" s="63" t="s">
        <v>85</v>
      </c>
      <c r="D2" s="63" t="s">
        <v>82</v>
      </c>
      <c r="E2" s="64" t="s">
        <v>79</v>
      </c>
      <c r="F2" s="64" t="s">
        <v>80</v>
      </c>
      <c r="G2" s="63" t="s">
        <v>83</v>
      </c>
      <c r="H2" s="63" t="s">
        <v>81</v>
      </c>
      <c r="I2" s="65" t="s">
        <v>86</v>
      </c>
      <c r="K2" s="55" t="s">
        <v>128</v>
      </c>
      <c r="L2" s="56" t="s">
        <v>141</v>
      </c>
      <c r="M2" s="56" t="s">
        <v>69</v>
      </c>
      <c r="N2" s="56" t="s">
        <v>129</v>
      </c>
      <c r="O2" s="57" t="s">
        <v>130</v>
      </c>
      <c r="Q2" s="55" t="s">
        <v>128</v>
      </c>
      <c r="R2" s="56" t="s">
        <v>136</v>
      </c>
      <c r="S2" s="56" t="s">
        <v>137</v>
      </c>
      <c r="T2" s="56" t="s">
        <v>152</v>
      </c>
      <c r="U2" s="57" t="s">
        <v>138</v>
      </c>
    </row>
    <row r="3" spans="1:21" ht="15" x14ac:dyDescent="0.25">
      <c r="A3" s="51"/>
      <c r="B3" s="58" t="e">
        <f>VLOOKUP(A3,Players!$B$2:$O$20,5,FALSE)</f>
        <v>#N/A</v>
      </c>
      <c r="C3" s="58" t="e">
        <f>VLOOKUP(A3,Players!$B$2:$O$20,6,FALSE)</f>
        <v>#N/A</v>
      </c>
      <c r="D3" s="58" t="e">
        <f>VLOOKUP(A3,Players!$B$2:$O$20,14,FALSE)</f>
        <v>#N/A</v>
      </c>
      <c r="E3" s="58" t="s">
        <v>84</v>
      </c>
      <c r="F3" s="58" t="s">
        <v>133</v>
      </c>
      <c r="G3" s="58">
        <f>VLOOKUP(F3,Players!$B$2:$O$20,14,FALSE)</f>
        <v>19</v>
      </c>
      <c r="H3" s="58" t="e">
        <f>IF(E3="Cure Potion",30,IF(E3="Spell",PRODUCT(4,D3+G3),0))</f>
        <v>#N/A</v>
      </c>
      <c r="I3" s="59" t="e">
        <f>IF(SUM(H3+B3)&lt;C3,SUM(H3+B3),C3)</f>
        <v>#N/A</v>
      </c>
      <c r="K3" s="52" t="s">
        <v>92</v>
      </c>
      <c r="L3" s="106" t="s">
        <v>168</v>
      </c>
      <c r="M3" s="74">
        <f ca="1">VLOOKUP($K3,INDIRECT("'"&amp;L3&amp;"'!$A$2:$F$10"),6,FALSE)</f>
        <v>59</v>
      </c>
      <c r="N3" s="58" t="s">
        <v>154</v>
      </c>
      <c r="O3" s="59" t="s">
        <v>3</v>
      </c>
      <c r="Q3" s="52" t="s">
        <v>92</v>
      </c>
      <c r="R3">
        <v>298</v>
      </c>
      <c r="S3" s="58">
        <f t="shared" ref="S3:S18" si="0">VLOOKUP(L3,R$26:S$34,2,FALSE)</f>
        <v>0</v>
      </c>
      <c r="T3" s="58"/>
      <c r="U3" s="59">
        <f>S3+R3</f>
        <v>298</v>
      </c>
    </row>
    <row r="4" spans="1:21" ht="15" x14ac:dyDescent="0.25">
      <c r="A4" s="51"/>
      <c r="B4" s="58" t="e">
        <f>VLOOKUP(A4,Players!$B$2:$O$20,5,FALSE)</f>
        <v>#N/A</v>
      </c>
      <c r="C4" s="58" t="e">
        <f>VLOOKUP(A4,Players!$B$2:$O$20,6,FALSE)</f>
        <v>#N/A</v>
      </c>
      <c r="D4" s="58" t="e">
        <f>VLOOKUP(A4,Players!$B$2:$O$20,14,FALSE)</f>
        <v>#N/A</v>
      </c>
      <c r="E4" s="58" t="s">
        <v>84</v>
      </c>
      <c r="F4" s="58" t="s">
        <v>133</v>
      </c>
      <c r="G4" s="58">
        <f>VLOOKUP(F4,Players!$B$2:$O$20,14,FALSE)</f>
        <v>19</v>
      </c>
      <c r="H4" s="58" t="e">
        <f>IF(E4="Cure Potion",30,IF(E4="Spell",PRODUCT(4,D4+G4),0))</f>
        <v>#N/A</v>
      </c>
      <c r="I4" s="59" t="e">
        <f>IF(SUM(H4+B4)&lt;C4,SUM(H4+B4),C4)</f>
        <v>#N/A</v>
      </c>
      <c r="K4" s="52" t="s">
        <v>93</v>
      </c>
      <c r="L4" s="106" t="s">
        <v>172</v>
      </c>
      <c r="M4" s="74">
        <f t="shared" ref="M4:M17" ca="1" si="1">VLOOKUP($K4,INDIRECT("'"&amp;L4&amp;"'!$A$2:$F$10"),6,FALSE)</f>
        <v>60</v>
      </c>
      <c r="N4" s="58" t="s">
        <v>140</v>
      </c>
      <c r="O4" s="59" t="s">
        <v>162</v>
      </c>
      <c r="Q4" s="52" t="s">
        <v>93</v>
      </c>
      <c r="R4">
        <v>309</v>
      </c>
      <c r="S4" s="58">
        <f t="shared" si="0"/>
        <v>0</v>
      </c>
      <c r="T4" s="58"/>
      <c r="U4" s="59">
        <f t="shared" ref="U4:U17" si="2">S4+R4</f>
        <v>309</v>
      </c>
    </row>
    <row r="5" spans="1:21" ht="15" x14ac:dyDescent="0.25">
      <c r="A5" s="51"/>
      <c r="B5" s="58" t="e">
        <f>VLOOKUP(A5,Players!$B$2:$O$20,5,FALSE)</f>
        <v>#N/A</v>
      </c>
      <c r="C5" s="58" t="e">
        <f>VLOOKUP(A5,Players!$B$2:$O$20,6,FALSE)</f>
        <v>#N/A</v>
      </c>
      <c r="D5" s="58" t="e">
        <f>VLOOKUP(A5,Players!$B$2:$O$20,14,FALSE)</f>
        <v>#N/A</v>
      </c>
      <c r="E5" s="58" t="s">
        <v>84</v>
      </c>
      <c r="F5" s="58" t="s">
        <v>133</v>
      </c>
      <c r="G5" s="58">
        <f>VLOOKUP(F5,Players!$B$2:$O$20,14,FALSE)</f>
        <v>19</v>
      </c>
      <c r="H5" s="58" t="e">
        <f t="shared" ref="H5:H10" si="3">IF(E5="Cure Potion",30,IF(E5="Spell",PRODUCT(4,D5+G5),0))</f>
        <v>#N/A</v>
      </c>
      <c r="I5" s="59" t="e">
        <f t="shared" ref="I5:I10" si="4">IF(SUM(H5+B5)&lt;C5,SUM(H5+B5),C5)</f>
        <v>#N/A</v>
      </c>
      <c r="K5" s="52" t="s">
        <v>97</v>
      </c>
      <c r="L5" s="106" t="s">
        <v>170</v>
      </c>
      <c r="M5" s="74">
        <f t="shared" ca="1" si="1"/>
        <v>55</v>
      </c>
      <c r="N5" s="58" t="s">
        <v>88</v>
      </c>
      <c r="O5" s="59"/>
      <c r="Q5" s="52" t="s">
        <v>97</v>
      </c>
      <c r="R5">
        <v>287</v>
      </c>
      <c r="S5" s="58">
        <f t="shared" si="0"/>
        <v>0</v>
      </c>
      <c r="T5" s="58"/>
      <c r="U5" s="59">
        <f t="shared" si="2"/>
        <v>287</v>
      </c>
    </row>
    <row r="6" spans="1:21" ht="15" x14ac:dyDescent="0.25">
      <c r="A6" s="51"/>
      <c r="B6" s="58" t="e">
        <f>VLOOKUP(A6,Players!$B$2:$O$20,5,FALSE)</f>
        <v>#N/A</v>
      </c>
      <c r="C6" s="58" t="e">
        <f>VLOOKUP(A6,Players!$B$2:$O$20,6,FALSE)</f>
        <v>#N/A</v>
      </c>
      <c r="D6" s="58" t="e">
        <f>VLOOKUP(A6,Players!$B$2:$O$20,14,FALSE)</f>
        <v>#N/A</v>
      </c>
      <c r="E6" s="58" t="s">
        <v>84</v>
      </c>
      <c r="F6" s="58" t="s">
        <v>133</v>
      </c>
      <c r="G6" s="58">
        <f>VLOOKUP(F6,Players!$B$2:$O$20,14,FALSE)</f>
        <v>19</v>
      </c>
      <c r="H6" s="58" t="e">
        <f t="shared" si="3"/>
        <v>#N/A</v>
      </c>
      <c r="I6" s="59" t="e">
        <f t="shared" si="4"/>
        <v>#N/A</v>
      </c>
      <c r="K6" s="52" t="s">
        <v>98</v>
      </c>
      <c r="L6" s="106" t="s">
        <v>170</v>
      </c>
      <c r="M6" s="74">
        <f t="shared" ca="1" si="1"/>
        <v>81</v>
      </c>
      <c r="N6" s="58" t="s">
        <v>155</v>
      </c>
      <c r="O6" s="59" t="s">
        <v>165</v>
      </c>
      <c r="Q6" s="52" t="s">
        <v>98</v>
      </c>
      <c r="R6">
        <v>309</v>
      </c>
      <c r="S6" s="58">
        <f t="shared" si="0"/>
        <v>0</v>
      </c>
      <c r="T6" s="58"/>
      <c r="U6" s="59">
        <f t="shared" si="2"/>
        <v>309</v>
      </c>
    </row>
    <row r="7" spans="1:21" ht="15" x14ac:dyDescent="0.25">
      <c r="A7" s="51"/>
      <c r="B7" s="58" t="e">
        <f>VLOOKUP(A7,Players!$B$2:$O$20,5,FALSE)</f>
        <v>#N/A</v>
      </c>
      <c r="C7" s="58" t="e">
        <f>VLOOKUP(A7,Players!$B$2:$O$20,6,FALSE)</f>
        <v>#N/A</v>
      </c>
      <c r="D7" s="58" t="e">
        <f>VLOOKUP(A7,Players!$B$2:$O$20,14,FALSE)</f>
        <v>#N/A</v>
      </c>
      <c r="E7" s="58" t="s">
        <v>84</v>
      </c>
      <c r="F7" s="58" t="s">
        <v>74</v>
      </c>
      <c r="G7" s="58">
        <f>VLOOKUP(F7,Players!$B$2:$O$20,14,FALSE)</f>
        <v>7</v>
      </c>
      <c r="H7" s="58" t="e">
        <f t="shared" si="3"/>
        <v>#N/A</v>
      </c>
      <c r="I7" s="59" t="e">
        <f t="shared" si="4"/>
        <v>#N/A</v>
      </c>
      <c r="K7" s="52" t="s">
        <v>76</v>
      </c>
      <c r="L7" s="106" t="s">
        <v>169</v>
      </c>
      <c r="M7" s="74">
        <f t="shared" ca="1" si="1"/>
        <v>52</v>
      </c>
      <c r="N7" s="58" t="s">
        <v>41</v>
      </c>
      <c r="O7" s="59" t="s">
        <v>167</v>
      </c>
      <c r="Q7" s="52" t="s">
        <v>76</v>
      </c>
      <c r="R7">
        <v>287</v>
      </c>
      <c r="S7" s="58">
        <f t="shared" si="0"/>
        <v>0</v>
      </c>
      <c r="T7" s="58"/>
      <c r="U7" s="59">
        <f t="shared" si="2"/>
        <v>287</v>
      </c>
    </row>
    <row r="8" spans="1:21" ht="15" x14ac:dyDescent="0.25">
      <c r="A8" s="51"/>
      <c r="B8" s="58" t="e">
        <f>VLOOKUP(A8,Players!$B$2:$O$20,5,FALSE)</f>
        <v>#N/A</v>
      </c>
      <c r="C8" s="58" t="e">
        <f>VLOOKUP(A8,Players!$B$2:$O$20,6,FALSE)</f>
        <v>#N/A</v>
      </c>
      <c r="D8" s="58" t="e">
        <f>VLOOKUP(A8,Players!$B$2:$O$20,14,FALSE)</f>
        <v>#N/A</v>
      </c>
      <c r="E8" s="58" t="s">
        <v>84</v>
      </c>
      <c r="F8" s="58" t="s">
        <v>133</v>
      </c>
      <c r="G8" s="58">
        <f>VLOOKUP(F8,Players!$B$2:$O$20,14,FALSE)</f>
        <v>19</v>
      </c>
      <c r="H8" s="58" t="e">
        <f t="shared" si="3"/>
        <v>#N/A</v>
      </c>
      <c r="I8" s="59" t="e">
        <f t="shared" si="4"/>
        <v>#N/A</v>
      </c>
      <c r="K8" s="53" t="s">
        <v>101</v>
      </c>
      <c r="L8" s="106" t="s">
        <v>172</v>
      </c>
      <c r="M8" s="74">
        <f t="shared" ca="1" si="1"/>
        <v>69</v>
      </c>
      <c r="N8" s="58" t="s">
        <v>104</v>
      </c>
      <c r="O8" s="59" t="s">
        <v>162</v>
      </c>
      <c r="Q8" s="53" t="s">
        <v>101</v>
      </c>
      <c r="R8">
        <v>287</v>
      </c>
      <c r="S8" s="58">
        <f t="shared" si="0"/>
        <v>0</v>
      </c>
      <c r="T8" s="58"/>
      <c r="U8" s="59">
        <f t="shared" si="2"/>
        <v>287</v>
      </c>
    </row>
    <row r="9" spans="1:21" ht="15" x14ac:dyDescent="0.25">
      <c r="A9" s="51"/>
      <c r="B9" s="58" t="e">
        <f>VLOOKUP(A9,Players!$B$2:$O$20,5,FALSE)</f>
        <v>#N/A</v>
      </c>
      <c r="C9" s="58" t="e">
        <f>VLOOKUP(A9,Players!$B$2:$O$20,6,FALSE)</f>
        <v>#N/A</v>
      </c>
      <c r="D9" s="58" t="e">
        <f>VLOOKUP(A9,Players!$B$2:$O$20,14,FALSE)</f>
        <v>#N/A</v>
      </c>
      <c r="E9" s="58" t="s">
        <v>84</v>
      </c>
      <c r="F9" s="58" t="s">
        <v>133</v>
      </c>
      <c r="G9" s="58">
        <f>VLOOKUP(F9,Players!$B$2:$O$20,14,FALSE)</f>
        <v>19</v>
      </c>
      <c r="H9" s="58" t="e">
        <f t="shared" si="3"/>
        <v>#N/A</v>
      </c>
      <c r="I9" s="59" t="e">
        <f t="shared" si="4"/>
        <v>#N/A</v>
      </c>
      <c r="K9" s="53" t="s">
        <v>105</v>
      </c>
      <c r="L9" s="106" t="s">
        <v>169</v>
      </c>
      <c r="M9" s="74">
        <f t="shared" ca="1" si="1"/>
        <v>59</v>
      </c>
      <c r="N9" s="58" t="s">
        <v>41</v>
      </c>
      <c r="O9" s="59" t="s">
        <v>167</v>
      </c>
      <c r="Q9" s="53" t="s">
        <v>105</v>
      </c>
      <c r="R9">
        <v>309</v>
      </c>
      <c r="S9" s="58">
        <f t="shared" si="0"/>
        <v>0</v>
      </c>
      <c r="T9" s="58"/>
      <c r="U9" s="59">
        <f t="shared" si="2"/>
        <v>309</v>
      </c>
    </row>
    <row r="10" spans="1:21" ht="15" x14ac:dyDescent="0.25">
      <c r="A10" s="51"/>
      <c r="B10" s="58" t="e">
        <f>VLOOKUP(A10,Players!$B$2:$O$20,5,FALSE)</f>
        <v>#N/A</v>
      </c>
      <c r="C10" s="58" t="e">
        <f>VLOOKUP(A10,Players!$B$2:$O$20,6,FALSE)</f>
        <v>#N/A</v>
      </c>
      <c r="D10" s="58" t="e">
        <f>VLOOKUP(A10,Players!$B$2:$O$20,14,FALSE)</f>
        <v>#N/A</v>
      </c>
      <c r="E10" s="58" t="s">
        <v>84</v>
      </c>
      <c r="F10" s="58" t="s">
        <v>133</v>
      </c>
      <c r="G10" s="58">
        <f>VLOOKUP(F10,Players!$B$2:$O$20,14,FALSE)</f>
        <v>19</v>
      </c>
      <c r="H10" s="58" t="e">
        <f t="shared" si="3"/>
        <v>#N/A</v>
      </c>
      <c r="I10" s="59" t="e">
        <f t="shared" si="4"/>
        <v>#N/A</v>
      </c>
      <c r="K10" s="53" t="s">
        <v>107</v>
      </c>
      <c r="L10" s="106" t="s">
        <v>171</v>
      </c>
      <c r="M10" s="74">
        <f t="shared" ca="1" si="1"/>
        <v>62</v>
      </c>
      <c r="N10" s="58" t="s">
        <v>121</v>
      </c>
      <c r="O10" s="59" t="s">
        <v>162</v>
      </c>
      <c r="Q10" s="53" t="s">
        <v>107</v>
      </c>
      <c r="R10">
        <v>298</v>
      </c>
      <c r="S10" s="58">
        <f t="shared" si="0"/>
        <v>0</v>
      </c>
      <c r="T10" s="58"/>
      <c r="U10" s="59">
        <f t="shared" si="2"/>
        <v>298</v>
      </c>
    </row>
    <row r="11" spans="1:21" ht="15.75" thickBot="1" x14ac:dyDescent="0.3">
      <c r="A11" s="50"/>
      <c r="B11" s="60"/>
      <c r="C11" s="60"/>
      <c r="D11" s="60"/>
      <c r="E11" s="60"/>
      <c r="F11" s="60"/>
      <c r="G11" s="60"/>
      <c r="H11" s="60"/>
      <c r="I11" s="61"/>
      <c r="K11" s="53" t="s">
        <v>109</v>
      </c>
      <c r="L11" s="106" t="s">
        <v>172</v>
      </c>
      <c r="M11" s="74">
        <f t="shared" ca="1" si="1"/>
        <v>56</v>
      </c>
      <c r="N11" s="58" t="s">
        <v>89</v>
      </c>
      <c r="O11" s="59"/>
      <c r="Q11" s="53" t="s">
        <v>109</v>
      </c>
      <c r="R11">
        <v>376</v>
      </c>
      <c r="S11" s="58">
        <f t="shared" si="0"/>
        <v>0</v>
      </c>
      <c r="T11" s="58"/>
      <c r="U11" s="59">
        <f t="shared" si="2"/>
        <v>376</v>
      </c>
    </row>
    <row r="12" spans="1:21" ht="15" x14ac:dyDescent="0.25">
      <c r="K12" s="53" t="s">
        <v>74</v>
      </c>
      <c r="L12" s="106" t="s">
        <v>168</v>
      </c>
      <c r="M12" s="74">
        <f t="shared" ca="1" si="1"/>
        <v>52</v>
      </c>
      <c r="N12" s="58" t="s">
        <v>88</v>
      </c>
      <c r="O12" s="59"/>
      <c r="Q12" s="53" t="s">
        <v>74</v>
      </c>
      <c r="R12">
        <v>298</v>
      </c>
      <c r="S12" s="58">
        <f t="shared" si="0"/>
        <v>0</v>
      </c>
      <c r="T12" s="58"/>
      <c r="U12" s="59">
        <f t="shared" si="2"/>
        <v>298</v>
      </c>
    </row>
    <row r="13" spans="1:21" ht="15" x14ac:dyDescent="0.25">
      <c r="A13" t="s">
        <v>157</v>
      </c>
      <c r="K13" s="53" t="s">
        <v>114</v>
      </c>
      <c r="L13" s="106" t="s">
        <v>170</v>
      </c>
      <c r="M13" s="74">
        <f t="shared" ca="1" si="1"/>
        <v>87</v>
      </c>
      <c r="N13" s="58" t="s">
        <v>111</v>
      </c>
      <c r="O13" s="59" t="s">
        <v>165</v>
      </c>
      <c r="Q13" s="53" t="s">
        <v>114</v>
      </c>
      <c r="R13">
        <v>309</v>
      </c>
      <c r="S13" s="58">
        <f t="shared" si="0"/>
        <v>0</v>
      </c>
      <c r="T13" s="58"/>
      <c r="U13" s="59">
        <f t="shared" si="2"/>
        <v>309</v>
      </c>
    </row>
    <row r="14" spans="1:21" ht="15" x14ac:dyDescent="0.25">
      <c r="A14" t="s">
        <v>74</v>
      </c>
      <c r="B14" t="s">
        <v>88</v>
      </c>
      <c r="C14">
        <v>1</v>
      </c>
      <c r="K14" s="53" t="s">
        <v>117</v>
      </c>
      <c r="L14" s="106" t="s">
        <v>169</v>
      </c>
      <c r="M14" s="74">
        <f t="shared" ca="1" si="1"/>
        <v>51</v>
      </c>
      <c r="N14" s="58" t="s">
        <v>124</v>
      </c>
      <c r="O14" s="59"/>
      <c r="Q14" s="53" t="s">
        <v>117</v>
      </c>
      <c r="R14">
        <v>298</v>
      </c>
      <c r="S14" s="58">
        <f t="shared" si="0"/>
        <v>0</v>
      </c>
      <c r="T14" s="58"/>
      <c r="U14" s="59">
        <f t="shared" si="2"/>
        <v>298</v>
      </c>
    </row>
    <row r="15" spans="1:21" ht="15" x14ac:dyDescent="0.25">
      <c r="K15" s="53" t="s">
        <v>119</v>
      </c>
      <c r="L15" s="106" t="s">
        <v>168</v>
      </c>
      <c r="M15" s="74">
        <f t="shared" ca="1" si="1"/>
        <v>126</v>
      </c>
      <c r="N15" s="58" t="s">
        <v>161</v>
      </c>
      <c r="O15" s="59" t="s">
        <v>164</v>
      </c>
      <c r="Q15" s="53" t="s">
        <v>119</v>
      </c>
      <c r="R15">
        <v>376</v>
      </c>
      <c r="S15" s="58">
        <f t="shared" si="0"/>
        <v>0</v>
      </c>
      <c r="T15" s="58"/>
      <c r="U15" s="59">
        <f t="shared" si="2"/>
        <v>376</v>
      </c>
    </row>
    <row r="16" spans="1:21" ht="15" x14ac:dyDescent="0.25">
      <c r="K16" s="54" t="s">
        <v>127</v>
      </c>
      <c r="L16" s="106" t="s">
        <v>171</v>
      </c>
      <c r="M16" s="74">
        <f t="shared" ca="1" si="1"/>
        <v>60</v>
      </c>
      <c r="N16" s="58" t="s">
        <v>123</v>
      </c>
      <c r="O16" s="59" t="s">
        <v>163</v>
      </c>
      <c r="Q16" s="54" t="s">
        <v>127</v>
      </c>
      <c r="R16">
        <v>287</v>
      </c>
      <c r="S16" s="58">
        <f t="shared" si="0"/>
        <v>0</v>
      </c>
      <c r="T16" s="58"/>
      <c r="U16" s="59">
        <f t="shared" si="2"/>
        <v>287</v>
      </c>
    </row>
    <row r="17" spans="11:21" ht="15" x14ac:dyDescent="0.25">
      <c r="K17" s="54" t="s">
        <v>125</v>
      </c>
      <c r="L17" s="106" t="s">
        <v>171</v>
      </c>
      <c r="M17" s="74">
        <f t="shared" ca="1" si="1"/>
        <v>69</v>
      </c>
      <c r="N17" s="58" t="s">
        <v>111</v>
      </c>
      <c r="O17" s="59" t="s">
        <v>162</v>
      </c>
      <c r="Q17" s="54" t="s">
        <v>125</v>
      </c>
      <c r="R17">
        <v>376</v>
      </c>
      <c r="S17" s="58">
        <f t="shared" si="0"/>
        <v>0</v>
      </c>
      <c r="T17" s="58"/>
      <c r="U17" s="59">
        <f t="shared" si="2"/>
        <v>376</v>
      </c>
    </row>
    <row r="18" spans="11:21" x14ac:dyDescent="0.2">
      <c r="K18" s="51"/>
      <c r="L18" s="70"/>
      <c r="M18" s="70"/>
      <c r="N18" s="58"/>
      <c r="O18" s="59"/>
      <c r="Q18" s="51"/>
      <c r="R18" s="58"/>
      <c r="S18" s="58"/>
      <c r="T18" s="58"/>
      <c r="U18" s="59"/>
    </row>
    <row r="19" spans="11:21" x14ac:dyDescent="0.2">
      <c r="K19" s="51"/>
      <c r="L19" s="70"/>
      <c r="M19" s="70"/>
      <c r="N19" s="58"/>
      <c r="O19" s="59"/>
      <c r="Q19" s="51"/>
      <c r="R19" s="58"/>
      <c r="S19" s="58"/>
      <c r="T19" s="58"/>
      <c r="U19" s="59"/>
    </row>
    <row r="20" spans="11:21" x14ac:dyDescent="0.2">
      <c r="K20" s="51"/>
      <c r="L20" s="70"/>
      <c r="M20" s="70"/>
      <c r="N20" s="58"/>
      <c r="O20" s="59"/>
      <c r="Q20" s="51"/>
      <c r="R20" s="58"/>
      <c r="S20" s="58"/>
      <c r="T20" s="58"/>
      <c r="U20" s="59"/>
    </row>
    <row r="21" spans="11:21" x14ac:dyDescent="0.2">
      <c r="K21" s="51"/>
      <c r="L21" s="70"/>
      <c r="M21" s="70"/>
      <c r="N21" s="58"/>
      <c r="O21" s="59"/>
      <c r="Q21" s="51"/>
      <c r="R21" s="58"/>
      <c r="S21" s="58"/>
      <c r="T21" s="58"/>
      <c r="U21" s="59"/>
    </row>
    <row r="22" spans="11:21" ht="13.5" thickBot="1" x14ac:dyDescent="0.25">
      <c r="K22" s="50"/>
      <c r="L22" s="71"/>
      <c r="M22" s="71"/>
      <c r="N22" s="60"/>
      <c r="O22" s="61"/>
      <c r="Q22" s="50"/>
      <c r="R22" s="60"/>
      <c r="S22" s="60"/>
      <c r="T22" s="60"/>
      <c r="U22" s="61"/>
    </row>
    <row r="23" spans="11:21" ht="13.5" thickBot="1" x14ac:dyDescent="0.25"/>
    <row r="24" spans="11:21" ht="18.75" thickBot="1" x14ac:dyDescent="0.3">
      <c r="Q24" s="102" t="s">
        <v>156</v>
      </c>
      <c r="R24" s="103"/>
      <c r="S24" s="104"/>
    </row>
    <row r="25" spans="11:21" x14ac:dyDescent="0.2">
      <c r="Q25" s="93" t="s">
        <v>150</v>
      </c>
      <c r="R25" s="94" t="s">
        <v>149</v>
      </c>
      <c r="S25" s="95" t="s">
        <v>148</v>
      </c>
    </row>
    <row r="26" spans="11:21" x14ac:dyDescent="0.2">
      <c r="Q26" s="51">
        <v>4</v>
      </c>
      <c r="R26" s="70" t="str">
        <f>INDEX(SheetNames,Q26)</f>
        <v>Inn and Cafe</v>
      </c>
      <c r="S26" s="91"/>
    </row>
    <row r="27" spans="11:21" x14ac:dyDescent="0.2">
      <c r="Q27" s="51">
        <v>5</v>
      </c>
      <c r="R27" s="70" t="str">
        <f t="shared" ref="R27:R34" si="5">INDEX(SheetNames,Q27)</f>
        <v>Weapon Shop</v>
      </c>
      <c r="S27" s="91"/>
    </row>
    <row r="28" spans="11:21" x14ac:dyDescent="0.2">
      <c r="Q28" s="51">
        <v>6</v>
      </c>
      <c r="R28" s="70" t="str">
        <f t="shared" si="5"/>
        <v>Tool Shop</v>
      </c>
      <c r="S28" s="91"/>
    </row>
    <row r="29" spans="11:21" x14ac:dyDescent="0.2">
      <c r="Q29" s="51">
        <v>7</v>
      </c>
      <c r="R29" s="70" t="str">
        <f>INDEX(SheetNames,Q29)</f>
        <v>Butcher Shop</v>
      </c>
      <c r="S29" s="91"/>
    </row>
    <row r="30" spans="11:21" x14ac:dyDescent="0.2">
      <c r="Q30" s="51">
        <v>8</v>
      </c>
      <c r="R30" s="70" t="str">
        <f>INDEX(SheetNames,Q30)</f>
        <v>Dojo</v>
      </c>
      <c r="S30" s="91"/>
    </row>
    <row r="31" spans="11:21" x14ac:dyDescent="0.2">
      <c r="Q31" s="51">
        <v>9</v>
      </c>
      <c r="R31" s="70" t="e">
        <f t="shared" si="5"/>
        <v>#REF!</v>
      </c>
      <c r="S31" s="91"/>
    </row>
    <row r="32" spans="11:21" x14ac:dyDescent="0.2">
      <c r="Q32" s="51">
        <v>10</v>
      </c>
      <c r="R32" s="70" t="e">
        <f t="shared" si="5"/>
        <v>#REF!</v>
      </c>
      <c r="S32" s="91"/>
    </row>
    <row r="33" spans="17:19" x14ac:dyDescent="0.2">
      <c r="Q33" s="51">
        <v>11</v>
      </c>
      <c r="R33" s="70" t="e">
        <f t="shared" si="5"/>
        <v>#REF!</v>
      </c>
      <c r="S33" s="91"/>
    </row>
    <row r="34" spans="17:19" ht="13.5" thickBot="1" x14ac:dyDescent="0.25">
      <c r="Q34" s="50">
        <v>12</v>
      </c>
      <c r="R34" s="71" t="e">
        <f t="shared" si="5"/>
        <v>#REF!</v>
      </c>
      <c r="S34" s="92"/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5"/>
  <sheetViews>
    <sheetView workbookViewId="0">
      <selection activeCell="D4" sqref="D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93</v>
      </c>
      <c r="B2" t="s">
        <v>16</v>
      </c>
      <c r="C2">
        <v>1</v>
      </c>
      <c r="D2">
        <v>2</v>
      </c>
      <c r="F2">
        <f>VLOOKUP(A2,Players!$B$2:$F$30,5,FALSE)</f>
        <v>60</v>
      </c>
      <c r="K2" t="str">
        <f>IF(NOT($B2="Enemy"),VLOOKUP($A2,Toolkit!$K$2:$O$37,4,FALSE),"")</f>
        <v>Sleep</v>
      </c>
      <c r="L2" t="str">
        <f>IF(NOT($B2="Enemy"),VLOOKUP($A2,Toolkit!$K$2:$O$37,5,FALSE),"")</f>
        <v>Jaguar</v>
      </c>
    </row>
    <row r="3" spans="1:22" x14ac:dyDescent="0.2">
      <c r="A3" t="s">
        <v>101</v>
      </c>
      <c r="B3" t="s">
        <v>16</v>
      </c>
      <c r="C3">
        <v>1</v>
      </c>
      <c r="D3">
        <v>1</v>
      </c>
      <c r="F3">
        <f>VLOOKUP(A3,Players!$B$2:$F$30,5,FALSE)</f>
        <v>69</v>
      </c>
      <c r="K3" t="str">
        <f>IF(NOT($B3="Enemy"),VLOOKUP($A3,Toolkit!$K$2:$O$37,4,FALSE),"")</f>
        <v>Colt Gun</v>
      </c>
      <c r="L3" t="str">
        <f>IF(NOT($B3="Enemy"),VLOOKUP($A3,Toolkit!$K$2:$O$37,5,FALSE),"")</f>
        <v>Jaguar</v>
      </c>
    </row>
    <row r="4" spans="1:22" x14ac:dyDescent="0.2">
      <c r="A4" t="s">
        <v>109</v>
      </c>
      <c r="B4" t="s">
        <v>16</v>
      </c>
      <c r="C4">
        <v>1</v>
      </c>
      <c r="D4">
        <v>3</v>
      </c>
      <c r="F4">
        <f>VLOOKUP(A4,Players!$B$2:$F$30,5,FALSE)</f>
        <v>56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162</v>
      </c>
      <c r="B5" t="s">
        <v>17</v>
      </c>
      <c r="C5">
        <v>4</v>
      </c>
    </row>
  </sheetData>
  <dataValidations count="1">
    <dataValidation type="list" allowBlank="1" showInputMessage="1" showErrorMessage="1" sqref="L5:L26" xr:uid="{CD0C094A-3DD5-4259-8BD1-591C43C3DE05}">
      <formula1>$A$2:$A$26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D5" sqref="D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107</v>
      </c>
      <c r="B2" t="s">
        <v>16</v>
      </c>
      <c r="C2">
        <v>1</v>
      </c>
      <c r="D2">
        <v>2</v>
      </c>
      <c r="F2">
        <f>VLOOKUP(A2,Players!$B$2:$F$30,5,FALSE)</f>
        <v>62</v>
      </c>
      <c r="K2" t="str">
        <f>IF(NOT($B2="Enemy"),VLOOKUP($A2,Toolkit!$K$2:$O$37,4,FALSE),"")</f>
        <v>Strike</v>
      </c>
      <c r="L2" t="str">
        <f>IF(NOT($B2="Enemy"),VLOOKUP($A2,Toolkit!$K$2:$O$37,5,FALSE),"")</f>
        <v>Jaguar</v>
      </c>
    </row>
    <row r="3" spans="1:22" x14ac:dyDescent="0.2">
      <c r="A3" t="s">
        <v>125</v>
      </c>
      <c r="B3" t="s">
        <v>16</v>
      </c>
      <c r="C3">
        <v>1</v>
      </c>
      <c r="D3">
        <v>1</v>
      </c>
      <c r="F3">
        <f>VLOOKUP(A3,Players!$B$2:$F$30,5,FALSE)</f>
        <v>69</v>
      </c>
      <c r="K3" t="str">
        <f>IF(NOT($B3="Enemy"),VLOOKUP($A3,Toolkit!$K$2:$O$37,4,FALSE),"")</f>
        <v>Hammer</v>
      </c>
      <c r="L3" t="str">
        <f>IF(NOT($B3="Enemy"),VLOOKUP($A3,Toolkit!$K$2:$O$37,5,FALSE),"")</f>
        <v>Jaguar</v>
      </c>
    </row>
    <row r="4" spans="1:22" x14ac:dyDescent="0.2">
      <c r="A4" t="s">
        <v>127</v>
      </c>
      <c r="B4" t="s">
        <v>16</v>
      </c>
      <c r="C4">
        <v>1</v>
      </c>
      <c r="D4">
        <v>3</v>
      </c>
      <c r="F4">
        <f>VLOOKUP(A4,Players!$B$2:$F$30,5,FALSE)</f>
        <v>60</v>
      </c>
      <c r="K4" t="str">
        <f>IF(NOT($B4="Enemy"),VLOOKUP($A4,Toolkit!$K$2:$O$37,4,FALSE),"")</f>
        <v>Rapier</v>
      </c>
      <c r="L4" t="str">
        <f>IF(NOT($B4="Enemy"),VLOOKUP($A4,Toolkit!$K$2:$O$37,5,FALSE),"")</f>
        <v>Spider</v>
      </c>
    </row>
    <row r="5" spans="1:22" x14ac:dyDescent="0.2">
      <c r="A5" t="s">
        <v>163</v>
      </c>
      <c r="B5" t="s">
        <v>17</v>
      </c>
      <c r="C5">
        <v>1</v>
      </c>
    </row>
    <row r="6" spans="1:22" x14ac:dyDescent="0.2">
      <c r="A6" t="s">
        <v>164</v>
      </c>
      <c r="B6" t="s">
        <v>17</v>
      </c>
      <c r="C6">
        <v>1</v>
      </c>
    </row>
    <row r="7" spans="1:22" x14ac:dyDescent="0.2">
      <c r="A7" t="s">
        <v>162</v>
      </c>
      <c r="B7" t="s">
        <v>17</v>
      </c>
      <c r="C7">
        <v>1</v>
      </c>
    </row>
  </sheetData>
  <dataValidations count="1">
    <dataValidation type="list" allowBlank="1" showInputMessage="1" showErrorMessage="1" sqref="L5:L27" xr:uid="{92B02EC9-250A-4C6F-84C0-38DB0791A413}">
      <formula1>$A$2:$A$27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5"/>
  <sheetViews>
    <sheetView workbookViewId="0">
      <selection activeCell="A5" sqref="A5:XFD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114</v>
      </c>
      <c r="B2" t="s">
        <v>16</v>
      </c>
      <c r="C2">
        <v>1</v>
      </c>
      <c r="D2">
        <v>1</v>
      </c>
      <c r="F2">
        <f>VLOOKUP(A2,Players!$B$2:$F$30,5,FALSE)</f>
        <v>87</v>
      </c>
      <c r="K2" t="str">
        <f>IF(NOT($B2="Enemy"),VLOOKUP($A2,Toolkit!$K$2:$O$37,4,FALSE),"")</f>
        <v>Hammer</v>
      </c>
      <c r="L2" t="str">
        <f>IF(NOT($B2="Enemy"),VLOOKUP($A2,Toolkit!$K$2:$O$37,5,FALSE),"")</f>
        <v>Gang</v>
      </c>
    </row>
    <row r="3" spans="1:22" x14ac:dyDescent="0.2">
      <c r="A3" t="s">
        <v>98</v>
      </c>
      <c r="B3" t="s">
        <v>16</v>
      </c>
      <c r="C3">
        <v>1</v>
      </c>
      <c r="D3">
        <v>2</v>
      </c>
      <c r="F3">
        <f>VLOOKUP(A3,Players!$B$2:$F$30,5,FALSE)</f>
        <v>81</v>
      </c>
      <c r="K3" t="str">
        <f>IF(NOT($B3="Enemy"),VLOOKUP($A3,Toolkit!$K$2:$O$37,4,FALSE),"")</f>
        <v>Beak</v>
      </c>
      <c r="L3" t="str">
        <f>IF(NOT($B3="Enemy"),VLOOKUP($A3,Toolkit!$K$2:$O$37,5,FALSE),"")</f>
        <v>Gang</v>
      </c>
    </row>
    <row r="4" spans="1:22" x14ac:dyDescent="0.2">
      <c r="A4" t="s">
        <v>97</v>
      </c>
      <c r="B4" t="s">
        <v>16</v>
      </c>
      <c r="C4">
        <v>1</v>
      </c>
      <c r="D4">
        <v>3</v>
      </c>
      <c r="F4">
        <f>VLOOKUP(A4,Players!$B$2:$F$30,5,FALSE)</f>
        <v>55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165</v>
      </c>
      <c r="B5" t="s">
        <v>17</v>
      </c>
      <c r="C5">
        <v>4</v>
      </c>
    </row>
  </sheetData>
  <dataValidations count="1">
    <dataValidation type="list" allowBlank="1" showInputMessage="1" showErrorMessage="1" sqref="L5:L25" xr:uid="{EBB04A11-21ED-4407-A460-0F9206DD93AC}">
      <formula1>$A$2:$A$25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9A1AA-DC7B-4597-9B6A-1B905B1DBA26}">
  <sheetPr codeName="Sheet6"/>
  <dimension ref="A1:V7"/>
  <sheetViews>
    <sheetView workbookViewId="0">
      <selection activeCell="D3" sqref="D3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119</v>
      </c>
      <c r="B2" t="s">
        <v>16</v>
      </c>
      <c r="C2">
        <v>1</v>
      </c>
      <c r="D2">
        <v>1</v>
      </c>
      <c r="F2">
        <f>VLOOKUP(A2,Players!$B$2:$F$30,5,FALSE)</f>
        <v>126</v>
      </c>
      <c r="K2" t="str">
        <f>IF(NOT($B2="Enemy"),VLOOKUP($A2,Toolkit!$K$2:$O$37,4,FALSE),"")</f>
        <v>Breath</v>
      </c>
      <c r="L2" t="str">
        <f>IF(NOT($B2="Enemy"),VLOOKUP($A2,Toolkit!$K$2:$O$37,5,FALSE),"")</f>
        <v>Skelton</v>
      </c>
    </row>
    <row r="3" spans="1:22" x14ac:dyDescent="0.2">
      <c r="A3" t="s">
        <v>92</v>
      </c>
      <c r="B3" t="s">
        <v>16</v>
      </c>
      <c r="C3">
        <v>1</v>
      </c>
      <c r="D3">
        <v>2</v>
      </c>
      <c r="F3">
        <f>VLOOKUP(A3,Players!$B$2:$F$30,5,FALSE)</f>
        <v>59</v>
      </c>
      <c r="K3" t="str">
        <f>IF(NOT($B3="Enemy"),VLOOKUP($A3,Toolkit!$K$2:$O$37,4,FALSE),"")</f>
        <v>Tusk</v>
      </c>
      <c r="L3" t="str">
        <f>IF(NOT($B3="Enemy"),VLOOKUP($A3,Toolkit!$K$2:$O$37,5,FALSE),"")</f>
        <v>Goblin</v>
      </c>
    </row>
    <row r="4" spans="1:22" x14ac:dyDescent="0.2">
      <c r="A4" t="s">
        <v>74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3</v>
      </c>
      <c r="B5" t="s">
        <v>17</v>
      </c>
      <c r="C5">
        <v>1</v>
      </c>
    </row>
    <row r="6" spans="1:22" x14ac:dyDescent="0.2">
      <c r="A6" t="s">
        <v>166</v>
      </c>
      <c r="B6" t="s">
        <v>17</v>
      </c>
      <c r="C6">
        <v>1</v>
      </c>
    </row>
    <row r="7" spans="1:22" x14ac:dyDescent="0.2">
      <c r="A7" t="s">
        <v>164</v>
      </c>
      <c r="B7" t="s">
        <v>17</v>
      </c>
      <c r="C7">
        <v>1</v>
      </c>
    </row>
  </sheetData>
  <dataValidations count="1">
    <dataValidation type="list" allowBlank="1" showInputMessage="1" showErrorMessage="1" sqref="L5:L25" xr:uid="{6190CCC2-24BC-4C41-96A6-E37961A77440}">
      <formula1>$A$2:$A$25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6E165-37DB-43E0-9607-F32ADA53A676}">
  <sheetPr codeName="Sheet8"/>
  <dimension ref="A1:V6"/>
  <sheetViews>
    <sheetView workbookViewId="0">
      <selection activeCell="A5" sqref="A5:XFD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10" t="s">
        <v>0</v>
      </c>
      <c r="B1" s="10" t="s">
        <v>6</v>
      </c>
      <c r="C1" s="10" t="s">
        <v>7</v>
      </c>
      <c r="D1" s="10" t="s">
        <v>4</v>
      </c>
      <c r="E1" t="s">
        <v>5</v>
      </c>
      <c r="F1" s="10" t="s">
        <v>8</v>
      </c>
      <c r="G1" t="s">
        <v>9</v>
      </c>
      <c r="H1" t="s">
        <v>10</v>
      </c>
      <c r="I1" t="s">
        <v>11</v>
      </c>
      <c r="J1" t="s">
        <v>12</v>
      </c>
      <c r="K1" s="10" t="s">
        <v>13</v>
      </c>
      <c r="L1" s="10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105</v>
      </c>
      <c r="B2" t="s">
        <v>16</v>
      </c>
      <c r="C2">
        <v>1</v>
      </c>
      <c r="D2">
        <v>2</v>
      </c>
      <c r="F2">
        <f>VLOOKUP(A2,Players!$B$2:$F$30,5,FALSE)</f>
        <v>59</v>
      </c>
      <c r="K2" t="str">
        <f>IF(NOT($B2="Enemy"),VLOOKUP($A2,Toolkit!$K$2:$O$37,4,FALSE),"")</f>
        <v>Long Sword</v>
      </c>
      <c r="L2" t="str">
        <f>IF(NOT($B2="Enemy"),VLOOKUP($A2,Toolkit!$K$2:$O$37,5,FALSE),"")</f>
        <v>Odd Eye</v>
      </c>
    </row>
    <row r="3" spans="1:22" x14ac:dyDescent="0.2">
      <c r="A3" t="s">
        <v>117</v>
      </c>
      <c r="B3" t="s">
        <v>16</v>
      </c>
      <c r="C3">
        <v>1</v>
      </c>
      <c r="D3">
        <v>1</v>
      </c>
      <c r="F3">
        <f>VLOOKUP(A3,Players!$B$2:$F$30,5,FALSE)</f>
        <v>51</v>
      </c>
      <c r="K3" t="str">
        <f>IF(NOT($B3="Enemy"),VLOOKUP($A3,Toolkit!$K$2:$O$37,4,FALSE),"")</f>
        <v>Bronze Shield</v>
      </c>
      <c r="L3">
        <f>IF(NOT($B3="Enemy"),VLOOKUP($A3,Toolkit!$K$2:$O$37,5,FALSE),"")</f>
        <v>0</v>
      </c>
    </row>
    <row r="4" spans="1:22" x14ac:dyDescent="0.2">
      <c r="A4" t="s">
        <v>76</v>
      </c>
      <c r="B4" t="s">
        <v>16</v>
      </c>
      <c r="C4">
        <v>1</v>
      </c>
      <c r="D4">
        <v>3</v>
      </c>
      <c r="F4">
        <f>VLOOKUP(A4,Players!$B$2:$F$30,5,FALSE)</f>
        <v>52</v>
      </c>
      <c r="K4" t="str">
        <f>IF(NOT($B4="Enemy"),VLOOKUP($A4,Toolkit!$K$2:$O$37,4,FALSE),"")</f>
        <v>Long Sword</v>
      </c>
      <c r="L4" t="str">
        <f>IF(NOT($B4="Enemy"),VLOOKUP($A4,Toolkit!$K$2:$O$37,5,FALSE),"")</f>
        <v>Odd Eye</v>
      </c>
    </row>
    <row r="5" spans="1:22" x14ac:dyDescent="0.2">
      <c r="A5" t="s">
        <v>166</v>
      </c>
      <c r="B5" t="s">
        <v>17</v>
      </c>
      <c r="C5">
        <v>1</v>
      </c>
    </row>
    <row r="6" spans="1:22" x14ac:dyDescent="0.2">
      <c r="A6" t="s">
        <v>167</v>
      </c>
      <c r="B6" t="s">
        <v>17</v>
      </c>
      <c r="C6">
        <v>1</v>
      </c>
    </row>
  </sheetData>
  <dataValidations count="1">
    <dataValidation type="list" allowBlank="1" showInputMessage="1" showErrorMessage="1" sqref="L5:L25" xr:uid="{7DD66F2B-C9EF-4221-81F4-8D2D344381A0}">
      <formula1>$A$2:$A$25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Players</vt:lpstr>
      <vt:lpstr>Toolkit</vt:lpstr>
      <vt:lpstr>Template</vt:lpstr>
      <vt:lpstr>Inn and Cafe</vt:lpstr>
      <vt:lpstr>Weapon Shop</vt:lpstr>
      <vt:lpstr>Tool Shop</vt:lpstr>
      <vt:lpstr>Butcher Shop</vt:lpstr>
      <vt:lpstr>Dojo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2020-01-28T20:14:10Z</dcterms:modified>
</cp:coreProperties>
</file>