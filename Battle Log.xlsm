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319C5503-96F4-4E67-9F67-5C78E4E2CB1D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5" i="30" l="1"/>
  <c r="S6" i="30"/>
  <c r="S7" i="30"/>
  <c r="S8" i="30"/>
  <c r="S9" i="30"/>
  <c r="S10" i="30"/>
  <c r="S11" i="30"/>
  <c r="S12" i="30"/>
  <c r="S13" i="30"/>
  <c r="S14" i="30"/>
  <c r="S15" i="30"/>
  <c r="S16" i="30"/>
  <c r="S17" i="30"/>
  <c r="S3" i="30"/>
  <c r="S4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B29" i="30"/>
  <c r="H7" i="16" l="1"/>
  <c r="I7" i="16" s="1"/>
  <c r="L16" i="16"/>
  <c r="J16" i="16"/>
  <c r="H16" i="16"/>
  <c r="I16" i="16" s="1"/>
  <c r="L11" i="16"/>
  <c r="M11" i="16" s="1"/>
  <c r="M12" i="16"/>
  <c r="L12" i="16"/>
  <c r="K3" i="34" l="1"/>
  <c r="L3" i="34"/>
  <c r="K4" i="34"/>
  <c r="L4" i="34"/>
  <c r="L2" i="34"/>
  <c r="K2" i="34"/>
  <c r="K3" i="33"/>
  <c r="L3" i="33"/>
  <c r="K5" i="33"/>
  <c r="L5" i="33"/>
  <c r="K4" i="33"/>
  <c r="L4" i="33"/>
  <c r="L2" i="33"/>
  <c r="K2" i="33"/>
  <c r="K4" i="32"/>
  <c r="L4" i="32"/>
  <c r="K5" i="32"/>
  <c r="K2" i="32"/>
  <c r="L2" i="32"/>
  <c r="L3" i="32"/>
  <c r="K3" i="32"/>
  <c r="K3" i="31"/>
  <c r="L3" i="31"/>
  <c r="K4" i="31"/>
  <c r="L4" i="31"/>
  <c r="K5" i="31"/>
  <c r="L5" i="31"/>
  <c r="L2" i="31"/>
  <c r="K2" i="31"/>
  <c r="B30" i="30"/>
  <c r="B32" i="30"/>
  <c r="B26" i="30"/>
  <c r="B25" i="30"/>
  <c r="B33" i="30"/>
  <c r="B31" i="30"/>
  <c r="B27" i="30"/>
  <c r="B28" i="30"/>
  <c r="M11" i="30"/>
  <c r="M13" i="30"/>
  <c r="M12" i="30"/>
  <c r="M5" i="30"/>
  <c r="M4" i="30"/>
  <c r="M7" i="30"/>
  <c r="M16" i="30"/>
  <c r="M17" i="30"/>
  <c r="M10" i="30"/>
  <c r="M14" i="30"/>
  <c r="M15" i="30"/>
  <c r="M6" i="30"/>
  <c r="M3" i="30"/>
  <c r="M8" i="30"/>
  <c r="M9" i="30"/>
  <c r="F13" i="16" l="1"/>
  <c r="F4" i="16"/>
  <c r="F11" i="16"/>
  <c r="F9" i="16"/>
  <c r="F5" i="16"/>
  <c r="F3" i="16"/>
  <c r="F10" i="16"/>
  <c r="F16" i="16"/>
  <c r="F8" i="16"/>
  <c r="F12" i="16"/>
  <c r="F15" i="16"/>
  <c r="F7" i="16"/>
  <c r="F14" i="16"/>
  <c r="F6" i="16"/>
  <c r="F2" i="16"/>
  <c r="B4" i="30" s="1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G4" i="30" s="1"/>
  <c r="M17" i="16"/>
  <c r="K17" i="16"/>
  <c r="I17" i="16"/>
  <c r="G17" i="16"/>
  <c r="K3" i="1" l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C3" i="30" l="1"/>
  <c r="G3" i="30" l="1"/>
  <c r="D3" i="30"/>
  <c r="H3" i="30" l="1"/>
  <c r="I3" i="30" s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<sst xmlns="http://schemas.openxmlformats.org/spreadsheetml/2006/main" count="393" uniqueCount="166">
  <si>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</si>
  <si>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</si>
  <si>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</si>
  <si>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</si>
  <si>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</si>
  <si>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</si>
  <si>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</si>
  <si>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</si>
  <si>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</si>
  <si>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</si>
  <si>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</si>
  <si>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</si>
  <si>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</si>
  <si>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</si>
  <si>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</si>
  <si>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</si>
  <si>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</si>
  <si>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</si>
  <si>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</si>
  <si>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</si>
  <si>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</si>
  <si>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</si>
  <si>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</si>
  <si>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</si>
  <si>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</si>
  <si>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</si>
  <si>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</si>
  <si>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</si>
  <si>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</si>
  <si>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</si>
  <si>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</si>
  <si>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</si>
  <si>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</si>
  <si>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</si>
  <si>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</si>
  <si>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</si>
  <si>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</si>
  <si>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</si>
  <si>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</si>
  <si>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</si>
  <si>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</si>
  <si>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</si>
  <si>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</si>
  <si>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</si>
  <si>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</si>
  <si>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</si>
  <si>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</si>
  <si>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</si>
  <si>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</si>
  <si>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</si>
  <si>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</si>
  <si>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</si>
  <si>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</si>
  <si>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</si>
  <si>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</si>
  <si>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</si>
  <si>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</si>
  <si>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</si>
  <si>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</si>
  <si>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</si>
  <si>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</si>
  <si>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</si>
  <si>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</si>
  <si>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</si>
  <si>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</si>
  <si>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</si>
  <si>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</si>
  <si>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</si>
  <si>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</si>
  <si>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</si>
  <si>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</si>
  <si>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</si>
  <si>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</si>
  <si>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</si>
  <si>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</si>
  <si>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</si>
  <si>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</si>
  <si>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</si>
  <si>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</si>
  <si>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</si>
  <si>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</si>
  <si>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</si>
  <si>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</si>
  <si>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</si>
  <si>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</si>
  <si>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</si>
  <si>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</si>
  <si>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</si>
  <si>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</si>
  <si>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</si>
  <si>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</si>
  <si>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</si>
  <si>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</si>
  <si>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</si>
  <si>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</si>
  <si>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</si>
  <si>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</si>
  <si>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</si>
  <si>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</si>
  <si>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</si>
  <si>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</si>
  <si>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</si>
  <si>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</si>
  <si>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</si>
  <si>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</si>
  <si>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</si>
  <si>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</si>
  <si>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</si>
  <si>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</si>
  <si>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</si>
  <si>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</si>
  <si>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</si>
  <si>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</si>
  <si>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</si>
  <si>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</si>
  <si>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</si>
  <si>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</si>
  <si>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</si>
  <si>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</si>
  <si>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</si>
  <si>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</si>
  <si>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</si>
  <si>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</si>
  <si>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</si>
  <si>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</si>
  <si>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</si>
  <si>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</si>
  <si>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</si>
  <si>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</si>
  <si>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</si>
  <si>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</si>
  <si>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</si>
  <si>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</si>
  <si>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</si>
  <si>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</si>
  <si>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</si>
  <si>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</si>
  <si>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</si>
  <si>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</si>
  <si>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</si>
  <si>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</si>
  <si>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</si>
  <si>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</si>
  <si>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Dissolve</t>
  </si>
  <si>
    <t>Sleep</t>
  </si>
  <si>
    <t>Tab</t>
  </si>
  <si>
    <t>Alpha</t>
  </si>
  <si>
    <t>Gamma</t>
  </si>
  <si>
    <t>Omega</t>
  </si>
  <si>
    <t>Zeta</t>
  </si>
  <si>
    <t>Bronze Helm</t>
  </si>
  <si>
    <t>Cure Potion - 4</t>
  </si>
  <si>
    <t>Warning</t>
  </si>
  <si>
    <t>Lizard</t>
  </si>
  <si>
    <t>Asigaru</t>
  </si>
  <si>
    <t>Fire</t>
  </si>
  <si>
    <t>Cure Potion</t>
  </si>
  <si>
    <t>O-Poison</t>
  </si>
  <si>
    <t>Spider</t>
  </si>
  <si>
    <t>Gang</t>
  </si>
  <si>
    <t>Gold</t>
  </si>
  <si>
    <t>Battle</t>
  </si>
  <si>
    <t>Sheet</t>
  </si>
  <si>
    <t>Update Gold</t>
  </si>
  <si>
    <t>Spend</t>
  </si>
  <si>
    <t>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</si>
</sst>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1" fillId="0" borderId="0"/>
  </cellStyleXfs>
  <cellXfs count="112">
    <xf numFmtId="0" fontId="0" fillId="0" borderId="0" xfId="0"/>
    <xf numFmtId="0" fontId="41" fillId="0" borderId="0" xfId="1"/>
    <xf numFmtId="0" fontId="41" fillId="2" borderId="0" xfId="1" applyFill="1"/>
    <xf numFmtId="0" fontId="41" fillId="0" borderId="1" xfId="1" applyBorder="1"/>
    <xf numFmtId="0" fontId="41" fillId="0" borderId="0" xfId="1" applyBorder="1"/>
    <xf numFmtId="0" fontId="41" fillId="2" borderId="5" xfId="1" applyFill="1" applyBorder="1"/>
    <xf numFmtId="0" fontId="41" fillId="0" borderId="0" xfId="1" applyAlignment="1">
      <alignment horizontal="center"/>
    </xf>
    <xf numFmtId="0" fontId="37" fillId="0" borderId="0" xfId="1" applyFont="1" applyAlignment="1">
      <alignment horizontal="center"/>
    </xf>
    <xf numFmtId="0" fontId="35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9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31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33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38" fillId="0" borderId="0" xfId="1" applyFont="1" applyAlignment="1">
      <alignment horizontal="center"/>
    </xf>
    <xf numFmtId="0" fontId="32" fillId="0" borderId="0" xfId="1" applyFont="1" applyAlignment="1">
      <alignment horizontal="center"/>
    </xf>
    <xf numFmtId="0" fontId="39" fillId="0" borderId="0" xfId="1" applyFont="1" applyAlignment="1">
      <alignment horizontal="center"/>
    </xf>
    <xf numFmtId="0" fontId="36" fillId="0" borderId="0" xfId="1" applyFont="1" applyAlignment="1">
      <alignment horizontal="center"/>
    </xf>
    <xf numFmtId="0" fontId="25" fillId="0" borderId="0" xfId="1" applyFont="1"/>
    <xf numFmtId="0" fontId="23" fillId="0" borderId="0" xfId="1" applyFont="1" applyAlignment="1">
      <alignment horizontal="center"/>
    </xf>
    <xf numFmtId="0" fontId="20" fillId="0" borderId="0" xfId="1" applyFont="1"/>
    <xf numFmtId="0" fontId="21" fillId="0" borderId="0" xfId="1" applyFont="1" applyAlignment="1">
      <alignment horizontal="center"/>
    </xf>
    <xf numFmtId="0" fontId="0" fillId="3" borderId="0" xfId="0" applyFill="1"/>
    <xf numFmtId="0" fontId="19" fillId="0" borderId="0" xfId="1" applyFont="1"/>
    <xf numFmtId="0" fontId="41" fillId="0" borderId="0" xfId="1" applyAlignment="1">
      <alignment horizontal="center" textRotation="90"/>
    </xf>
    <xf numFmtId="0" fontId="41" fillId="0" borderId="2" xfId="1" applyBorder="1" applyAlignment="1">
      <alignment horizontal="center" textRotation="90" wrapText="1"/>
    </xf>
    <xf numFmtId="0" fontId="24" fillId="0" borderId="2" xfId="1" applyFont="1" applyBorder="1" applyAlignment="1">
      <alignment horizontal="center" textRotation="90" wrapText="1"/>
    </xf>
    <xf numFmtId="0" fontId="41" fillId="2" borderId="2" xfId="1" applyFill="1" applyBorder="1" applyAlignment="1">
      <alignment horizontal="center" textRotation="90" wrapText="1"/>
    </xf>
    <xf numFmtId="0" fontId="29" fillId="0" borderId="3" xfId="1" applyFont="1" applyBorder="1" applyAlignment="1">
      <alignment horizontal="center" textRotation="90" wrapText="1"/>
    </xf>
    <xf numFmtId="0" fontId="41" fillId="2" borderId="4" xfId="1" applyFill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5" fillId="0" borderId="2" xfId="1" applyFont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22" fillId="0" borderId="0" xfId="1" applyFont="1" applyAlignment="1">
      <alignment horizontal="center" textRotation="90" wrapText="1"/>
    </xf>
    <xf numFmtId="0" fontId="41" fillId="0" borderId="0" xfId="1" applyAlignment="1">
      <alignment horizontal="center" textRotation="90" wrapText="1"/>
    </xf>
    <xf numFmtId="0" fontId="41" fillId="5" borderId="3" xfId="1" applyFill="1" applyBorder="1" applyAlignment="1">
      <alignment horizontal="center" textRotation="90" wrapText="1"/>
    </xf>
    <xf numFmtId="0" fontId="41" fillId="5" borderId="1" xfId="1" applyFill="1" applyBorder="1"/>
    <xf numFmtId="0" fontId="21" fillId="5" borderId="1" xfId="1" applyFont="1" applyFill="1" applyBorder="1"/>
    <xf numFmtId="0" fontId="19" fillId="5" borderId="1" xfId="1" applyFont="1" applyFill="1" applyBorder="1"/>
    <xf numFmtId="0" fontId="29" fillId="5" borderId="3" xfId="1" applyFont="1" applyFill="1" applyBorder="1" applyAlignment="1">
      <alignment horizontal="center" textRotation="90" wrapText="1"/>
    </xf>
    <xf numFmtId="0" fontId="29" fillId="5" borderId="1" xfId="1" applyFont="1" applyFill="1" applyBorder="1"/>
    <xf numFmtId="0" fontId="24" fillId="0" borderId="4" xfId="1" applyFont="1" applyBorder="1" applyAlignment="1">
      <alignment horizontal="center" textRotation="90" wrapText="1"/>
    </xf>
    <xf numFmtId="0" fontId="41" fillId="0" borderId="5" xfId="1" applyBorder="1" applyAlignment="1">
      <alignment horizontal="center"/>
    </xf>
    <xf numFmtId="0" fontId="18" fillId="0" borderId="0" xfId="1" applyFont="1"/>
    <xf numFmtId="0" fontId="18" fillId="0" borderId="0" xfId="1" applyFont="1" applyFill="1"/>
    <xf numFmtId="0" fontId="18" fillId="5" borderId="3" xfId="1" applyFont="1" applyFill="1" applyBorder="1" applyAlignment="1">
      <alignment horizontal="center" textRotation="90" wrapText="1"/>
    </xf>
    <xf numFmtId="0" fontId="18" fillId="0" borderId="2" xfId="1" applyFont="1" applyBorder="1" applyAlignment="1">
      <alignment horizontal="center" textRotation="90" wrapText="1"/>
    </xf>
    <xf numFmtId="0" fontId="18" fillId="5" borderId="1" xfId="1" applyFont="1" applyFill="1" applyBorder="1"/>
    <xf numFmtId="0" fontId="17" fillId="5" borderId="1" xfId="1" applyFont="1" applyFill="1" applyBorder="1"/>
    <xf numFmtId="0" fontId="16" fillId="5" borderId="1" xfId="1" applyFont="1" applyFill="1" applyBorder="1"/>
    <xf numFmtId="0" fontId="16" fillId="0" borderId="0" xfId="1" applyFont="1"/>
    <xf numFmtId="0" fontId="15" fillId="0" borderId="0" xfId="1" applyFont="1" applyFill="1"/>
    <xf numFmtId="0" fontId="15" fillId="0" borderId="0" xfId="1" applyFont="1"/>
    <xf numFmtId="0" fontId="15" fillId="5" borderId="1" xfId="1" applyFont="1" applyFill="1" applyBorder="1"/>
    <xf numFmtId="0" fontId="14" fillId="0" borderId="0" xfId="1" applyFont="1" applyFill="1"/>
    <xf numFmtId="0" fontId="14" fillId="0" borderId="0" xfId="1" applyFont="1"/>
    <xf numFmtId="0" fontId="14" fillId="5" borderId="1" xfId="1" applyFont="1" applyFill="1" applyBorder="1"/>
    <xf numFmtId="0" fontId="13" fillId="5" borderId="1" xfId="1" applyFont="1" applyFill="1" applyBorder="1"/>
    <xf numFmtId="0" fontId="13" fillId="0" borderId="0" xfId="1" applyFont="1" applyFill="1"/>
    <xf numFmtId="0" fontId="44" fillId="2" borderId="5" xfId="1" applyFont="1" applyFill="1" applyBorder="1"/>
    <xf numFmtId="0" fontId="12" fillId="0" borderId="0" xfId="1" applyFont="1" applyFill="1"/>
    <xf numFmtId="0" fontId="0" fillId="0" borderId="11" xfId="0" applyBorder="1"/>
    <xf numFmtId="0" fontId="0" fillId="0" borderId="9" xfId="0" applyBorder="1"/>
    <xf numFmtId="0" fontId="15" fillId="0" borderId="9" xfId="1" applyFont="1" applyFill="1" applyBorder="1"/>
    <xf numFmtId="0" fontId="14" fillId="0" borderId="9" xfId="1" applyFont="1" applyFill="1" applyBorder="1"/>
    <xf numFmtId="0" fontId="12" fillId="0" borderId="9" xfId="1" applyFont="1" applyFill="1" applyBorder="1"/>
    <xf numFmtId="0" fontId="46" fillId="0" borderId="9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6" fillId="3" borderId="6" xfId="0" applyFont="1" applyFill="1" applyBorder="1"/>
    <xf numFmtId="0" fontId="46" fillId="0" borderId="7" xfId="0" applyFont="1" applyBorder="1"/>
    <xf numFmtId="0" fontId="46" fillId="3" borderId="7" xfId="0" applyFont="1" applyFill="1" applyBorder="1"/>
    <xf numFmtId="0" fontId="46" fillId="4" borderId="8" xfId="0" applyFont="1" applyFill="1" applyBorder="1"/>
    <xf numFmtId="0" fontId="11" fillId="0" borderId="0" xfId="1" applyFont="1" applyFill="1"/>
    <xf numFmtId="0" fontId="43" fillId="0" borderId="0" xfId="1" applyFont="1" applyBorder="1"/>
    <xf numFmtId="0" fontId="10" fillId="0" borderId="0" xfId="1" applyFont="1"/>
    <xf numFmtId="0" fontId="41" fillId="6" borderId="0" xfId="1" applyFill="1"/>
    <xf numFmtId="0" fontId="0" fillId="0" borderId="0" xfId="0" applyBorder="1"/>
    <xf numFmtId="0" fontId="0" fillId="0" borderId="12" xfId="0" applyBorder="1"/>
    <xf numFmtId="0" fontId="9" fillId="0" borderId="0" xfId="1" applyFont="1"/>
    <xf numFmtId="0" fontId="9" fillId="5" borderId="1" xfId="1" applyFont="1" applyFill="1" applyBorder="1"/>
    <xf numFmtId="0" fontId="9" fillId="0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7" borderId="0" xfId="1" applyFont="1" applyFill="1"/>
    <xf numFmtId="0" fontId="14" fillId="7" borderId="0" xfId="1" applyFont="1" applyFill="1"/>
    <xf numFmtId="0" fontId="14" fillId="8" borderId="0" xfId="1" applyFont="1" applyFill="1"/>
    <xf numFmtId="0" fontId="13" fillId="8" borderId="0" xfId="1" applyFont="1" applyFill="1"/>
    <xf numFmtId="0" fontId="11" fillId="8" borderId="0" xfId="1" applyFont="1" applyFill="1"/>
    <xf numFmtId="0" fontId="8" fillId="5" borderId="1" xfId="1" applyFont="1" applyFill="1" applyBorder="1"/>
    <xf numFmtId="0" fontId="7" fillId="5" borderId="1" xfId="1" applyFont="1" applyFill="1" applyBorder="1"/>
    <xf numFmtId="0" fontId="43" fillId="0" borderId="1" xfId="1" applyFont="1" applyBorder="1"/>
    <xf numFmtId="0" fontId="6" fillId="5" borderId="1" xfId="1" applyFont="1" applyFill="1" applyBorder="1"/>
    <xf numFmtId="0" fontId="6" fillId="0" borderId="0" xfId="1" applyFont="1"/>
    <xf numFmtId="0" fontId="5" fillId="5" borderId="1" xfId="1" applyFont="1" applyFill="1" applyBorder="1"/>
    <xf numFmtId="0" fontId="13" fillId="0" borderId="17" xfId="1" applyFont="1" applyBorder="1"/>
    <xf numFmtId="0" fontId="4" fillId="5" borderId="1" xfId="1" applyFont="1" applyFill="1" applyBorder="1"/>
    <xf numFmtId="0" fontId="3" fillId="0" borderId="0" xfId="1" applyFont="1"/>
    <xf numFmtId="0" fontId="2" fillId="5" borderId="1" xfId="1" applyFont="1" applyFill="1" applyBorder="1"/>
    <xf numFmtId="0" fontId="45" fillId="0" borderId="6" xfId="0" applyFont="1" applyBorder="1" applyAlignment="1">
      <alignment horizontal="center"/>
    </xf>
    <xf numFmtId="0" fontId="45" fillId="0" borderId="7" xfId="0" applyFont="1" applyBorder="1" applyAlignment="1">
      <alignment horizontal="center"/>
    </xf>
    <xf numFmtId="0" fontId="45" fillId="0" borderId="8" xfId="0" applyFont="1" applyBorder="1" applyAlignment="1">
      <alignment horizontal="center"/>
    </xf>
    <xf numFmtId="0" fontId="45" fillId="0" borderId="14" xfId="0" applyFont="1" applyBorder="1" applyAlignment="1">
      <alignment horizontal="center"/>
    </xf>
    <xf numFmtId="0" fontId="45" fillId="0" borderId="15" xfId="0" applyFont="1" applyBorder="1" applyAlignment="1">
      <alignment horizontal="center"/>
    </xf>
    <xf numFmtId="0" fontId="45" fillId="0" borderId="16" xfId="0" applyFont="1" applyBorder="1" applyAlignment="1">
      <alignment horizontal="center"/>
    </xf>
    <xf numFmtId="0" fontId="1" fillId="5" borderId="1" xfId="1" applyFont="1" applyFill="1" applyBorder="1"/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66675</xdr:rowOff>
        </xdr:from>
        <xdr:to>
          <xdr:col>3</xdr:col>
          <xdr:colOff>295275</xdr:colOff>
          <xdr:row>22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R55"/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U57"/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Crash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Tail</v>
          </cell>
          <cell r="R103" t="str">
            <v>3-Horns</v>
          </cell>
          <cell r="S103" t="str">
            <v>Crash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Crash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V201"/>
          <cell r="W201"/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W202"/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U203"/>
          <cell r="V203"/>
          <cell r="W203"/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R204"/>
          <cell r="S204"/>
          <cell r="T204"/>
          <cell r="U204"/>
          <cell r="V204"/>
          <cell r="W204"/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V206"/>
          <cell r="W206"/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W207"/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U208"/>
          <cell r="V208"/>
          <cell r="W208"/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R209"/>
          <cell r="S209"/>
          <cell r="T209"/>
          <cell r="U209"/>
          <cell r="V209"/>
          <cell r="W209"/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T210"/>
          <cell r="U210"/>
          <cell r="V210"/>
          <cell r="W210"/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V211"/>
          <cell r="W211"/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W212"/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V216"/>
          <cell r="W216"/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W217"/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R218"/>
          <cell r="S218"/>
          <cell r="T218"/>
          <cell r="U218"/>
          <cell r="V218"/>
          <cell r="W218"/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T219"/>
          <cell r="U219"/>
          <cell r="V219"/>
          <cell r="W219"/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V220"/>
          <cell r="W220"/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W221"/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T222"/>
          <cell r="U222"/>
          <cell r="V222"/>
          <cell r="W222"/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R227"/>
          <cell r="S227"/>
          <cell r="T227"/>
          <cell r="U227"/>
          <cell r="V227"/>
          <cell r="W227"/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S228"/>
          <cell r="T228"/>
          <cell r="U228"/>
          <cell r="V228"/>
          <cell r="W228"/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V229"/>
          <cell r="W229"/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W230"/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R231"/>
          <cell r="S231"/>
          <cell r="T231"/>
          <cell r="U231"/>
          <cell r="V231"/>
          <cell r="W231"/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U233"/>
          <cell r="V233"/>
          <cell r="W233"/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W234"/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S235"/>
          <cell r="T235"/>
          <cell r="U235"/>
          <cell r="V235"/>
          <cell r="W235"/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W236"/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U237"/>
          <cell r="V237"/>
          <cell r="W237"/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R238"/>
          <cell r="S238"/>
          <cell r="T238"/>
          <cell r="U238"/>
          <cell r="V238"/>
          <cell r="W238"/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U239"/>
          <cell r="V239"/>
          <cell r="W239"/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T241"/>
          <cell r="U241"/>
          <cell r="V241"/>
          <cell r="W241"/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V242"/>
          <cell r="W242"/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V243"/>
          <cell r="W243"/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V245"/>
          <cell r="W245"/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W247"/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U248"/>
          <cell r="V248"/>
          <cell r="W248"/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R249"/>
          <cell r="S249"/>
          <cell r="T249"/>
          <cell r="U249"/>
          <cell r="V249"/>
          <cell r="W249"/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R250"/>
          <cell r="S250"/>
          <cell r="T250"/>
          <cell r="U250"/>
          <cell r="V250"/>
          <cell r="W250"/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S251"/>
          <cell r="T251"/>
          <cell r="U251"/>
          <cell r="V251"/>
          <cell r="W251"/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S252"/>
          <cell r="T252"/>
          <cell r="U252"/>
          <cell r="V252"/>
          <cell r="W252"/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R253"/>
          <cell r="S253"/>
          <cell r="T253"/>
          <cell r="U253"/>
          <cell r="V253"/>
          <cell r="W253"/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S254"/>
          <cell r="T254"/>
          <cell r="U254"/>
          <cell r="V254"/>
          <cell r="W254"/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S255"/>
          <cell r="T255"/>
          <cell r="U255"/>
          <cell r="V255"/>
          <cell r="W255"/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S256"/>
          <cell r="T256"/>
          <cell r="U256"/>
          <cell r="V256"/>
          <cell r="W256"/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D168"/>
          <cell r="E168">
            <v>167</v>
          </cell>
          <cell r="F168" t="str">
            <v>A7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D169"/>
          <cell r="E169">
            <v>168</v>
          </cell>
          <cell r="F169" t="str">
            <v>A8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D171"/>
          <cell r="E171">
            <v>170</v>
          </cell>
          <cell r="F171" t="str">
            <v>AA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D172"/>
          <cell r="E172">
            <v>171</v>
          </cell>
          <cell r="F172" t="str">
            <v>AB</v>
          </cell>
          <cell r="G172">
            <v>20</v>
          </cell>
          <cell r="H172"/>
          <cell r="I172"/>
          <cell r="J172"/>
          <cell r="K172"/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D173"/>
          <cell r="E173">
            <v>172</v>
          </cell>
          <cell r="F173" t="str">
            <v>AC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D174"/>
          <cell r="E174">
            <v>173</v>
          </cell>
          <cell r="F174" t="str">
            <v>AD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D175"/>
          <cell r="E175">
            <v>174</v>
          </cell>
          <cell r="F175" t="str">
            <v>AE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D176"/>
          <cell r="E176">
            <v>175</v>
          </cell>
          <cell r="F176" t="str">
            <v>AF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D177"/>
          <cell r="E177"/>
          <cell r="F177"/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E262"/>
          <cell r="F262"/>
          <cell r="G262">
            <v>30</v>
          </cell>
          <cell r="H262">
            <v>400</v>
          </cell>
          <cell r="I262"/>
          <cell r="J262"/>
          <cell r="K262"/>
          <cell r="L262">
            <v>0</v>
          </cell>
          <cell r="M262"/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D263"/>
          <cell r="E263"/>
          <cell r="F263"/>
          <cell r="G263">
            <v>15</v>
          </cell>
          <cell r="H263"/>
          <cell r="I263"/>
          <cell r="J263"/>
          <cell r="K263"/>
          <cell r="L263">
            <v>0</v>
          </cell>
          <cell r="M263"/>
        </row>
        <row r="264">
          <cell r="A264" t="str">
            <v>Windstorm</v>
          </cell>
          <cell r="B264" t="str">
            <v>Windstorm</v>
          </cell>
          <cell r="C264"/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/>
          <cell r="M264"/>
        </row>
        <row r="265">
          <cell r="A265" t="str">
            <v>Sandblast</v>
          </cell>
          <cell r="B265" t="str">
            <v>Sandblast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</row>
        <row r="268">
          <cell r="A268" t="str">
            <v>AreaCure</v>
          </cell>
          <cell r="B268" t="str">
            <v>AreaCure</v>
          </cell>
          <cell r="C268"/>
          <cell r="D268"/>
          <cell r="E268"/>
          <cell r="F268"/>
          <cell r="G268">
            <v>10</v>
          </cell>
          <cell r="H268"/>
          <cell r="I268"/>
          <cell r="J268"/>
          <cell r="K268"/>
          <cell r="L268"/>
          <cell r="M268"/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E269"/>
          <cell r="F269"/>
          <cell r="G269">
            <v>30</v>
          </cell>
          <cell r="H269"/>
          <cell r="I269"/>
          <cell r="J269"/>
          <cell r="K269"/>
          <cell r="L269">
            <v>81</v>
          </cell>
          <cell r="M269"/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D270"/>
          <cell r="E270">
            <v>129</v>
          </cell>
          <cell r="F270">
            <v>81</v>
          </cell>
          <cell r="G270">
            <v>15</v>
          </cell>
          <cell r="H270"/>
          <cell r="I270"/>
          <cell r="J270"/>
          <cell r="K270"/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Crush</v>
          </cell>
          <cell r="D271"/>
          <cell r="E271"/>
          <cell r="F271"/>
          <cell r="G271">
            <v>5</v>
          </cell>
          <cell r="H271"/>
          <cell r="I271"/>
          <cell r="J271"/>
          <cell r="K271"/>
          <cell r="L271"/>
          <cell r="M271"/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D272"/>
          <cell r="E272"/>
          <cell r="F272"/>
          <cell r="G272">
            <v>99</v>
          </cell>
          <cell r="H272"/>
          <cell r="I272"/>
          <cell r="J272"/>
          <cell r="K272"/>
          <cell r="L272"/>
          <cell r="M272"/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E273"/>
          <cell r="F273"/>
          <cell r="G273">
            <v>-2</v>
          </cell>
          <cell r="H273"/>
          <cell r="I273">
            <v>2</v>
          </cell>
          <cell r="J273" t="str">
            <v>Agl</v>
          </cell>
          <cell r="K273">
            <v>1</v>
          </cell>
          <cell r="L273"/>
          <cell r="M273"/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2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11" sqref="S11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39" bestFit="1" customWidth="1"/>
    <col min="17" max="18" width="3.7109375" style="6" bestFit="1" customWidth="1"/>
    <col min="19" max="19" width="14.85546875" style="39" bestFit="1" customWidth="1"/>
    <col min="20" max="21" width="3.7109375" style="6" bestFit="1" customWidth="1"/>
    <col min="22" max="22" width="13.7109375" style="39" bestFit="1" customWidth="1"/>
    <col min="23" max="24" width="3.7109375" style="6" bestFit="1" customWidth="1"/>
    <col min="25" max="25" width="14.140625" style="39" bestFit="1" customWidth="1"/>
    <col min="26" max="27" width="3.7109375" style="6" bestFit="1" customWidth="1"/>
    <col min="28" max="28" width="13.42578125" style="39" bestFit="1" customWidth="1"/>
    <col min="29" max="30" width="3.7109375" style="6" bestFit="1" customWidth="1"/>
    <col min="31" max="31" width="13.28515625" style="39" bestFit="1" customWidth="1"/>
    <col min="32" max="33" width="3.7109375" style="6" bestFit="1" customWidth="1"/>
    <col min="34" max="34" width="13.28515625" style="39" bestFit="1" customWidth="1"/>
    <col min="35" max="36" width="3.7109375" style="6" bestFit="1" customWidth="1"/>
    <col min="37" max="37" width="11.28515625" style="39" bestFit="1" customWidth="1"/>
    <col min="38" max="39" width="3.7109375" style="6" bestFit="1" customWidth="1"/>
    <col min="40" max="40" width="9.140625" style="39" bestFit="1" customWidth="1"/>
    <col min="41" max="41" width="3.7109375" style="6" bestFit="1" customWidth="1"/>
    <col min="42" max="42" width="3.7109375" style="45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37" customFormat="1" ht="75.75" customHeight="1" x14ac:dyDescent="0.2">
      <c r="A1" s="26" t="s">
        <v>18</v>
      </c>
      <c r="B1" s="27" t="s">
        <v>40</v>
      </c>
      <c r="C1" s="28" t="s">
        <v>71</v>
      </c>
      <c r="D1" s="27" t="s">
        <v>39</v>
      </c>
      <c r="E1" s="27" t="s">
        <v>38</v>
      </c>
      <c r="F1" s="28" t="s">
        <v>69</v>
      </c>
      <c r="G1" s="29" t="s">
        <v>37</v>
      </c>
      <c r="H1" s="30" t="s">
        <v>44</v>
      </c>
      <c r="I1" s="31" t="s">
        <v>36</v>
      </c>
      <c r="J1" s="32" t="s">
        <v>45</v>
      </c>
      <c r="K1" s="29" t="s">
        <v>35</v>
      </c>
      <c r="L1" s="30" t="s">
        <v>46</v>
      </c>
      <c r="M1" s="31" t="s">
        <v>34</v>
      </c>
      <c r="N1" s="32" t="s">
        <v>47</v>
      </c>
      <c r="O1" s="29" t="s">
        <v>33</v>
      </c>
      <c r="P1" s="38" t="s">
        <v>32</v>
      </c>
      <c r="Q1" s="33" t="s">
        <v>50</v>
      </c>
      <c r="R1" s="34" t="s">
        <v>61</v>
      </c>
      <c r="S1" s="38" t="s">
        <v>31</v>
      </c>
      <c r="T1" s="33" t="s">
        <v>52</v>
      </c>
      <c r="U1" s="34" t="s">
        <v>62</v>
      </c>
      <c r="V1" s="38" t="s">
        <v>30</v>
      </c>
      <c r="W1" s="33" t="s">
        <v>53</v>
      </c>
      <c r="X1" s="34" t="s">
        <v>63</v>
      </c>
      <c r="Y1" s="38" t="s">
        <v>29</v>
      </c>
      <c r="Z1" s="33" t="s">
        <v>54</v>
      </c>
      <c r="AA1" s="34" t="s">
        <v>64</v>
      </c>
      <c r="AB1" s="48" t="s">
        <v>28</v>
      </c>
      <c r="AC1" s="49" t="s">
        <v>55</v>
      </c>
      <c r="AD1" s="34" t="s">
        <v>65</v>
      </c>
      <c r="AE1" s="38" t="s">
        <v>27</v>
      </c>
      <c r="AF1" s="33" t="s">
        <v>56</v>
      </c>
      <c r="AG1" s="34" t="s">
        <v>66</v>
      </c>
      <c r="AH1" s="38" t="s">
        <v>26</v>
      </c>
      <c r="AI1" s="33" t="s">
        <v>57</v>
      </c>
      <c r="AJ1" s="34" t="s">
        <v>67</v>
      </c>
      <c r="AK1" s="38" t="s">
        <v>25</v>
      </c>
      <c r="AL1" s="33" t="s">
        <v>58</v>
      </c>
      <c r="AM1" s="34" t="s">
        <v>68</v>
      </c>
      <c r="AN1" s="42" t="s">
        <v>48</v>
      </c>
      <c r="AO1" s="33" t="s">
        <v>51</v>
      </c>
      <c r="AP1" s="44" t="s">
        <v>70</v>
      </c>
      <c r="AQ1" s="32" t="s">
        <v>49</v>
      </c>
      <c r="AR1" s="35" t="s">
        <v>43</v>
      </c>
      <c r="AS1" s="36" t="s">
        <v>72</v>
      </c>
      <c r="AT1" s="36" t="s">
        <v>73</v>
      </c>
    </row>
    <row r="2" spans="1:46" x14ac:dyDescent="0.25">
      <c r="A2" s="83" t="str">
        <f t="shared" ref="A2:A12" si="0">B2</f>
        <v>Rando</v>
      </c>
      <c r="B2" s="80" t="s">
        <v>93</v>
      </c>
      <c r="C2" s="21"/>
      <c r="D2" s="55" t="s">
        <v>75</v>
      </c>
      <c r="E2" s="103" t="s">
        <v>153</v>
      </c>
      <c r="F2" s="1">
        <f ca="1">VLOOKUP(B2,Toolkit!K$3:M$25,3,FALSE)</f>
        <v>34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50" t="str">
        <f>IF(ISBLANK(VLOOKUP($E2,[1]Monster!$A$2:$X$256,16,FALSE)),"",VLOOKUP($E2,[1]Monster!$A$2:$X$256,16,FALSE))</f>
        <v>Tusk</v>
      </c>
      <c r="Q2" s="6">
        <v>14</v>
      </c>
      <c r="R2" s="6">
        <f>_xlfn.IFNA(IF($E2="Robot",VLOOKUP(P2,[1]Weapon!$B$1:$G$350,6,FALSE)/2,VLOOKUP(P2,[1]Weapon!$B$1:$G$350,6,FALSE)),0)</f>
        <v>15</v>
      </c>
      <c r="S2" s="50" t="str">
        <f>IF(ISBLANK(VLOOKUP($E2,[1]Monster!$A$2:$X$256,17,FALSE)),"",VLOOKUP($E2,[1]Monster!$A$2:$X$256,17,FALSE))</f>
        <v>Spit</v>
      </c>
      <c r="T2" s="13">
        <v>15</v>
      </c>
      <c r="U2" s="6">
        <f>_xlfn.IFNA(IF($E2="Robot",VLOOKUP(S2,[1]Weapon!$B$1:$G$350,6,FALSE)/2,VLOOKUP(S2,[1]Weapon!$B$1:$G$350,6,FALSE)),0)</f>
        <v>15</v>
      </c>
      <c r="V2" s="50" t="str">
        <f>IF(ISBLANK(VLOOKUP($E2,[1]Monster!$A$2:$X$256,18,FALSE)),"",VLOOKUP($E2,[1]Monster!$A$2:$X$256,18,FALSE))</f>
        <v>X-Ice</v>
      </c>
      <c r="W2" s="18">
        <v>-1</v>
      </c>
      <c r="X2" s="6">
        <f>_xlfn.IFNA(IF($E2="Robot",VLOOKUP(V2,[1]Weapon!$B$1:$G$350,6,FALSE)/2,VLOOKUP(V2,[1]Weapon!$B$1:$G$350,6,FALSE)),0)</f>
        <v>-2</v>
      </c>
      <c r="Y2" s="51"/>
      <c r="Z2" s="18"/>
      <c r="AA2" s="6">
        <f>_xlfn.IFNA(IF($E2="Robot",VLOOKUP(Y2,[1]Weapon!$B$1:$G$350,6,FALSE)/2,VLOOKUP(Y2,[1]Weapon!$B$1:$G$350,6,FALSE)),0)</f>
        <v>0</v>
      </c>
      <c r="AB2" s="50" t="str">
        <f>IF(ISBLANK(VLOOKUP($E2,[1]Monster!$A$2:$X$256,20,FALSE)),"",VLOOKUP($E2,[1]Monster!$A$2:$X$256,20,FALSE))</f>
        <v/>
      </c>
      <c r="AC2" s="19"/>
      <c r="AD2" s="6">
        <f>_xlfn.IFNA(IF($E2="Robot",VLOOKUP(AB2,[1]Weapon!$B$1:$G$350,6,FALSE)/2,VLOOKUP(AB2,[1]Weapon!$B$1:$G$350,6,FALSE)),0)</f>
        <v>0</v>
      </c>
      <c r="AE2" s="50" t="str">
        <f>IF(ISBLANK(VLOOKUP($E2,[1]Monster!$A$2:$X$256,21,FALSE)),"",VLOOKUP($E2,[1]Monster!$A$2:$X$256,21,FALSE))</f>
        <v/>
      </c>
      <c r="AF2" s="12"/>
      <c r="AG2" s="6">
        <f>_xlfn.IFNA(IF($E2="Robot",VLOOKUP(AE2,[1]Weapon!$B$1:$G$350,6,FALSE)/2,VLOOKUP(AE2,[1]Weapon!$B$1:$G$350,6,FALSE)),0)</f>
        <v>0</v>
      </c>
      <c r="AH2" s="50" t="str">
        <f>IF(ISBLANK(VLOOKUP($E2,[1]Monster!$A$2:$X$256,22,FALSE)),"",VLOOKUP($E2,[1]Monster!$A$2:$X$256,22,FALSE))</f>
        <v/>
      </c>
      <c r="AJ2" s="6">
        <f>_xlfn.IFNA(IF($E2="Robot",VLOOKUP(AH2,[1]Weapon!$B$1:$G$350,6,FALSE)/2,VLOOKUP(AH2,[1]Weapon!$B$1:$G$350,6,FALSE)),0)</f>
        <v>0</v>
      </c>
      <c r="AK2" s="50" t="str">
        <f>IF(ISBLANK(VLOOKUP($E2,[1]Monster!$A$2:$X$256,23,FALSE)),"",VLOOKUP($E2,[1]Monster!$A$2:$X$256,23,FALSE))</f>
        <v/>
      </c>
      <c r="AM2" s="6">
        <f>_xlfn.IFNA(IF($E2="Robot",VLOOKUP(AK2,[1]Weapon!$B$1:$G$350,6,FALSE)/2,VLOOKUP(AK2,[1]Weapon!$B$1:$G$350,6,FALSE)),0)</f>
        <v>0</v>
      </c>
      <c r="AN2" s="43"/>
      <c r="AO2" s="10">
        <v>0</v>
      </c>
      <c r="AP2" s="6">
        <f>_xlfn.IFNA(IF($E2="Robot",VLOOKUP(AN2,[1]Weapon!$B$1:$G$350,6,FALSE)/2,VLOOKUP(AN2,[1]Weapon!$B$1:$G$350,6,FALSE)),0)</f>
        <v>0</v>
      </c>
      <c r="AQ2" s="101"/>
      <c r="AR2" s="86" t="s">
        <v>151</v>
      </c>
      <c r="AS2">
        <f>VLOOKUP(B2,Toolkit!$Q$3:$U$22,4,FALSE)</f>
        <v>0</v>
      </c>
    </row>
    <row r="3" spans="1:46" x14ac:dyDescent="0.25">
      <c r="A3" s="83" t="str">
        <f t="shared" si="0"/>
        <v>Grace</v>
      </c>
      <c r="B3" s="54" t="s">
        <v>94</v>
      </c>
      <c r="C3" s="21"/>
      <c r="D3" s="54" t="s">
        <v>95</v>
      </c>
      <c r="E3" s="90" t="s">
        <v>92</v>
      </c>
      <c r="F3" s="1">
        <f ca="1">VLOOKUP(B3,Toolkit!K$3:M$25,3,FALSE)</f>
        <v>52</v>
      </c>
      <c r="G3" s="2">
        <v>52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6</v>
      </c>
      <c r="O3" s="2">
        <f t="shared" ref="O3" si="2">N3</f>
        <v>6</v>
      </c>
      <c r="P3" s="56" t="s">
        <v>89</v>
      </c>
      <c r="Q3" s="6">
        <v>7</v>
      </c>
      <c r="R3" s="6">
        <f>_xlfn.IFNA(IF($E3="Robot",VLOOKUP(P3,[1]Weapon!$B$1:$G$350,6,FALSE)/2,VLOOKUP(P3,[1]Weapon!$B$1:$G$350,6,FALSE)),0)</f>
        <v>15</v>
      </c>
      <c r="S3" s="100" t="s">
        <v>144</v>
      </c>
      <c r="T3" s="6">
        <v>15</v>
      </c>
      <c r="U3" s="6">
        <f>_xlfn.IFNA(IF($E3="Robot",VLOOKUP(S3,[1]Weapon!$B$1:$G$350,6,FALSE)/2,VLOOKUP(S3,[1]Weapon!$B$1:$G$350,6,FALSE)),0)</f>
        <v>15</v>
      </c>
      <c r="V3" s="51"/>
      <c r="W3" s="18"/>
      <c r="X3" s="6">
        <f>_xlfn.IFNA(IF($E3="Robot",VLOOKUP(V3,[1]Weapon!$B$1:$G$350,6,FALSE)/2,VLOOKUP(V3,[1]Weapon!$B$1:$G$350,6,FALSE)),0)</f>
        <v>0</v>
      </c>
      <c r="Y3" s="51"/>
      <c r="AA3" s="6">
        <f>_xlfn.IFNA(IF($E3="Robot",VLOOKUP(Y3,[1]Weapon!$B$1:$G$350,6,FALSE)/2,VLOOKUP(Y3,[1]Weapon!$B$1:$G$350,6,FALSE)),0)</f>
        <v>0</v>
      </c>
      <c r="AB3" s="56" t="s">
        <v>96</v>
      </c>
      <c r="AC3" s="6">
        <v>50</v>
      </c>
      <c r="AD3" s="6">
        <f>_xlfn.IFNA(IF($E3="Robot",VLOOKUP(AB3,[1]Weapon!$B$1:$G$350,6,FALSE)/2,VLOOKUP(AB3,[1]Weapon!$B$1:$G$350,6,FALSE)),0)</f>
        <v>50</v>
      </c>
      <c r="AE3" s="56" t="s">
        <v>97</v>
      </c>
      <c r="AG3" s="6">
        <f>_xlfn.IFNA(IF($E3="Robot",VLOOKUP(AE3,[1]Weapon!$B$1:$G$350,6,FALSE)/2,VLOOKUP(AE3,[1]Weapon!$B$1:$G$350,6,FALSE)),0)</f>
        <v>-2</v>
      </c>
      <c r="AH3" s="50"/>
      <c r="AJ3" s="6">
        <f>_xlfn.IFNA(IF($E3="Robot",VLOOKUP(AH3,[1]Weapon!$B$1:$G$350,6,FALSE)/2,VLOOKUP(AH3,[1]Weapon!$B$1:$G$350,6,FALSE)),0)</f>
        <v>0</v>
      </c>
      <c r="AK3" s="41"/>
      <c r="AM3" s="6">
        <f>_xlfn.IFNA(IF($E3="Robot",VLOOKUP(AK3,[1]Weapon!$B$1:$G$350,6,FALSE)/2,VLOOKUP(AK3,[1]Weapon!$B$1:$G$350,6,FALSE)),0)</f>
        <v>0</v>
      </c>
      <c r="AN3" s="50"/>
      <c r="AO3" s="10">
        <v>0</v>
      </c>
      <c r="AP3" s="6">
        <f>_xlfn.IFNA(IF($E3="Robot",VLOOKUP(AN3,[1]Weapon!$B$1:$G$350,6,FALSE)/2,VLOOKUP(AN3,[1]Weapon!$B$1:$G$350,6,FALSE)),0)</f>
        <v>0</v>
      </c>
      <c r="AQ3" s="3"/>
      <c r="AS3">
        <f>VLOOKUP(B3,Toolkit!$Q$3:$U$22,4,FALSE)</f>
        <v>0</v>
      </c>
    </row>
    <row r="4" spans="1:46" x14ac:dyDescent="0.25">
      <c r="A4" s="83" t="str">
        <f t="shared" si="0"/>
        <v>Astrid</v>
      </c>
      <c r="B4" s="54" t="s">
        <v>98</v>
      </c>
      <c r="C4" s="21"/>
      <c r="D4" s="54" t="s">
        <v>78</v>
      </c>
      <c r="E4" s="90" t="s">
        <v>92</v>
      </c>
      <c r="F4" s="1">
        <f ca="1">VLOOKUP(B4,Toolkit!K$3:M$25,3,FALSE)</f>
        <v>45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56" t="s">
        <v>88</v>
      </c>
      <c r="Q4" s="8">
        <v>9</v>
      </c>
      <c r="R4" s="6">
        <f>_xlfn.IFNA(IF($E4="Robot",VLOOKUP(P4,[1]Weapon!$B$1:$G$350,6,FALSE)/2,VLOOKUP(P4,[1]Weapon!$B$1:$G$350,6,FALSE)),0)</f>
        <v>15</v>
      </c>
      <c r="S4" s="95" t="s">
        <v>152</v>
      </c>
      <c r="T4" s="14"/>
      <c r="U4" s="6">
        <f>_xlfn.IFNA(IF($E4="Robot",VLOOKUP(S4,[1]Weapon!$B$1:$G$350,6,FALSE)/2,VLOOKUP(S4,[1]Weapon!$B$1:$G$350,6,FALSE)),0)</f>
        <v>-2</v>
      </c>
      <c r="V4" s="102" t="s">
        <v>157</v>
      </c>
      <c r="W4" s="15"/>
      <c r="X4" s="6">
        <f>_xlfn.IFNA(IF($E4="Robot",VLOOKUP(V4,[1]Weapon!$B$1:$G$350,6,FALSE)/2,VLOOKUP(V4,[1]Weapon!$B$1:$G$350,6,FALSE)),0)</f>
        <v>-2</v>
      </c>
      <c r="Y4" s="51"/>
      <c r="Z4" s="15"/>
      <c r="AA4" s="6">
        <f>_xlfn.IFNA(IF($E4="Robot",VLOOKUP(Y4,[1]Weapon!$B$1:$G$350,6,FALSE)/2,VLOOKUP(Y4,[1]Weapon!$B$1:$G$350,6,FALSE)),0)</f>
        <v>0</v>
      </c>
      <c r="AB4" s="56" t="s">
        <v>96</v>
      </c>
      <c r="AC4" s="6">
        <v>48</v>
      </c>
      <c r="AD4" s="6">
        <f>_xlfn.IFNA(IF($E4="Robot",VLOOKUP(AB4,[1]Weapon!$B$1:$G$350,6,FALSE)/2,VLOOKUP(AB4,[1]Weapon!$B$1:$G$350,6,FALSE)),0)</f>
        <v>50</v>
      </c>
      <c r="AE4" s="56" t="s">
        <v>97</v>
      </c>
      <c r="AG4" s="6">
        <f>_xlfn.IFNA(IF($E4="Robot",VLOOKUP(AE4,[1]Weapon!$B$1:$G$350,6,FALSE)/2,VLOOKUP(AE4,[1]Weapon!$B$1:$G$350,6,FALSE)),0)</f>
        <v>-2</v>
      </c>
      <c r="AH4" s="51"/>
      <c r="AJ4" s="6">
        <f>_xlfn.IFNA(IF($E4="Robot",VLOOKUP(AH4,[1]Weapon!$B$1:$G$350,6,FALSE)/2,VLOOKUP(AH4,[1]Weapon!$B$1:$G$350,6,FALSE)),0)</f>
        <v>0</v>
      </c>
      <c r="AM4" s="6">
        <f>_xlfn.IFNA(IF($E4="Robot",VLOOKUP(AK4,[1]Weapon!$B$1:$G$350,6,FALSE)/2,VLOOKUP(AK4,[1]Weapon!$B$1:$G$350,6,FALSE)),0)</f>
        <v>0</v>
      </c>
      <c r="AO4" s="6">
        <v>0</v>
      </c>
      <c r="AP4" s="6">
        <f>_xlfn.IFNA(IF($E4="Robot",VLOOKUP(AN4,[1]Weapon!$B$1:$G$350,6,FALSE)/2,VLOOKUP(AN4,[1]Weapon!$B$1:$G$350,6,FALSE)),0)</f>
        <v>0</v>
      </c>
      <c r="AQ4" s="3"/>
      <c r="AS4">
        <f>VLOOKUP(B4,Toolkit!$Q$3:$U$22,4,FALSE)</f>
        <v>0</v>
      </c>
    </row>
    <row r="5" spans="1:46" x14ac:dyDescent="0.25">
      <c r="A5" s="83" t="str">
        <f t="shared" si="0"/>
        <v>Cuthbert</v>
      </c>
      <c r="B5" s="54" t="s">
        <v>99</v>
      </c>
      <c r="C5" s="21"/>
      <c r="D5" s="54" t="s">
        <v>100</v>
      </c>
      <c r="E5" s="82" t="s">
        <v>142</v>
      </c>
      <c r="F5" s="1">
        <f ca="1">VLOOKUP(B5,Toolkit!K$3:M$25,3,FALSE)</f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50" t="str">
        <f>IF(ISBLANK(VLOOKUP($E5,[1]Monster!$A$2:$X$256,16,FALSE)),"",VLOOKUP($E5,[1]Monster!$A$2:$X$256,16,FALSE))</f>
        <v>Beak</v>
      </c>
      <c r="Q5" s="6">
        <v>23</v>
      </c>
      <c r="R5" s="6">
        <f>_xlfn.IFNA(IF($E5="Robot",VLOOKUP(P5,[1]Weapon!$B$1:$G$350,6,FALSE)/2,VLOOKUP(P5,[1]Weapon!$B$1:$G$350,6,FALSE)),0)</f>
        <v>30</v>
      </c>
      <c r="S5" s="50" t="str">
        <f>IF(ISBLANK(VLOOKUP($E5,[1]Monster!$A$2:$X$256,17,FALSE)),"",VLOOKUP($E5,[1]Monster!$A$2:$X$256,17,FALSE))</f>
        <v>O-Quake</v>
      </c>
      <c r="T5" s="13"/>
      <c r="U5" s="6">
        <f>_xlfn.IFNA(IF($E5="Robot",VLOOKUP(S5,[1]Weapon!$B$1:$G$350,6,FALSE)/2,VLOOKUP(S5,[1]Weapon!$B$1:$G$350,6,FALSE)),0)</f>
        <v>-2</v>
      </c>
      <c r="V5" s="96"/>
      <c r="W5" s="18"/>
      <c r="X5" s="6">
        <f>_xlfn.IFNA(IF($E5="Robot",VLOOKUP(V5,[1]Weapon!$B$1:$G$350,6,FALSE)/2,VLOOKUP(V5,[1]Weapon!$B$1:$G$350,6,FALSE)),0)</f>
        <v>0</v>
      </c>
      <c r="Y5" s="51"/>
      <c r="Z5" s="18"/>
      <c r="AA5" s="6">
        <f>_xlfn.IFNA(IF($E5="Robot",VLOOKUP(Y5,[1]Weapon!$B$1:$G$350,6,FALSE)/2,VLOOKUP(Y5,[1]Weapon!$B$1:$G$350,6,FALSE)),0)</f>
        <v>0</v>
      </c>
      <c r="AB5" s="50" t="str">
        <f>IF(ISBLANK(VLOOKUP($E5,[1]Monster!$A$2:$X$256,20,FALSE)),"",VLOOKUP($E5,[1]Monster!$A$2:$X$256,20,FALSE))</f>
        <v/>
      </c>
      <c r="AC5" s="19"/>
      <c r="AD5" s="6">
        <f>_xlfn.IFNA(IF($E5="Robot",VLOOKUP(AB5,[1]Weapon!$B$1:$G$350,6,FALSE)/2,VLOOKUP(AB5,[1]Weapon!$B$1:$G$350,6,FALSE)),0)</f>
        <v>0</v>
      </c>
      <c r="AE5" s="50" t="str">
        <f>IF(ISBLANK(VLOOKUP($E5,[1]Monster!$A$2:$X$256,21,FALSE)),"",VLOOKUP($E5,[1]Monster!$A$2:$X$256,21,FALSE))</f>
        <v/>
      </c>
      <c r="AF5" s="12"/>
      <c r="AG5" s="6">
        <f>_xlfn.IFNA(IF($E5="Robot",VLOOKUP(AE5,[1]Weapon!$B$1:$G$350,6,FALSE)/2,VLOOKUP(AE5,[1]Weapon!$B$1:$G$350,6,FALSE)),0)</f>
        <v>0</v>
      </c>
      <c r="AH5" s="50" t="str">
        <f>IF(ISBLANK(VLOOKUP($E5,[1]Monster!$A$2:$X$256,22,FALSE)),"",VLOOKUP($E5,[1]Monster!$A$2:$X$256,22,FALSE))</f>
        <v/>
      </c>
      <c r="AJ5" s="6">
        <f>_xlfn.IFNA(IF($E5="Robot",VLOOKUP(AH5,[1]Weapon!$B$1:$G$350,6,FALSE)/2,VLOOKUP(AH5,[1]Weapon!$B$1:$G$350,6,FALSE)),0)</f>
        <v>0</v>
      </c>
      <c r="AK5" s="50" t="str">
        <f>IF(ISBLANK(VLOOKUP($E5,[1]Monster!$A$2:$X$256,23,FALSE)),"",VLOOKUP($E5,[1]Monster!$A$2:$X$256,23,FALSE))</f>
        <v/>
      </c>
      <c r="AM5" s="6">
        <f>_xlfn.IFNA(IF($E5="Robot",VLOOKUP(AK5,[1]Weapon!$B$1:$G$350,6,FALSE)/2,VLOOKUP(AK5,[1]Weapon!$B$1:$G$350,6,FALSE)),0)</f>
        <v>0</v>
      </c>
      <c r="AO5" s="6">
        <v>0</v>
      </c>
      <c r="AP5" s="6">
        <f>_xlfn.IFNA(IF($E5="Robot",VLOOKUP(AN5,[1]Weapon!$B$1:$G$350,6,FALSE)/2,VLOOKUP(AN5,[1]Weapon!$B$1:$G$350,6,FALSE)),0)</f>
        <v>0</v>
      </c>
      <c r="AQ5" s="3"/>
      <c r="AS5">
        <f>VLOOKUP(B5,Toolkit!$Q$3:$U$22,4,FALSE)</f>
        <v>0</v>
      </c>
    </row>
    <row r="6" spans="1:46" x14ac:dyDescent="0.25">
      <c r="A6" s="83" t="str">
        <f t="shared" si="0"/>
        <v>Sandy</v>
      </c>
      <c r="B6" s="54" t="s">
        <v>76</v>
      </c>
      <c r="C6" s="21"/>
      <c r="D6" s="54" t="s">
        <v>77</v>
      </c>
      <c r="E6" s="90" t="s">
        <v>60</v>
      </c>
      <c r="F6" s="1">
        <f ca="1">VLOOKUP(B6,Toolkit!K$3:M$25,3,FALSE)</f>
        <v>52</v>
      </c>
      <c r="G6" s="2">
        <v>52</v>
      </c>
      <c r="H6" s="3">
        <v>5</v>
      </c>
      <c r="I6" s="5">
        <f t="shared" ref="I6:I11" si="5">H6</f>
        <v>5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60" t="s">
        <v>122</v>
      </c>
      <c r="Q6" s="9">
        <v>73</v>
      </c>
      <c r="R6" s="6">
        <f>_xlfn.IFNA(IF($E6="Robot",VLOOKUP(P6,[1]Weapon!$B$1:$G$350,6,FALSE)/2,VLOOKUP(P6,[1]Weapon!$B$1:$G$350,6,FALSE)),0)</f>
        <v>80</v>
      </c>
      <c r="S6" s="56" t="s">
        <v>97</v>
      </c>
      <c r="U6" s="6">
        <f>_xlfn.IFNA(IF($E6="Robot",VLOOKUP(S6,[1]Weapon!$B$1:$G$350,6,FALSE)/2,VLOOKUP(S6,[1]Weapon!$B$1:$G$350,6,FALSE)),0)</f>
        <v>-2</v>
      </c>
      <c r="V6" s="104" t="s">
        <v>41</v>
      </c>
      <c r="W6" s="6">
        <v>50</v>
      </c>
      <c r="X6" s="6">
        <f>_xlfn.IFNA(IF($E6="Robot",VLOOKUP(V6,[1]Weapon!$B$1:$G$350,6,FALSE)/2,VLOOKUP(V6,[1]Weapon!$B$1:$G$350,6,FALSE)),0)</f>
        <v>50</v>
      </c>
      <c r="Y6" s="51"/>
      <c r="AA6" s="6">
        <f>_xlfn.IFNA(IF($E6="Robot",VLOOKUP(Y6,[1]Weapon!$B$1:$G$350,6,FALSE)/2,VLOOKUP(Y6,[1]Weapon!$B$1:$G$350,6,FALSE)),0)</f>
        <v>0</v>
      </c>
      <c r="AB6" s="50"/>
      <c r="AD6" s="6">
        <f>_xlfn.IFNA(IF($E6="Robot",VLOOKUP(AB6,[1]Weapon!$B$1:$G$350,6,FALSE)/2,VLOOKUP(AB6,[1]Weapon!$B$1:$G$350,6,FALSE)),0)</f>
        <v>0</v>
      </c>
      <c r="AE6" s="50"/>
      <c r="AG6" s="6">
        <f>_xlfn.IFNA(IF($E6="Robot",VLOOKUP(AE6,[1]Weapon!$B$1:$G$350,6,FALSE)/2,VLOOKUP(AE6,[1]Weapon!$B$1:$G$350,6,FALSE)),0)</f>
        <v>0</v>
      </c>
      <c r="AH6" s="50"/>
      <c r="AJ6" s="6">
        <f>_xlfn.IFNA(IF($E6="Robot",VLOOKUP(AH6,[1]Weapon!$B$1:$G$350,6,FALSE)/2,VLOOKUP(AH6,[1]Weapon!$B$1:$G$350,6,FALSE)),0)</f>
        <v>0</v>
      </c>
      <c r="AM6" s="6">
        <f>_xlfn.IFNA(IF($E6="Robot",VLOOKUP(AK6,[1]Weapon!$B$1:$G$350,6,FALSE)/2,VLOOKUP(AK6,[1]Weapon!$B$1:$G$350,6,FALSE)),0)</f>
        <v>0</v>
      </c>
      <c r="AO6" s="6">
        <v>0</v>
      </c>
      <c r="AP6" s="6">
        <f>_xlfn.IFNA(IF($E6="Robot",VLOOKUP(AN6,[1]Weapon!$B$1:$G$350,6,FALSE)/2,VLOOKUP(AN6,[1]Weapon!$B$1:$G$350,6,FALSE)),0)</f>
        <v>0</v>
      </c>
      <c r="AQ6" s="3"/>
      <c r="AR6" s="99" t="s">
        <v>151</v>
      </c>
      <c r="AS6">
        <f>VLOOKUP(B6,Toolkit!$Q$3:$U$22,4,FALSE)</f>
        <v>0</v>
      </c>
    </row>
    <row r="7" spans="1:46" x14ac:dyDescent="0.25">
      <c r="A7" s="83" t="str">
        <f t="shared" si="0"/>
        <v>Roy</v>
      </c>
      <c r="B7" s="57" t="s">
        <v>102</v>
      </c>
      <c r="C7" s="21"/>
      <c r="D7" s="57" t="s">
        <v>103</v>
      </c>
      <c r="E7" s="92" t="s">
        <v>91</v>
      </c>
      <c r="F7" s="1">
        <f ca="1">VLOOKUP(B7,Toolkit!K$3:M$25,3,FALSE)</f>
        <v>38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97">
        <f>6</f>
        <v>6</v>
      </c>
      <c r="I7" s="62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59" t="s">
        <v>104</v>
      </c>
      <c r="R7" s="6">
        <f>_xlfn.IFNA(IF($E7="Robot",VLOOKUP(P7,[1]Weapon!$B$1:$G$350,6,FALSE)/2,VLOOKUP(P7,[1]Weapon!$B$1:$G$350,6,FALSE)),0)</f>
        <v>-1</v>
      </c>
      <c r="S7" s="59" t="s">
        <v>105</v>
      </c>
      <c r="T7" s="6">
        <v>20</v>
      </c>
      <c r="U7" s="6">
        <f>_xlfn.IFNA(IF($E7="Robot",VLOOKUP(S7,[1]Weapon!$B$1:$G$350,6,FALSE)/2,VLOOKUP(S7,[1]Weapon!$B$1:$G$350,6,FALSE)),0)</f>
        <v>25</v>
      </c>
      <c r="V7" s="98" t="s">
        <v>125</v>
      </c>
      <c r="W7" s="16">
        <v>25</v>
      </c>
      <c r="X7" s="6">
        <f>_xlfn.IFNA(IF($E7="Robot",VLOOKUP(V7,[1]Weapon!$B$1:$G$350,6,FALSE)/2,VLOOKUP(V7,[1]Weapon!$B$1:$G$350,6,FALSE)),0)</f>
        <v>25</v>
      </c>
      <c r="Y7" s="52"/>
      <c r="AA7" s="6">
        <f>_xlfn.IFNA(IF($E7="Robot",VLOOKUP(Y7,[1]Weapon!$B$1:$G$350,6,FALSE)/2,VLOOKUP(Y7,[1]Weapon!$B$1:$G$350,6,FALSE)),0)</f>
        <v>0</v>
      </c>
      <c r="AB7" s="50"/>
      <c r="AD7" s="6">
        <f>_xlfn.IFNA(IF($E7="Robot",VLOOKUP(AB7,[1]Weapon!$B$1:$G$350,6,FALSE)/2,VLOOKUP(AB7,[1]Weapon!$B$1:$G$350,6,FALSE)),0)</f>
        <v>0</v>
      </c>
      <c r="AE7" s="50"/>
      <c r="AG7" s="6">
        <f>_xlfn.IFNA(IF($E7="Robot",VLOOKUP(AE7,[1]Weapon!$B$1:$G$350,6,FALSE)/2,VLOOKUP(AE7,[1]Weapon!$B$1:$G$350,6,FALSE)),0)</f>
        <v>0</v>
      </c>
      <c r="AH7" s="51"/>
      <c r="AJ7" s="6">
        <f>_xlfn.IFNA(IF($E7="Robot",VLOOKUP(AH7,[1]Weapon!$B$1:$G$350,6,FALSE)/2,VLOOKUP(AH7,[1]Weapon!$B$1:$G$350,6,FALSE)),0)</f>
        <v>0</v>
      </c>
      <c r="AM7" s="6">
        <f>_xlfn.IFNA(IF($E7="Robot",VLOOKUP(AK7,[1]Weapon!$B$1:$G$350,6,FALSE)/2,VLOOKUP(AK7,[1]Weapon!$B$1:$G$350,6,FALSE)),0)</f>
        <v>0</v>
      </c>
      <c r="AO7" s="6">
        <v>0</v>
      </c>
      <c r="AP7" s="6">
        <f>_xlfn.IFNA(IF($E7="Robot",VLOOKUP(AN7,[1]Weapon!$B$1:$G$350,6,FALSE)/2,VLOOKUP(AN7,[1]Weapon!$B$1:$G$350,6,FALSE)),0)</f>
        <v>0</v>
      </c>
      <c r="AQ7" s="3"/>
      <c r="AS7">
        <f>VLOOKUP(B7,Toolkit!$Q$3:$U$22,4,FALSE)</f>
        <v>0</v>
      </c>
    </row>
    <row r="8" spans="1:46" x14ac:dyDescent="0.25">
      <c r="A8" s="83" t="str">
        <f t="shared" si="0"/>
        <v>Saffron</v>
      </c>
      <c r="B8" s="57" t="s">
        <v>106</v>
      </c>
      <c r="C8" s="21"/>
      <c r="D8" s="57" t="s">
        <v>107</v>
      </c>
      <c r="E8" s="91" t="s">
        <v>60</v>
      </c>
      <c r="F8" s="1">
        <f ca="1">VLOOKUP(B8,Toolkit!K$3:M$25,3,FALSE)</f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59" t="s">
        <v>41</v>
      </c>
      <c r="Q8" s="11">
        <v>42</v>
      </c>
      <c r="R8" s="6">
        <f>_xlfn.IFNA(IF($E8="Robot",VLOOKUP(P8,[1]Weapon!$B$1:$G$350,6,FALSE)/2,VLOOKUP(P8,[1]Weapon!$B$1:$G$350,6,FALSE)),0)</f>
        <v>50</v>
      </c>
      <c r="S8" s="59" t="s">
        <v>97</v>
      </c>
      <c r="T8" s="11"/>
      <c r="U8" s="6">
        <f>_xlfn.IFNA(IF($E8="Robot",VLOOKUP(S8,[1]Weapon!$B$1:$G$350,6,FALSE)/2,VLOOKUP(S8,[1]Weapon!$B$1:$G$350,6,FALSE)),0)</f>
        <v>-2</v>
      </c>
      <c r="V8" s="50"/>
      <c r="W8" s="15"/>
      <c r="X8" s="6">
        <f>_xlfn.IFNA(IF($E8="Robot",VLOOKUP(V8,[1]Weapon!$B$1:$G$350,6,FALSE)/2,VLOOKUP(V8,[1]Weapon!$B$1:$G$350,6,FALSE)),0)</f>
        <v>0</v>
      </c>
      <c r="Y8" s="51"/>
      <c r="Z8" s="15"/>
      <c r="AA8" s="6">
        <f>_xlfn.IFNA(IF($E8="Robot",VLOOKUP(Y8,[1]Weapon!$B$1:$G$350,6,FALSE)/2,VLOOKUP(Y8,[1]Weapon!$B$1:$G$350,6,FALSE)),0)</f>
        <v>0</v>
      </c>
      <c r="AB8" s="50"/>
      <c r="AD8" s="6">
        <f>_xlfn.IFNA(IF($E8="Robot",VLOOKUP(AB8,[1]Weapon!$B$1:$G$350,6,FALSE)/2,VLOOKUP(AB8,[1]Weapon!$B$1:$G$350,6,FALSE)),0)</f>
        <v>0</v>
      </c>
      <c r="AE8" s="50"/>
      <c r="AG8" s="6">
        <f>_xlfn.IFNA(IF($E8="Robot",VLOOKUP(AE8,[1]Weapon!$B$1:$G$350,6,FALSE)/2,VLOOKUP(AE8,[1]Weapon!$B$1:$G$350,6,FALSE)),0)</f>
        <v>0</v>
      </c>
      <c r="AH8" s="51"/>
      <c r="AJ8" s="6">
        <f>_xlfn.IFNA(IF($E8="Robot",VLOOKUP(AH8,[1]Weapon!$B$1:$G$350,6,FALSE)/2,VLOOKUP(AH8,[1]Weapon!$B$1:$G$350,6,FALSE)),0)</f>
        <v>0</v>
      </c>
      <c r="AK8" s="98" t="s">
        <v>156</v>
      </c>
      <c r="AL8" s="6">
        <v>4</v>
      </c>
      <c r="AM8" s="6">
        <f>_xlfn.IFNA(IF($E8="Robot",VLOOKUP(AK8,[1]Weapon!$B$1:$G$350,6,FALSE)/2,VLOOKUP(AK8,[1]Weapon!$B$1:$G$350,6,FALSE)),0)</f>
        <v>4</v>
      </c>
      <c r="AO8" s="6">
        <v>0</v>
      </c>
      <c r="AP8" s="6">
        <f>_xlfn.IFNA(IF($E8="Robot",VLOOKUP(AN8,[1]Weapon!$B$1:$G$350,6,FALSE)/2,VLOOKUP(AN8,[1]Weapon!$B$1:$G$350,6,FALSE)),0)</f>
        <v>0</v>
      </c>
      <c r="AQ8" s="3"/>
      <c r="AR8" s="99"/>
      <c r="AS8">
        <f>VLOOKUP(B8,Toolkit!$Q$3:$U$22,4,FALSE)</f>
        <v>0</v>
      </c>
    </row>
    <row r="9" spans="1:46" x14ac:dyDescent="0.25">
      <c r="A9" s="83" t="str">
        <f t="shared" si="0"/>
        <v>Elishar</v>
      </c>
      <c r="B9" s="57" t="s">
        <v>108</v>
      </c>
      <c r="C9" s="21"/>
      <c r="D9" s="57" t="s">
        <v>109</v>
      </c>
      <c r="E9" s="92" t="s">
        <v>60</v>
      </c>
      <c r="F9" s="1">
        <f ca="1">VLOOKUP(B9,Toolkit!K$3:M$25,3,FALSE)</f>
        <v>52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59" t="s">
        <v>101</v>
      </c>
      <c r="Q9" s="6">
        <v>26</v>
      </c>
      <c r="R9" s="6">
        <f>_xlfn.IFNA(IF($E9="Robot",VLOOKUP(P9,[1]Weapon!$B$1:$G$350,6,FALSE)/2,VLOOKUP(P9,[1]Weapon!$B$1:$G$350,6,FALSE)),0)</f>
        <v>30</v>
      </c>
      <c r="S9" s="59" t="s">
        <v>97</v>
      </c>
      <c r="U9" s="6">
        <f>_xlfn.IFNA(IF($E9="Robot",VLOOKUP(S9,[1]Weapon!$B$1:$G$350,6,FALSE)/2,VLOOKUP(S9,[1]Weapon!$B$1:$G$350,6,FALSE)),0)</f>
        <v>-2</v>
      </c>
      <c r="V9" s="98" t="s">
        <v>122</v>
      </c>
      <c r="W9" s="6">
        <v>77</v>
      </c>
      <c r="X9" s="6">
        <f>_xlfn.IFNA(IF($E9="Robot",VLOOKUP(V9,[1]Weapon!$B$1:$G$350,6,FALSE)/2,VLOOKUP(V9,[1]Weapon!$B$1:$G$350,6,FALSE)),0)</f>
        <v>80</v>
      </c>
      <c r="Y9" s="50"/>
      <c r="AA9" s="6">
        <f>_xlfn.IFNA(IF($E9="Robot",VLOOKUP(Y9,[1]Weapon!$B$1:$G$350,6,FALSE)/2,VLOOKUP(Y9,[1]Weapon!$B$1:$G$350,6,FALSE)),0)</f>
        <v>0</v>
      </c>
      <c r="AB9" s="50"/>
      <c r="AD9" s="6">
        <f>_xlfn.IFNA(IF($E9="Robot",VLOOKUP(AB9,[1]Weapon!$B$1:$G$350,6,FALSE)/2,VLOOKUP(AB9,[1]Weapon!$B$1:$G$350,6,FALSE)),0)</f>
        <v>0</v>
      </c>
      <c r="AE9" s="50"/>
      <c r="AG9" s="6">
        <f>_xlfn.IFNA(IF($E9="Robot",VLOOKUP(AE9,[1]Weapon!$B$1:$G$350,6,FALSE)/2,VLOOKUP(AE9,[1]Weapon!$B$1:$G$350,6,FALSE)),0)</f>
        <v>0</v>
      </c>
      <c r="AH9" s="50"/>
      <c r="AJ9" s="6">
        <f>_xlfn.IFNA(IF($E9="Robot",VLOOKUP(AH9,[1]Weapon!$B$1:$G$350,6,FALSE)/2,VLOOKUP(AH9,[1]Weapon!$B$1:$G$350,6,FALSE)),0)</f>
        <v>0</v>
      </c>
      <c r="AK9" s="41"/>
      <c r="AM9" s="6">
        <f>_xlfn.IFNA(IF($E9="Robot",VLOOKUP(AK9,[1]Weapon!$B$1:$G$350,6,FALSE)/2,VLOOKUP(AK9,[1]Weapon!$B$1:$G$350,6,FALSE)),0)</f>
        <v>0</v>
      </c>
      <c r="AO9" s="6">
        <v>0</v>
      </c>
      <c r="AP9" s="6">
        <f>_xlfn.IFNA(IF($E9="Robot",VLOOKUP(AN9,[1]Weapon!$B$1:$G$350,6,FALSE)/2,VLOOKUP(AN9,[1]Weapon!$B$1:$G$350,6,FALSE)),0)</f>
        <v>0</v>
      </c>
      <c r="AQ9" s="3"/>
      <c r="AS9">
        <f>VLOOKUP(B9,Toolkit!$Q$3:$U$22,4,FALSE)</f>
        <v>0</v>
      </c>
    </row>
    <row r="10" spans="1:46" x14ac:dyDescent="0.25">
      <c r="A10" s="83" t="str">
        <f t="shared" si="0"/>
        <v>Malli</v>
      </c>
      <c r="B10" s="57" t="s">
        <v>110</v>
      </c>
      <c r="C10" s="21"/>
      <c r="D10" s="57" t="s">
        <v>111</v>
      </c>
      <c r="E10" s="91" t="s">
        <v>92</v>
      </c>
      <c r="F10" s="1">
        <f ca="1">VLOOKUP(B10,Toolkit!K$3:M$25,3,FALSE)</f>
        <v>4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59" t="s">
        <v>89</v>
      </c>
      <c r="Q10" s="6">
        <v>9</v>
      </c>
      <c r="R10" s="6">
        <f>_xlfn.IFNA(IF($E10="Robot",VLOOKUP(P10,[1]Weapon!$B$1:$G$350,6,FALSE)/2,VLOOKUP(P10,[1]Weapon!$B$1:$G$350,6,FALSE)),0)</f>
        <v>15</v>
      </c>
      <c r="S10" s="111" t="s">
        <v>152</v>
      </c>
      <c r="U10" s="6">
        <f>_xlfn.IFNA(IF($E10="Robot",VLOOKUP(S10,[1]Weapon!$B$1:$G$350,6,FALSE)/2,VLOOKUP(S10,[1]Weapon!$B$1:$G$350,6,FALSE)),0)</f>
        <v>-2</v>
      </c>
      <c r="V10" s="50"/>
      <c r="X10" s="6">
        <f>_xlfn.IFNA(IF($E10="Robot",VLOOKUP(V10,[1]Weapon!$B$1:$G$350,6,FALSE)/2,VLOOKUP(V10,[1]Weapon!$B$1:$G$350,6,FALSE)),0)</f>
        <v>0</v>
      </c>
      <c r="Y10" s="51"/>
      <c r="AA10" s="6">
        <f>_xlfn.IFNA(IF($E10="Robot",VLOOKUP(Y10,[1]Weapon!$B$1:$G$350,6,FALSE)/2,VLOOKUP(Y10,[1]Weapon!$B$1:$G$350,6,FALSE)),0)</f>
        <v>0</v>
      </c>
      <c r="AB10" s="59" t="s">
        <v>112</v>
      </c>
      <c r="AC10" s="6">
        <v>49</v>
      </c>
      <c r="AD10" s="6">
        <f>_xlfn.IFNA(IF($E10="Robot",VLOOKUP(AB10,[1]Weapon!$B$1:$G$350,6,FALSE)/2,VLOOKUP(AB10,[1]Weapon!$B$1:$G$350,6,FALSE)),0)</f>
        <v>50</v>
      </c>
      <c r="AE10" s="59" t="s">
        <v>97</v>
      </c>
      <c r="AG10" s="6">
        <f>_xlfn.IFNA(IF($E10="Robot",VLOOKUP(AE10,[1]Weapon!$B$1:$G$350,6,FALSE)/2,VLOOKUP(AE10,[1]Weapon!$B$1:$G$350,6,FALSE)),0)</f>
        <v>-2</v>
      </c>
      <c r="AH10" s="98" t="s">
        <v>96</v>
      </c>
      <c r="AI10" s="6">
        <v>50</v>
      </c>
      <c r="AJ10" s="6">
        <f>_xlfn.IFNA(IF($E10="Robot",VLOOKUP(AH10,[1]Weapon!$B$1:$G$350,6,FALSE)/2,VLOOKUP(AH10,[1]Weapon!$B$1:$G$350,6,FALSE)),0)</f>
        <v>50</v>
      </c>
      <c r="AM10" s="6">
        <f>_xlfn.IFNA(IF($E10="Robot",VLOOKUP(AK10,[1]Weapon!$B$1:$G$350,6,FALSE)/2,VLOOKUP(AK10,[1]Weapon!$B$1:$G$350,6,FALSE)),0)</f>
        <v>0</v>
      </c>
      <c r="AO10" s="6">
        <v>0</v>
      </c>
      <c r="AP10" s="6">
        <f>_xlfn.IFNA(IF($E10="Robot",VLOOKUP(AN10,[1]Weapon!$B$1:$G$350,6,FALSE)/2,VLOOKUP(AN10,[1]Weapon!$B$1:$G$350,6,FALSE)),0)</f>
        <v>0</v>
      </c>
      <c r="AQ10" s="3"/>
      <c r="AS10">
        <f>VLOOKUP(B10,Toolkit!$Q$3:$U$22,4,FALSE)</f>
        <v>0</v>
      </c>
    </row>
    <row r="11" spans="1:46" x14ac:dyDescent="0.25">
      <c r="A11" s="83" t="str">
        <f t="shared" si="0"/>
        <v>Jaelyn</v>
      </c>
      <c r="B11" s="57" t="s">
        <v>74</v>
      </c>
      <c r="C11" s="21"/>
      <c r="D11" s="57" t="s">
        <v>113</v>
      </c>
      <c r="E11" s="91" t="s">
        <v>92</v>
      </c>
      <c r="F11" s="1">
        <f ca="1">VLOOKUP(B11,Toolkit!K$3:M$25,3,FALSE)</f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97">
        <f>4+1</f>
        <v>5</v>
      </c>
      <c r="M11" s="62">
        <f>L11</f>
        <v>5</v>
      </c>
      <c r="N11" s="4">
        <v>7</v>
      </c>
      <c r="O11" s="2">
        <f t="shared" si="8"/>
        <v>7</v>
      </c>
      <c r="P11" s="59" t="s">
        <v>88</v>
      </c>
      <c r="Q11" s="6">
        <v>8</v>
      </c>
      <c r="R11" s="6">
        <f>_xlfn.IFNA(IF($E11="Robot",VLOOKUP(P11,[1]Weapon!$B$1:$G$350,6,FALSE)/2,VLOOKUP(P11,[1]Weapon!$B$1:$G$350,6,FALSE)),0)</f>
        <v>15</v>
      </c>
      <c r="S11" s="87" t="s">
        <v>144</v>
      </c>
      <c r="T11" s="6">
        <v>14</v>
      </c>
      <c r="U11" s="6">
        <f>_xlfn.IFNA(IF($E11="Robot",VLOOKUP(S11,[1]Weapon!$B$1:$G$350,6,FALSE)/2,VLOOKUP(S11,[1]Weapon!$B$1:$G$350,6,FALSE)),0)</f>
        <v>15</v>
      </c>
      <c r="V11" s="111" t="s">
        <v>165</v>
      </c>
      <c r="W11" s="6">
        <v>15</v>
      </c>
      <c r="X11" s="6">
        <f>_xlfn.IFNA(IF($E11="Robot",VLOOKUP(V11,[1]Weapon!$B$1:$G$350,6,FALSE)/2,VLOOKUP(V11,[1]Weapon!$B$1:$G$350,6,FALSE)),0)</f>
        <v>15</v>
      </c>
      <c r="Y11" s="51"/>
      <c r="AA11" s="6">
        <f>_xlfn.IFNA(IF($E11="Robot",VLOOKUP(Y11,[1]Weapon!$B$1:$G$350,6,FALSE)/2,VLOOKUP(Y11,[1]Weapon!$B$1:$G$350,6,FALSE)),0)</f>
        <v>0</v>
      </c>
      <c r="AB11" s="59" t="s">
        <v>112</v>
      </c>
      <c r="AC11" s="6">
        <v>49</v>
      </c>
      <c r="AD11" s="6">
        <f>_xlfn.IFNA(IF($E11="Robot",VLOOKUP(AB11,[1]Weapon!$B$1:$G$350,6,FALSE)/2,VLOOKUP(AB11,[1]Weapon!$B$1:$G$350,6,FALSE)),0)</f>
        <v>50</v>
      </c>
      <c r="AE11" s="59" t="s">
        <v>114</v>
      </c>
      <c r="AG11" s="6">
        <f>_xlfn.IFNA(IF($E11="Robot",VLOOKUP(AE11,[1]Weapon!$B$1:$G$350,6,FALSE)/2,VLOOKUP(AE11,[1]Weapon!$B$1:$G$350,6,FALSE)),0)</f>
        <v>-2</v>
      </c>
      <c r="AH11" s="50"/>
      <c r="AJ11" s="6">
        <f>_xlfn.IFNA(IF($E11="Robot",VLOOKUP(AH11,[1]Weapon!$B$1:$G$350,6,FALSE)/2,VLOOKUP(AH11,[1]Weapon!$B$1:$G$350,6,FALSE)),0)</f>
        <v>0</v>
      </c>
      <c r="AM11" s="6">
        <f>_xlfn.IFNA(IF($E11="Robot",VLOOKUP(AK11,[1]Weapon!$B$1:$G$350,6,FALSE)/2,VLOOKUP(AK11,[1]Weapon!$B$1:$G$350,6,FALSE)),0)</f>
        <v>0</v>
      </c>
      <c r="AO11" s="6">
        <v>0</v>
      </c>
      <c r="AP11" s="6">
        <f>_xlfn.IFNA(IF($E11="Robot",VLOOKUP(AN11,[1]Weapon!$B$1:$G$350,6,FALSE)/2,VLOOKUP(AN11,[1]Weapon!$B$1:$G$350,6,FALSE)),0)</f>
        <v>0</v>
      </c>
      <c r="AQ11" s="3"/>
      <c r="AR11" s="25"/>
      <c r="AS11">
        <f>VLOOKUP(B11,Toolkit!$Q$3:$U$22,4,FALSE)</f>
        <v>0</v>
      </c>
    </row>
    <row r="12" spans="1:46" x14ac:dyDescent="0.25">
      <c r="A12" s="83" t="str">
        <f t="shared" si="0"/>
        <v>DAD-E</v>
      </c>
      <c r="B12" s="57" t="s">
        <v>115</v>
      </c>
      <c r="C12" s="23"/>
      <c r="D12" s="57" t="s">
        <v>116</v>
      </c>
      <c r="E12" s="92" t="s">
        <v>91</v>
      </c>
      <c r="F12" s="1">
        <f ca="1">VLOOKUP(B12,Toolkit!K$3:M$25,3,FALSE)</f>
        <v>57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97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97">
        <f>5+4</f>
        <v>9</v>
      </c>
      <c r="M12" s="62">
        <f>L12</f>
        <v>9</v>
      </c>
      <c r="N12" s="4">
        <v>0</v>
      </c>
      <c r="O12" s="2">
        <f t="shared" si="8"/>
        <v>0</v>
      </c>
      <c r="P12" s="59" t="s">
        <v>104</v>
      </c>
      <c r="R12" s="6">
        <f>_xlfn.IFNA(IF($E12="Robot",VLOOKUP(P12,[1]Weapon!$B$1:$G$350,6,FALSE)/2,VLOOKUP(P12,[1]Weapon!$B$1:$G$350,6,FALSE)),0)</f>
        <v>-1</v>
      </c>
      <c r="S12" s="59" t="s">
        <v>117</v>
      </c>
      <c r="T12" s="6">
        <v>16</v>
      </c>
      <c r="U12" s="6">
        <f>_xlfn.IFNA(IF($E12="Robot",VLOOKUP(S12,[1]Weapon!$B$1:$G$350,6,FALSE)/2,VLOOKUP(S12,[1]Weapon!$B$1:$G$350,6,FALSE)),0)</f>
        <v>20</v>
      </c>
      <c r="V12" s="98" t="s">
        <v>112</v>
      </c>
      <c r="W12" s="16">
        <v>23</v>
      </c>
      <c r="X12" s="6">
        <f>_xlfn.IFNA(IF($E12="Robot",VLOOKUP(V12,[1]Weapon!$B$1:$G$350,6,FALSE)/2,VLOOKUP(V12,[1]Weapon!$B$1:$G$350,6,FALSE)),0)</f>
        <v>25</v>
      </c>
      <c r="Y12" s="104" t="s">
        <v>41</v>
      </c>
      <c r="Z12" s="6">
        <v>24</v>
      </c>
      <c r="AA12" s="6">
        <f>_xlfn.IFNA(IF($E12="Robot",VLOOKUP(Y12,[1]Weapon!$B$1:$G$350,6,FALSE)/2,VLOOKUP(Y12,[1]Weapon!$B$1:$G$350,6,FALSE)),0)</f>
        <v>25</v>
      </c>
      <c r="AB12" s="50"/>
      <c r="AD12" s="6">
        <f>_xlfn.IFNA(IF($E12="Robot",VLOOKUP(AB12,[1]Weapon!$B$1:$G$350,6,FALSE)/2,VLOOKUP(AB12,[1]Weapon!$B$1:$G$350,6,FALSE)),0)</f>
        <v>0</v>
      </c>
      <c r="AE12" s="50"/>
      <c r="AG12" s="6">
        <f>_xlfn.IFNA(IF($E12="Robot",VLOOKUP(AE12,[1]Weapon!$B$1:$G$350,6,FALSE)/2,VLOOKUP(AE12,[1]Weapon!$B$1:$G$350,6,FALSE)),0)</f>
        <v>0</v>
      </c>
      <c r="AH12" s="51"/>
      <c r="AJ12" s="6">
        <f>_xlfn.IFNA(IF($E12="Robot",VLOOKUP(AH12,[1]Weapon!$B$1:$G$350,6,FALSE)/2,VLOOKUP(AH12,[1]Weapon!$B$1:$G$350,6,FALSE)),0)</f>
        <v>0</v>
      </c>
      <c r="AM12" s="6">
        <f>_xlfn.IFNA(IF($E12="Robot",VLOOKUP(AK12,[1]Weapon!$B$1:$G$350,6,FALSE)/2,VLOOKUP(AK12,[1]Weapon!$B$1:$G$350,6,FALSE)),0)</f>
        <v>0</v>
      </c>
      <c r="AO12" s="6">
        <v>0</v>
      </c>
      <c r="AP12" s="6">
        <f>_xlfn.IFNA(IF($E12="Robot",VLOOKUP(AN12,[1]Weapon!$B$1:$G$350,6,FALSE)/2,VLOOKUP(AN12,[1]Weapon!$B$1:$G$350,6,FALSE)),0)</f>
        <v>0</v>
      </c>
      <c r="AQ12" s="3"/>
      <c r="AS12">
        <f>VLOOKUP(B12,Toolkit!$Q$3:$U$22,4,FALSE)</f>
        <v>0</v>
      </c>
    </row>
    <row r="13" spans="1:46" x14ac:dyDescent="0.25">
      <c r="A13" s="83" t="str">
        <f t="shared" ref="A13:A17" si="10">B13</f>
        <v>Tankbot</v>
      </c>
      <c r="B13" s="57" t="s">
        <v>118</v>
      </c>
      <c r="C13" s="21"/>
      <c r="D13" s="57" t="s">
        <v>119</v>
      </c>
      <c r="E13" s="58" t="s">
        <v>91</v>
      </c>
      <c r="F13" s="1">
        <f ca="1">VLOOKUP(B13,Toolkit!K$3:M$25,3,FALSE)</f>
        <v>42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62">
        <f>H13</f>
        <v>0</v>
      </c>
      <c r="J13" s="81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59" t="s">
        <v>104</v>
      </c>
      <c r="R13" s="6">
        <f>_xlfn.IFNA(IF($E13="Robot",VLOOKUP(P13,[1]Weapon!$B$1:$G$350,6,FALSE)/2,VLOOKUP(P13,[1]Weapon!$B$1:$G$350,6,FALSE)),0)</f>
        <v>-1</v>
      </c>
      <c r="S13" s="60" t="s">
        <v>125</v>
      </c>
      <c r="T13" s="6">
        <v>17</v>
      </c>
      <c r="U13" s="6">
        <f>_xlfn.IFNA(IF($E13="Robot",VLOOKUP(S13,[1]Weapon!$B$1:$G$350,6,FALSE)/2,VLOOKUP(S13,[1]Weapon!$B$1:$G$350,6,FALSE)),0)</f>
        <v>25</v>
      </c>
      <c r="V13" s="87" t="s">
        <v>150</v>
      </c>
      <c r="X13" s="6">
        <f>_xlfn.IFNA(IF($E13="Robot",VLOOKUP(V13,[1]Weapon!$B$1:$G$350,6,FALSE)/2,VLOOKUP(V13,[1]Weapon!$B$1:$G$350,6,FALSE)),0)</f>
        <v>-1</v>
      </c>
      <c r="Y13" s="96"/>
      <c r="AA13" s="6">
        <f>_xlfn.IFNA(IF($E13="Robot",VLOOKUP(Y13,[1]Weapon!$B$1:$G$350,6,FALSE)/2,VLOOKUP(Y13,[1]Weapon!$B$1:$G$350,6,FALSE)),0)</f>
        <v>0</v>
      </c>
      <c r="AB13" s="50"/>
      <c r="AD13" s="6">
        <f>_xlfn.IFNA(IF($E13="Robot",VLOOKUP(AB13,[1]Weapon!$B$1:$G$350,6,FALSE)/2,VLOOKUP(AB13,[1]Weapon!$B$1:$G$350,6,FALSE)),0)</f>
        <v>0</v>
      </c>
      <c r="AE13" s="50"/>
      <c r="AG13" s="6">
        <f>_xlfn.IFNA(IF($E13="Robot",VLOOKUP(AE13,[1]Weapon!$B$1:$G$350,6,FALSE)/2,VLOOKUP(AE13,[1]Weapon!$B$1:$G$350,6,FALSE)),0)</f>
        <v>0</v>
      </c>
      <c r="AH13" s="50"/>
      <c r="AJ13" s="6">
        <f>_xlfn.IFNA(IF($E13="Robot",VLOOKUP(AH13,[1]Weapon!$B$1:$G$350,6,FALSE)/2,VLOOKUP(AH13,[1]Weapon!$B$1:$G$350,6,FALSE)),0)</f>
        <v>0</v>
      </c>
      <c r="AM13" s="6">
        <f>_xlfn.IFNA(IF($E13="Robot",VLOOKUP(AK13,[1]Weapon!$B$1:$G$350,6,FALSE)/2,VLOOKUP(AK13,[1]Weapon!$B$1:$G$350,6,FALSE)),0)</f>
        <v>0</v>
      </c>
      <c r="AO13" s="6">
        <v>0</v>
      </c>
      <c r="AP13" s="6">
        <f>_xlfn.IFNA(IF($E13="Robot",VLOOKUP(AN13,[1]Weapon!$B$1:$G$350,6,FALSE)/2,VLOOKUP(AN13,[1]Weapon!$B$1:$G$350,6,FALSE)),0)</f>
        <v>0</v>
      </c>
      <c r="AQ13" s="3"/>
      <c r="AR13" s="25"/>
      <c r="AS13">
        <f>VLOOKUP(B13,Toolkit!$Q$3:$U$22,4,FALSE)</f>
        <v>0</v>
      </c>
    </row>
    <row r="14" spans="1:46" x14ac:dyDescent="0.25">
      <c r="A14" s="83" t="str">
        <f t="shared" si="10"/>
        <v>DM</v>
      </c>
      <c r="B14" s="57" t="s">
        <v>120</v>
      </c>
      <c r="C14" s="21"/>
      <c r="D14" s="57" t="s">
        <v>121</v>
      </c>
      <c r="E14" s="92" t="s">
        <v>90</v>
      </c>
      <c r="F14" s="1">
        <f ca="1">VLOOKUP(B14,Toolkit!K$3:M$25,3,FALSE)</f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50" t="str">
        <f>IF(ISBLANK(VLOOKUP($E14,[1]Monster!$A$2:$X$256,16,FALSE)),"",VLOOKUP($E14,[1]Monster!$A$2:$X$256,16,FALSE))</f>
        <v>Nail</v>
      </c>
      <c r="Q14" s="7">
        <v>30</v>
      </c>
      <c r="R14" s="6">
        <f>_xlfn.IFNA(IF($E14="Robot",VLOOKUP(P14,[1]Weapon!$B$1:$G$350,6,FALSE)/2,VLOOKUP(P14,[1]Weapon!$B$1:$G$350,6,FALSE)),0)</f>
        <v>30</v>
      </c>
      <c r="S14" s="50" t="str">
        <f>IF(ISBLANK(VLOOKUP($E14,[1]Monster!$A$2:$X$256,17,FALSE)),"",VLOOKUP($E14,[1]Monster!$A$2:$X$256,17,FALSE))</f>
        <v>Flame</v>
      </c>
      <c r="T14" s="6">
        <v>8</v>
      </c>
      <c r="U14" s="6">
        <f>_xlfn.IFNA(IF($E14="Robot",VLOOKUP(S14,[1]Weapon!$B$1:$G$350,6,FALSE)/2,VLOOKUP(S14,[1]Weapon!$B$1:$G$350,6,FALSE)),0)</f>
        <v>15</v>
      </c>
      <c r="V14" s="51" t="str">
        <f>IF(ISBLANK(VLOOKUP($E14,[1]Monster!$A$2:$X$256,18,FALSE)),"",VLOOKUP($E14,[1]Monster!$A$2:$X$256,18,FALSE))</f>
        <v>O-Quake</v>
      </c>
      <c r="W14" s="17">
        <v>-1</v>
      </c>
      <c r="X14" s="6">
        <f>_xlfn.IFNA(IF($E14="Robot",VLOOKUP(V14,[1]Weapon!$B$1:$G$350,6,FALSE)/2,VLOOKUP(V14,[1]Weapon!$B$1:$G$350,6,FALSE)),0)</f>
        <v>-2</v>
      </c>
      <c r="Y14" s="51"/>
      <c r="AA14" s="6">
        <f>_xlfn.IFNA(IF($E14="Robot",VLOOKUP(Y14,[1]Weapon!$B$1:$G$350,6,FALSE)/2,VLOOKUP(Y14,[1]Weapon!$B$1:$G$350,6,FALSE)),0)</f>
        <v>0</v>
      </c>
      <c r="AB14" s="50" t="str">
        <f>IF(ISBLANK(VLOOKUP($E14,[1]Monster!$A$2:$X$256,20,FALSE)),"",VLOOKUP($E14,[1]Monster!$A$2:$X$256,20,FALSE))</f>
        <v/>
      </c>
      <c r="AD14" s="6">
        <f>_xlfn.IFNA(IF($E14="Robot",VLOOKUP(AB14,[1]Weapon!$B$1:$G$350,6,FALSE)/2,VLOOKUP(AB14,[1]Weapon!$B$1:$G$350,6,FALSE)),0)</f>
        <v>0</v>
      </c>
      <c r="AE14" s="50" t="str">
        <f>IF(ISBLANK(VLOOKUP($E14,[1]Monster!$A$2:$X$256,21,FALSE)),"",VLOOKUP($E14,[1]Monster!$A$2:$X$256,21,FALSE))</f>
        <v/>
      </c>
      <c r="AG14" s="6">
        <f>_xlfn.IFNA(IF($E14="Robot",VLOOKUP(AE14,[1]Weapon!$B$1:$G$350,6,FALSE)/2,VLOOKUP(AE14,[1]Weapon!$B$1:$G$350,6,FALSE)),0)</f>
        <v>0</v>
      </c>
      <c r="AH14" s="51" t="str">
        <f>IF(ISBLANK(VLOOKUP($E14,[1]Monster!$A$2:$X$256,22,FALSE)),"",VLOOKUP($E14,[1]Monster!$A$2:$X$256,22,FALSE))</f>
        <v/>
      </c>
      <c r="AJ14" s="6">
        <f>_xlfn.IFNA(IF($E14="Robot",VLOOKUP(AH14,[1]Weapon!$B$1:$G$350,6,FALSE)/2,VLOOKUP(AH14,[1]Weapon!$B$1:$G$350,6,FALSE)),0)</f>
        <v>0</v>
      </c>
      <c r="AK14" s="39" t="str">
        <f>IF(ISBLANK(VLOOKUP($E14,[1]Monster!$A$2:$X$256,23,FALSE)),"",VLOOKUP($E14,[1]Monster!$A$2:$X$256,23,FALSE))</f>
        <v/>
      </c>
      <c r="AM14" s="6">
        <f>_xlfn.IFNA(IF($E14="Robot",VLOOKUP(AK14,[1]Weapon!$B$1:$G$350,6,FALSE)/2,VLOOKUP(AK14,[1]Weapon!$B$1:$G$350,6,FALSE)),0)</f>
        <v>0</v>
      </c>
      <c r="AO14" s="6">
        <v>0</v>
      </c>
      <c r="AP14" s="6">
        <f>_xlfn.IFNA(IF($E14="Robot",VLOOKUP(AN14,[1]Weapon!$B$1:$G$350,6,FALSE)/2,VLOOKUP(AN14,[1]Weapon!$B$1:$G$350,6,FALSE)),0)</f>
        <v>0</v>
      </c>
      <c r="AQ14" s="3"/>
      <c r="AR14" s="99" t="s">
        <v>151</v>
      </c>
      <c r="AS14">
        <f>VLOOKUP(B14,Toolkit!$Q$3:$U$22,4,FALSE)</f>
        <v>0</v>
      </c>
    </row>
    <row r="15" spans="1:46" x14ac:dyDescent="0.25">
      <c r="A15" s="83" t="str">
        <f t="shared" si="10"/>
        <v>Lictus</v>
      </c>
      <c r="B15" s="63" t="s">
        <v>128</v>
      </c>
      <c r="C15" s="21"/>
      <c r="D15" s="61" t="s">
        <v>123</v>
      </c>
      <c r="E15" s="93" t="s">
        <v>60</v>
      </c>
      <c r="F15" s="1">
        <f ca="1">VLOOKUP(B15,Toolkit!K$3:M$25,3,FALSE)</f>
        <v>52</v>
      </c>
      <c r="G15" s="2">
        <v>52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60" t="s">
        <v>124</v>
      </c>
      <c r="Q15" s="6">
        <v>41</v>
      </c>
      <c r="R15" s="6">
        <f>_xlfn.IFNA(IF($E15="Robot",VLOOKUP(P15,[1]Weapon!$B$1:$G$350,6,FALSE)/2,VLOOKUP(P15,[1]Weapon!$B$1:$G$350,6,FALSE)),0)</f>
        <v>50</v>
      </c>
      <c r="S15" s="60" t="s">
        <v>97</v>
      </c>
      <c r="U15" s="6">
        <f>_xlfn.IFNA(IF($E15="Robot",VLOOKUP(S15,[1]Weapon!$B$1:$G$350,6,FALSE)/2,VLOOKUP(S15,[1]Weapon!$B$1:$G$350,6,FALSE)),0)</f>
        <v>-2</v>
      </c>
      <c r="V15" s="51"/>
      <c r="X15" s="6">
        <f>_xlfn.IFNA(IF($E15="Robot",VLOOKUP(V15,[1]Weapon!$B$1:$G$350,6,FALSE)/2,VLOOKUP(V15,[1]Weapon!$B$1:$G$350,6,FALSE)),0)</f>
        <v>0</v>
      </c>
      <c r="Y15" s="51"/>
      <c r="AA15" s="6">
        <f>_xlfn.IFNA(IF($E15="Robot",VLOOKUP(Y15,[1]Weapon!$B$1:$G$350,6,FALSE)/2,VLOOKUP(Y15,[1]Weapon!$B$1:$G$350,6,FALSE)),0)</f>
        <v>0</v>
      </c>
      <c r="AB15" s="50"/>
      <c r="AD15" s="6">
        <f>_xlfn.IFNA(IF($E15="Robot",VLOOKUP(AB15,[1]Weapon!$B$1:$G$350,6,FALSE)/2,VLOOKUP(AB15,[1]Weapon!$B$1:$G$350,6,FALSE)),0)</f>
        <v>0</v>
      </c>
      <c r="AE15" s="50"/>
      <c r="AG15" s="6">
        <f>_xlfn.IFNA(IF($E15="Robot",VLOOKUP(AE15,[1]Weapon!$B$1:$G$350,6,FALSE)/2,VLOOKUP(AE15,[1]Weapon!$B$1:$G$350,6,FALSE)),0)</f>
        <v>0</v>
      </c>
      <c r="AH15" s="50"/>
      <c r="AJ15" s="6">
        <f>_xlfn.IFNA(IF($E15="Robot",VLOOKUP(AH15,[1]Weapon!$B$1:$G$350,6,FALSE)/2,VLOOKUP(AH15,[1]Weapon!$B$1:$G$350,6,FALSE)),0)</f>
        <v>0</v>
      </c>
      <c r="AM15" s="6">
        <f>_xlfn.IFNA(IF($E15="Robot",VLOOKUP(AK15,[1]Weapon!$B$1:$G$350,6,FALSE)/2,VLOOKUP(AK15,[1]Weapon!$B$1:$G$350,6,FALSE)),0)</f>
        <v>0</v>
      </c>
      <c r="AO15" s="6">
        <v>0</v>
      </c>
      <c r="AP15" s="6">
        <f>_xlfn.IFNA(IF($E15="Robot",VLOOKUP(AN15,[1]Weapon!$B$1:$G$350,6,FALSE)/2,VLOOKUP(AN15,[1]Weapon!$B$1:$G$350,6,FALSE)),0)</f>
        <v>0</v>
      </c>
      <c r="AQ15" s="3"/>
      <c r="AR15" s="99"/>
      <c r="AS15">
        <f>VLOOKUP(B15,Toolkit!$Q$3:$U$22,4,FALSE)</f>
        <v>0</v>
      </c>
    </row>
    <row r="16" spans="1:46" x14ac:dyDescent="0.25">
      <c r="A16" s="83" t="str">
        <f t="shared" si="10"/>
        <v>BYTE</v>
      </c>
      <c r="B16" s="63" t="s">
        <v>126</v>
      </c>
      <c r="C16" s="21"/>
      <c r="D16" s="63" t="s">
        <v>127</v>
      </c>
      <c r="E16" s="58" t="s">
        <v>91</v>
      </c>
      <c r="F16" s="1">
        <f ca="1">VLOOKUP(B16,Toolkit!K$3:M$25,3,FALSE)</f>
        <v>53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60</v>
      </c>
      <c r="H16" s="97">
        <f>6</f>
        <v>6</v>
      </c>
      <c r="I16" s="62">
        <f>H16</f>
        <v>6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59" t="s">
        <v>104</v>
      </c>
      <c r="R16" s="6">
        <f>_xlfn.IFNA(IF($E16="Robot",VLOOKUP(P16,[1]Weapon!$B$1:$G$350,6,FALSE)/2,VLOOKUP(P16,[1]Weapon!$B$1:$G$350,6,FALSE)),0)</f>
        <v>-1</v>
      </c>
      <c r="S16" s="59" t="s">
        <v>105</v>
      </c>
      <c r="T16" s="6">
        <v>18</v>
      </c>
      <c r="U16" s="6">
        <f>_xlfn.IFNA(IF($E16="Robot",VLOOKUP(S16,[1]Weapon!$B$1:$G$350,6,FALSE)/2,VLOOKUP(S16,[1]Weapon!$B$1:$G$350,6,FALSE)),0)</f>
        <v>25</v>
      </c>
      <c r="V16" s="51"/>
      <c r="X16" s="6">
        <f>_xlfn.IFNA(IF($E16="Robot",VLOOKUP(V16,[1]Weapon!$B$1:$G$350,6,FALSE)/2,VLOOKUP(V16,[1]Weapon!$B$1:$G$350,6,FALSE)),0)</f>
        <v>0</v>
      </c>
      <c r="Y16" s="50"/>
      <c r="AA16" s="6">
        <f>_xlfn.IFNA(IF($E16="Robot",VLOOKUP(Y16,[1]Weapon!$B$1:$G$350,6,FALSE)/2,VLOOKUP(Y16,[1]Weapon!$B$1:$G$350,6,FALSE)),0)</f>
        <v>0</v>
      </c>
      <c r="AB16" s="50"/>
      <c r="AD16" s="6">
        <f>_xlfn.IFNA(IF($E16="Robot",VLOOKUP(AB16,[1]Weapon!$B$1:$G$350,6,FALSE)/2,VLOOKUP(AB16,[1]Weapon!$B$1:$G$350,6,FALSE)),0)</f>
        <v>0</v>
      </c>
      <c r="AE16" s="50"/>
      <c r="AG16" s="6">
        <f>_xlfn.IFNA(IF($E16="Robot",VLOOKUP(AE16,[1]Weapon!$B$1:$G$350,6,FALSE)/2,VLOOKUP(AE16,[1]Weapon!$B$1:$G$350,6,FALSE)),0)</f>
        <v>0</v>
      </c>
      <c r="AH16" s="51"/>
      <c r="AJ16" s="6">
        <f>_xlfn.IFNA(IF($E16="Robot",VLOOKUP(AH16,[1]Weapon!$B$1:$G$350,6,FALSE)/2,VLOOKUP(AH16,[1]Weapon!$B$1:$G$350,6,FALSE)),0)</f>
        <v>0</v>
      </c>
      <c r="AM16" s="6">
        <f>_xlfn.IFNA(IF($E16="Robot",VLOOKUP(AK16,[1]Weapon!$B$1:$G$350,6,FALSE)/2,VLOOKUP(AK16,[1]Weapon!$B$1:$G$350,6,FALSE)),0)</f>
        <v>0</v>
      </c>
      <c r="AO16" s="6">
        <v>0</v>
      </c>
      <c r="AP16" s="6">
        <f>_xlfn.IFNA(IF($E16="Robot",VLOOKUP(AN16,[1]Weapon!$B$1:$G$350,6,FALSE)/2,VLOOKUP(AN16,[1]Weapon!$B$1:$G$350,6,FALSE)),0)</f>
        <v>0</v>
      </c>
      <c r="AQ16" s="3"/>
      <c r="AR16" s="25"/>
      <c r="AS16">
        <f>VLOOKUP(B16,Toolkit!$Q$3:$U$22,4,FALSE)</f>
        <v>0</v>
      </c>
    </row>
    <row r="17" spans="1:45" x14ac:dyDescent="0.25">
      <c r="A17" s="83" t="str">
        <f t="shared" si="10"/>
        <v>Mr. S</v>
      </c>
      <c r="B17" s="80" t="s">
        <v>136</v>
      </c>
      <c r="C17" s="21"/>
      <c r="D17" s="80" t="s">
        <v>137</v>
      </c>
      <c r="E17" s="94" t="s">
        <v>138</v>
      </c>
      <c r="F17" s="1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50" t="str">
        <f>IF(ISBLANK(VLOOKUP($E17,[1]Monster!$A$2:$X$256,16,FALSE)),"",VLOOKUP($E17,[1]Monster!$A$2:$X$256,16,FALSE))</f>
        <v>Dissolve</v>
      </c>
      <c r="Q17" s="7">
        <v>15</v>
      </c>
      <c r="R17" s="6">
        <f>_xlfn.IFNA(IF($E17="Robot",VLOOKUP(P17,[1]Weapon!$B$1:$G$350,6,FALSE)/2,VLOOKUP(P17,[1]Weapon!$B$1:$G$350,6,FALSE)),0)</f>
        <v>15</v>
      </c>
      <c r="S17" s="50" t="str">
        <f>IF(ISBLANK(VLOOKUP($E17,[1]Monster!$A$2:$X$256,17,FALSE)),"",VLOOKUP($E17,[1]Monster!$A$2:$X$256,17,FALSE))</f>
        <v>Fire</v>
      </c>
      <c r="T17" s="6">
        <v>15</v>
      </c>
      <c r="U17" s="6">
        <f>_xlfn.IFNA(IF($E17="Robot",VLOOKUP(S17,[1]Weapon!$B$1:$G$350,6,FALSE)/2,VLOOKUP(S17,[1]Weapon!$B$1:$G$350,6,FALSE)),0)</f>
        <v>15</v>
      </c>
      <c r="V17" s="51" t="str">
        <f>IF(ISBLANK(VLOOKUP($E17,[1]Monster!$A$2:$X$256,18,FALSE)),"",VLOOKUP($E17,[1]Monster!$A$2:$X$256,18,FALSE))</f>
        <v>Cure</v>
      </c>
      <c r="W17" s="17">
        <v>15</v>
      </c>
      <c r="X17" s="6">
        <f>_xlfn.IFNA(IF($E17="Robot",VLOOKUP(V17,[1]Weapon!$B$1:$G$350,6,FALSE)/2,VLOOKUP(V17,[1]Weapon!$B$1:$G$350,6,FALSE)),0)</f>
        <v>15</v>
      </c>
      <c r="Y17" s="51"/>
      <c r="AA17" s="6">
        <f>_xlfn.IFNA(IF($E17="Robot",VLOOKUP(Y17,[1]Weapon!$B$1:$G$350,6,FALSE)/2,VLOOKUP(Y17,[1]Weapon!$B$1:$G$350,6,FALSE)),0)</f>
        <v>0</v>
      </c>
      <c r="AB17" s="50" t="str">
        <f>IF(ISBLANK(VLOOKUP($E17,[1]Monster!$A$2:$X$256,20,FALSE)),"",VLOOKUP($E17,[1]Monster!$A$2:$X$256,20,FALSE))</f>
        <v/>
      </c>
      <c r="AD17" s="6">
        <f>_xlfn.IFNA(IF($E17="Robot",VLOOKUP(AB17,[1]Weapon!$B$1:$G$350,6,FALSE)/2,VLOOKUP(AB17,[1]Weapon!$B$1:$G$350,6,FALSE)),0)</f>
        <v>0</v>
      </c>
      <c r="AE17" s="50" t="str">
        <f>IF(ISBLANK(VLOOKUP($E17,[1]Monster!$A$2:$X$256,21,FALSE)),"",VLOOKUP($E17,[1]Monster!$A$2:$X$256,21,FALSE))</f>
        <v/>
      </c>
      <c r="AG17" s="6">
        <f>_xlfn.IFNA(IF($E17="Robot",VLOOKUP(AE17,[1]Weapon!$B$1:$G$350,6,FALSE)/2,VLOOKUP(AE17,[1]Weapon!$B$1:$G$350,6,FALSE)),0)</f>
        <v>0</v>
      </c>
      <c r="AH17" s="51" t="str">
        <f>IF(ISBLANK(VLOOKUP($E17,[1]Monster!$A$2:$X$256,22,FALSE)),"",VLOOKUP($E17,[1]Monster!$A$2:$X$256,22,FALSE))</f>
        <v/>
      </c>
      <c r="AJ17" s="6">
        <f>_xlfn.IFNA(IF($E17="Robot",VLOOKUP(AH17,[1]Weapon!$B$1:$G$350,6,FALSE)/2,VLOOKUP(AH17,[1]Weapon!$B$1:$G$350,6,FALSE)),0)</f>
        <v>0</v>
      </c>
      <c r="AK17" s="39" t="str">
        <f>IF(ISBLANK(VLOOKUP($E17,[1]Monster!$A$2:$X$256,23,FALSE)),"",VLOOKUP($E17,[1]Monster!$A$2:$X$256,23,FALSE))</f>
        <v/>
      </c>
      <c r="AM17" s="6">
        <f>_xlfn.IFNA(IF($E17="Robot",VLOOKUP(AK17,[1]Weapon!$B$1:$G$350,6,FALSE)/2,VLOOKUP(AK17,[1]Weapon!$B$1:$G$350,6,FALSE)),0)</f>
        <v>0</v>
      </c>
      <c r="AO17" s="6">
        <v>0</v>
      </c>
      <c r="AP17" s="6">
        <f>_xlfn.IFNA(IF($E17="Robot",VLOOKUP(AN17,[1]Weapon!$B$1:$G$350,6,FALSE)/2,VLOOKUP(AN17,[1]Weapon!$B$1:$G$350,6,FALSE)),0)</f>
        <v>0</v>
      </c>
      <c r="AQ17" s="3"/>
      <c r="AR17" s="25"/>
      <c r="AS17">
        <v>0</v>
      </c>
    </row>
    <row r="18" spans="1:45" x14ac:dyDescent="0.25">
      <c r="B18" s="47"/>
      <c r="C18" s="21"/>
      <c r="D18" s="47"/>
      <c r="E18" s="22"/>
      <c r="F18" s="20"/>
      <c r="J18" s="4"/>
      <c r="N18" s="4"/>
      <c r="P18" s="50"/>
      <c r="S18" s="50"/>
      <c r="V18" s="50"/>
      <c r="Y18" s="50"/>
      <c r="AB18" s="52"/>
      <c r="AE18" s="50"/>
      <c r="AH18" s="51"/>
      <c r="AR18" s="25"/>
    </row>
    <row r="19" spans="1:45" x14ac:dyDescent="0.25">
      <c r="B19" s="47"/>
      <c r="C19" s="21"/>
      <c r="D19" s="47"/>
      <c r="E19" s="46"/>
      <c r="F19" s="20"/>
      <c r="J19" s="4"/>
      <c r="N19" s="4"/>
      <c r="P19" s="51"/>
      <c r="S19" s="51"/>
      <c r="V19" s="51"/>
      <c r="Y19" s="51"/>
      <c r="AB19" s="51"/>
      <c r="AR19" s="25"/>
    </row>
    <row r="20" spans="1:45" x14ac:dyDescent="0.25">
      <c r="B20" s="53"/>
      <c r="D20" s="53"/>
      <c r="E20" s="53"/>
      <c r="P20" s="52"/>
      <c r="S20" s="52"/>
      <c r="V20" s="52"/>
      <c r="Y20" s="52"/>
      <c r="AB20" s="52"/>
      <c r="AH20" s="40"/>
      <c r="AK20" s="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21</xdr:row>
                    <xdr:rowOff>66675</xdr:rowOff>
                  </from>
                  <to>
                    <xdr:col>3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U33"/>
  <sheetViews>
    <sheetView workbookViewId="0">
      <selection activeCell="T3" sqref="T3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9.85546875" customWidth="1"/>
    <col min="13" max="13" width="10.85546875" bestFit="1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105" t="s">
        <v>134</v>
      </c>
      <c r="B1" s="106"/>
      <c r="C1" s="106"/>
      <c r="D1" s="106"/>
      <c r="E1" s="106"/>
      <c r="F1" s="106"/>
      <c r="G1" s="106"/>
      <c r="H1" s="106"/>
      <c r="I1" s="107"/>
      <c r="K1" s="108" t="s">
        <v>135</v>
      </c>
      <c r="L1" s="109"/>
      <c r="M1" s="109"/>
      <c r="N1" s="109"/>
      <c r="O1" s="110"/>
      <c r="Q1" s="108" t="s">
        <v>163</v>
      </c>
      <c r="R1" s="109"/>
      <c r="S1" s="109"/>
      <c r="T1" s="109"/>
      <c r="U1" s="110"/>
    </row>
    <row r="2" spans="1:21" x14ac:dyDescent="0.2">
      <c r="A2" s="76" t="s">
        <v>40</v>
      </c>
      <c r="B2" s="77" t="s">
        <v>8</v>
      </c>
      <c r="C2" s="77" t="s">
        <v>85</v>
      </c>
      <c r="D2" s="77" t="s">
        <v>82</v>
      </c>
      <c r="E2" s="78" t="s">
        <v>79</v>
      </c>
      <c r="F2" s="78" t="s">
        <v>80</v>
      </c>
      <c r="G2" s="77" t="s">
        <v>83</v>
      </c>
      <c r="H2" s="77" t="s">
        <v>81</v>
      </c>
      <c r="I2" s="79" t="s">
        <v>86</v>
      </c>
      <c r="K2" s="69" t="s">
        <v>131</v>
      </c>
      <c r="L2" s="70" t="s">
        <v>145</v>
      </c>
      <c r="M2" s="70" t="s">
        <v>69</v>
      </c>
      <c r="N2" s="70" t="s">
        <v>132</v>
      </c>
      <c r="O2" s="71" t="s">
        <v>133</v>
      </c>
      <c r="Q2" s="69" t="s">
        <v>131</v>
      </c>
      <c r="R2" s="70" t="s">
        <v>139</v>
      </c>
      <c r="S2" s="70" t="s">
        <v>140</v>
      </c>
      <c r="T2" s="70" t="s">
        <v>164</v>
      </c>
      <c r="U2" s="71" t="s">
        <v>141</v>
      </c>
    </row>
    <row r="3" spans="1:21" ht="15" x14ac:dyDescent="0.25">
      <c r="A3" s="65"/>
      <c r="B3" s="72" t="e">
        <f>VLOOKUP(A3,Players!$B$2:$O$20,5,FALSE)</f>
        <v>#N/A</v>
      </c>
      <c r="C3" s="72" t="e">
        <f>VLOOKUP(A3,Players!$B$2:$O$20,6,FALSE)</f>
        <v>#N/A</v>
      </c>
      <c r="D3" s="72" t="e">
        <f>VLOOKUP(A3,Players!$B$2:$O$20,14,FALSE)</f>
        <v>#N/A</v>
      </c>
      <c r="E3" s="72" t="s">
        <v>84</v>
      </c>
      <c r="F3" s="72" t="s">
        <v>136</v>
      </c>
      <c r="G3" s="72">
        <f>VLOOKUP(F3,Players!$B$2:$O$20,14,FALSE)</f>
        <v>19</v>
      </c>
      <c r="H3" s="72" t="e">
        <f>IF(E3="Cure Potion",30,IF(E3="Spell",PRODUCT(4,D3+G3),0))</f>
        <v>#N/A</v>
      </c>
      <c r="I3" s="73" t="e">
        <f>IF(SUM(H3+B3)&lt;C3,SUM(H3+B3),C3)</f>
        <v>#N/A</v>
      </c>
      <c r="K3" s="66" t="s">
        <v>93</v>
      </c>
      <c r="L3" s="88" t="s">
        <v>146</v>
      </c>
      <c r="M3" s="89">
        <f ca="1">VLOOKUP($K3,INDIRECT("'"&amp;L3&amp;"'!$A$2:$F$10"),6,FALSE)</f>
        <v>34</v>
      </c>
      <c r="N3" s="72"/>
      <c r="O3" s="73"/>
      <c r="Q3" s="66" t="s">
        <v>93</v>
      </c>
      <c r="R3">
        <v>240</v>
      </c>
      <c r="S3" s="72">
        <f>VLOOKUP(L3,B$25:C$33,2,FALSE)</f>
        <v>0</v>
      </c>
      <c r="T3" s="72"/>
      <c r="U3" s="73">
        <f>S3+R3</f>
        <v>240</v>
      </c>
    </row>
    <row r="4" spans="1:21" ht="15" x14ac:dyDescent="0.25">
      <c r="A4" s="65"/>
      <c r="B4" s="72" t="e">
        <f>VLOOKUP(A4,Players!$B$2:$O$20,5,FALSE)</f>
        <v>#N/A</v>
      </c>
      <c r="C4" s="72" t="e">
        <f>VLOOKUP(A4,Players!$B$2:$O$20,6,FALSE)</f>
        <v>#N/A</v>
      </c>
      <c r="D4" s="72" t="e">
        <f>VLOOKUP(A4,Players!$B$2:$O$20,14,FALSE)</f>
        <v>#N/A</v>
      </c>
      <c r="E4" s="72" t="s">
        <v>84</v>
      </c>
      <c r="F4" s="72" t="s">
        <v>136</v>
      </c>
      <c r="G4" s="72">
        <f>VLOOKUP(F4,Players!$B$2:$O$20,14,FALSE)</f>
        <v>19</v>
      </c>
      <c r="H4" s="72" t="e">
        <f>IF(E4="Cure Potion",30,IF(E4="Spell",PRODUCT(4,D4+G4),0))</f>
        <v>#N/A</v>
      </c>
      <c r="I4" s="73" t="e">
        <f>IF(SUM(H4+B4)&lt;C4,SUM(H4+B4),C4)</f>
        <v>#N/A</v>
      </c>
      <c r="K4" s="66" t="s">
        <v>94</v>
      </c>
      <c r="L4" s="88" t="s">
        <v>149</v>
      </c>
      <c r="M4" s="89">
        <f t="shared" ref="M4:M17" ca="1" si="0">VLOOKUP($K4,INDIRECT("'"&amp;L4&amp;"'!$A$2:$F$10"),6,FALSE)</f>
        <v>52</v>
      </c>
      <c r="N4" s="72"/>
      <c r="O4" s="73"/>
      <c r="Q4" s="66" t="s">
        <v>94</v>
      </c>
      <c r="R4">
        <v>234</v>
      </c>
      <c r="S4" s="72">
        <f>VLOOKUP(L4,B$25:C$33,2,FALSE)</f>
        <v>0</v>
      </c>
      <c r="T4" s="72"/>
      <c r="U4" s="73">
        <f t="shared" ref="U4:U17" si="1">S4+R4</f>
        <v>234</v>
      </c>
    </row>
    <row r="5" spans="1:21" ht="15" x14ac:dyDescent="0.25">
      <c r="A5" s="65"/>
      <c r="B5" s="72"/>
      <c r="C5" s="72"/>
      <c r="D5" s="72"/>
      <c r="E5" s="72"/>
      <c r="F5" s="72"/>
      <c r="G5" s="72"/>
      <c r="H5" s="72"/>
      <c r="I5" s="73"/>
      <c r="K5" s="66" t="s">
        <v>98</v>
      </c>
      <c r="L5" s="88" t="s">
        <v>147</v>
      </c>
      <c r="M5" s="89">
        <f t="shared" ca="1" si="0"/>
        <v>45</v>
      </c>
      <c r="N5" s="72"/>
      <c r="O5" s="73"/>
      <c r="Q5" s="66" t="s">
        <v>98</v>
      </c>
      <c r="R5">
        <v>225</v>
      </c>
      <c r="S5" s="72">
        <f t="shared" ref="S5:S17" si="2">VLOOKUP(L5,B$25:C$33,2,FALSE)</f>
        <v>0</v>
      </c>
      <c r="T5" s="72"/>
      <c r="U5" s="73">
        <f t="shared" si="1"/>
        <v>225</v>
      </c>
    </row>
    <row r="6" spans="1:21" ht="15" x14ac:dyDescent="0.25">
      <c r="A6" s="65"/>
      <c r="B6" s="72"/>
      <c r="C6" s="72"/>
      <c r="D6" s="72"/>
      <c r="E6" s="72"/>
      <c r="F6" s="72"/>
      <c r="G6" s="72"/>
      <c r="H6" s="72"/>
      <c r="I6" s="73"/>
      <c r="K6" s="66" t="s">
        <v>99</v>
      </c>
      <c r="L6" s="88" t="s">
        <v>149</v>
      </c>
      <c r="M6" s="89">
        <f t="shared" ca="1" si="0"/>
        <v>62</v>
      </c>
      <c r="N6" s="72"/>
      <c r="O6" s="73"/>
      <c r="Q6" s="66" t="s">
        <v>99</v>
      </c>
      <c r="R6">
        <v>234</v>
      </c>
      <c r="S6" s="72">
        <f t="shared" si="2"/>
        <v>0</v>
      </c>
      <c r="T6" s="72"/>
      <c r="U6" s="73">
        <f t="shared" si="1"/>
        <v>234</v>
      </c>
    </row>
    <row r="7" spans="1:21" ht="15" x14ac:dyDescent="0.25">
      <c r="A7" s="65"/>
      <c r="B7" s="72"/>
      <c r="C7" s="72"/>
      <c r="D7" s="72"/>
      <c r="E7" s="72"/>
      <c r="F7" s="72"/>
      <c r="G7" s="72"/>
      <c r="H7" s="72"/>
      <c r="I7" s="73"/>
      <c r="K7" s="66" t="s">
        <v>76</v>
      </c>
      <c r="L7" s="88" t="s">
        <v>147</v>
      </c>
      <c r="M7" s="89">
        <f t="shared" ca="1" si="0"/>
        <v>52</v>
      </c>
      <c r="N7" s="72"/>
      <c r="O7" s="73"/>
      <c r="Q7" s="66" t="s">
        <v>76</v>
      </c>
      <c r="R7">
        <v>225</v>
      </c>
      <c r="S7" s="72">
        <f t="shared" si="2"/>
        <v>0</v>
      </c>
      <c r="T7" s="72"/>
      <c r="U7" s="73">
        <f t="shared" si="1"/>
        <v>225</v>
      </c>
    </row>
    <row r="8" spans="1:21" ht="15" x14ac:dyDescent="0.25">
      <c r="A8" s="65"/>
      <c r="B8" s="72"/>
      <c r="C8" s="72"/>
      <c r="D8" s="72"/>
      <c r="E8" s="72"/>
      <c r="F8" s="72"/>
      <c r="G8" s="72"/>
      <c r="H8" s="72"/>
      <c r="I8" s="73"/>
      <c r="K8" s="67" t="s">
        <v>102</v>
      </c>
      <c r="L8" s="88" t="s">
        <v>147</v>
      </c>
      <c r="M8" s="89">
        <f t="shared" ca="1" si="0"/>
        <v>38</v>
      </c>
      <c r="N8" s="72"/>
      <c r="O8" s="73"/>
      <c r="Q8" s="67" t="s">
        <v>102</v>
      </c>
      <c r="R8">
        <v>225</v>
      </c>
      <c r="S8" s="72">
        <f t="shared" si="2"/>
        <v>0</v>
      </c>
      <c r="T8" s="72"/>
      <c r="U8" s="73">
        <f t="shared" si="1"/>
        <v>225</v>
      </c>
    </row>
    <row r="9" spans="1:21" ht="15" x14ac:dyDescent="0.25">
      <c r="A9" s="65"/>
      <c r="B9" s="72"/>
      <c r="C9" s="72"/>
      <c r="D9" s="72"/>
      <c r="E9" s="72"/>
      <c r="F9" s="72"/>
      <c r="G9" s="72"/>
      <c r="H9" s="72"/>
      <c r="I9" s="73"/>
      <c r="K9" s="67" t="s">
        <v>106</v>
      </c>
      <c r="L9" s="88" t="s">
        <v>149</v>
      </c>
      <c r="M9" s="89">
        <f t="shared" ca="1" si="0"/>
        <v>59</v>
      </c>
      <c r="N9" s="72"/>
      <c r="O9" s="73"/>
      <c r="Q9" s="67" t="s">
        <v>106</v>
      </c>
      <c r="R9">
        <v>234</v>
      </c>
      <c r="S9" s="72">
        <f t="shared" si="2"/>
        <v>0</v>
      </c>
      <c r="T9" s="72"/>
      <c r="U9" s="73">
        <f t="shared" si="1"/>
        <v>234</v>
      </c>
    </row>
    <row r="10" spans="1:21" ht="15" x14ac:dyDescent="0.25">
      <c r="A10" s="65"/>
      <c r="B10" s="72"/>
      <c r="C10" s="72"/>
      <c r="D10" s="72"/>
      <c r="E10" s="72"/>
      <c r="F10" s="72"/>
      <c r="G10" s="72"/>
      <c r="H10" s="72"/>
      <c r="I10" s="73"/>
      <c r="K10" s="67" t="s">
        <v>108</v>
      </c>
      <c r="L10" s="88" t="s">
        <v>146</v>
      </c>
      <c r="M10" s="89">
        <f t="shared" ca="1" si="0"/>
        <v>52</v>
      </c>
      <c r="N10" s="72"/>
      <c r="O10" s="73"/>
      <c r="Q10" s="67" t="s">
        <v>108</v>
      </c>
      <c r="R10">
        <v>240</v>
      </c>
      <c r="S10" s="72">
        <f t="shared" si="2"/>
        <v>0</v>
      </c>
      <c r="T10" s="72"/>
      <c r="U10" s="73">
        <f t="shared" si="1"/>
        <v>240</v>
      </c>
    </row>
    <row r="11" spans="1:21" ht="15.75" thickBot="1" x14ac:dyDescent="0.3">
      <c r="A11" s="64"/>
      <c r="B11" s="74"/>
      <c r="C11" s="74"/>
      <c r="D11" s="74"/>
      <c r="E11" s="74"/>
      <c r="F11" s="74"/>
      <c r="G11" s="74"/>
      <c r="H11" s="74"/>
      <c r="I11" s="75"/>
      <c r="K11" s="67" t="s">
        <v>110</v>
      </c>
      <c r="L11" s="88" t="s">
        <v>148</v>
      </c>
      <c r="M11" s="89">
        <f t="shared" ca="1" si="0"/>
        <v>4</v>
      </c>
      <c r="N11" s="72"/>
      <c r="O11" s="73"/>
      <c r="Q11" s="67" t="s">
        <v>110</v>
      </c>
      <c r="R11">
        <v>299</v>
      </c>
      <c r="S11" s="72">
        <f t="shared" si="2"/>
        <v>0</v>
      </c>
      <c r="T11" s="72"/>
      <c r="U11" s="73">
        <f t="shared" si="1"/>
        <v>299</v>
      </c>
    </row>
    <row r="12" spans="1:21" ht="15" x14ac:dyDescent="0.25">
      <c r="K12" s="67" t="s">
        <v>74</v>
      </c>
      <c r="L12" s="88" t="s">
        <v>146</v>
      </c>
      <c r="M12" s="89">
        <f t="shared" ca="1" si="0"/>
        <v>45</v>
      </c>
      <c r="N12" s="72"/>
      <c r="O12" s="73"/>
      <c r="Q12" s="67" t="s">
        <v>74</v>
      </c>
      <c r="R12">
        <v>240</v>
      </c>
      <c r="S12" s="72">
        <f t="shared" si="2"/>
        <v>0</v>
      </c>
      <c r="T12" s="72"/>
      <c r="U12" s="73">
        <f t="shared" si="1"/>
        <v>240</v>
      </c>
    </row>
    <row r="13" spans="1:21" ht="15" x14ac:dyDescent="0.25">
      <c r="K13" s="67" t="s">
        <v>115</v>
      </c>
      <c r="L13" s="88" t="s">
        <v>149</v>
      </c>
      <c r="M13" s="89">
        <f t="shared" ca="1" si="0"/>
        <v>57</v>
      </c>
      <c r="N13" s="72"/>
      <c r="O13" s="73"/>
      <c r="Q13" s="67" t="s">
        <v>115</v>
      </c>
      <c r="R13">
        <v>234</v>
      </c>
      <c r="S13" s="72">
        <f t="shared" si="2"/>
        <v>0</v>
      </c>
      <c r="T13" s="72"/>
      <c r="U13" s="73">
        <f t="shared" si="1"/>
        <v>234</v>
      </c>
    </row>
    <row r="14" spans="1:21" ht="15" x14ac:dyDescent="0.25">
      <c r="K14" s="67" t="s">
        <v>118</v>
      </c>
      <c r="L14" s="88" t="s">
        <v>146</v>
      </c>
      <c r="M14" s="89">
        <f t="shared" ca="1" si="0"/>
        <v>42</v>
      </c>
      <c r="N14" s="72" t="s">
        <v>125</v>
      </c>
      <c r="O14" s="73"/>
      <c r="Q14" s="67" t="s">
        <v>118</v>
      </c>
      <c r="R14">
        <v>240</v>
      </c>
      <c r="S14" s="72">
        <f t="shared" si="2"/>
        <v>0</v>
      </c>
      <c r="T14" s="72"/>
      <c r="U14" s="73">
        <f t="shared" si="1"/>
        <v>240</v>
      </c>
    </row>
    <row r="15" spans="1:21" ht="15" x14ac:dyDescent="0.25">
      <c r="K15" s="67" t="s">
        <v>120</v>
      </c>
      <c r="L15" s="88" t="s">
        <v>148</v>
      </c>
      <c r="M15" s="89">
        <f t="shared" ca="1" si="0"/>
        <v>45</v>
      </c>
      <c r="N15" s="72"/>
      <c r="O15" s="73"/>
      <c r="Q15" s="67" t="s">
        <v>120</v>
      </c>
      <c r="R15">
        <v>299</v>
      </c>
      <c r="S15" s="72">
        <f t="shared" si="2"/>
        <v>0</v>
      </c>
      <c r="T15" s="72"/>
      <c r="U15" s="73">
        <f t="shared" si="1"/>
        <v>299</v>
      </c>
    </row>
    <row r="16" spans="1:21" ht="15" x14ac:dyDescent="0.25">
      <c r="K16" s="68" t="s">
        <v>128</v>
      </c>
      <c r="L16" s="88" t="s">
        <v>147</v>
      </c>
      <c r="M16" s="89">
        <f t="shared" ca="1" si="0"/>
        <v>52</v>
      </c>
      <c r="N16" s="72"/>
      <c r="O16" s="73"/>
      <c r="Q16" s="68" t="s">
        <v>128</v>
      </c>
      <c r="R16">
        <v>225</v>
      </c>
      <c r="S16" s="72">
        <f t="shared" si="2"/>
        <v>0</v>
      </c>
      <c r="T16" s="72"/>
      <c r="U16" s="73">
        <f t="shared" si="1"/>
        <v>225</v>
      </c>
    </row>
    <row r="17" spans="1:21" ht="15" x14ac:dyDescent="0.25">
      <c r="K17" s="68" t="s">
        <v>126</v>
      </c>
      <c r="L17" s="88" t="s">
        <v>148</v>
      </c>
      <c r="M17" s="89">
        <f t="shared" ca="1" si="0"/>
        <v>53</v>
      </c>
      <c r="N17" s="72"/>
      <c r="O17" s="73"/>
      <c r="Q17" s="68" t="s">
        <v>126</v>
      </c>
      <c r="R17">
        <v>299</v>
      </c>
      <c r="S17" s="72">
        <f t="shared" si="2"/>
        <v>0</v>
      </c>
      <c r="T17" s="72"/>
      <c r="U17" s="73">
        <f t="shared" si="1"/>
        <v>299</v>
      </c>
    </row>
    <row r="18" spans="1:21" x14ac:dyDescent="0.2">
      <c r="K18" s="65"/>
      <c r="L18" s="84"/>
      <c r="M18" s="84"/>
      <c r="N18" s="72"/>
      <c r="O18" s="73"/>
      <c r="Q18" s="65"/>
      <c r="R18" s="72"/>
      <c r="S18" s="72"/>
      <c r="T18" s="72"/>
      <c r="U18" s="73"/>
    </row>
    <row r="19" spans="1:21" x14ac:dyDescent="0.2">
      <c r="K19" s="65"/>
      <c r="L19" s="84"/>
      <c r="M19" s="84"/>
      <c r="N19" s="72"/>
      <c r="O19" s="73"/>
      <c r="Q19" s="65"/>
      <c r="R19" s="72"/>
      <c r="S19" s="72"/>
      <c r="T19" s="72"/>
      <c r="U19" s="73"/>
    </row>
    <row r="20" spans="1:21" x14ac:dyDescent="0.2">
      <c r="K20" s="65"/>
      <c r="L20" s="84"/>
      <c r="M20" s="84"/>
      <c r="N20" s="72"/>
      <c r="O20" s="73"/>
      <c r="Q20" s="65"/>
      <c r="R20" s="72"/>
      <c r="S20" s="72"/>
      <c r="T20" s="72"/>
      <c r="U20" s="73"/>
    </row>
    <row r="21" spans="1:21" x14ac:dyDescent="0.2">
      <c r="K21" s="65"/>
      <c r="L21" s="84"/>
      <c r="M21" s="84"/>
      <c r="N21" s="72"/>
      <c r="O21" s="73"/>
      <c r="Q21" s="65"/>
      <c r="R21" s="72"/>
      <c r="S21" s="72"/>
      <c r="T21" s="72"/>
      <c r="U21" s="73"/>
    </row>
    <row r="22" spans="1:21" ht="13.5" thickBot="1" x14ac:dyDescent="0.25">
      <c r="K22" s="64"/>
      <c r="L22" s="85"/>
      <c r="M22" s="85"/>
      <c r="N22" s="74"/>
      <c r="O22" s="75"/>
      <c r="Q22" s="64"/>
      <c r="R22" s="74"/>
      <c r="S22" s="74"/>
      <c r="T22" s="74"/>
      <c r="U22" s="75"/>
    </row>
    <row r="24" spans="1:21" x14ac:dyDescent="0.2">
      <c r="A24" t="s">
        <v>162</v>
      </c>
      <c r="B24" t="s">
        <v>161</v>
      </c>
      <c r="C24" t="s">
        <v>160</v>
      </c>
    </row>
    <row r="25" spans="1:21" x14ac:dyDescent="0.2">
      <c r="A25">
        <v>4</v>
      </c>
      <c r="B25" t="str">
        <f>INDEX(SheetNames,A25)</f>
        <v>Alpha</v>
      </c>
    </row>
    <row r="26" spans="1:21" x14ac:dyDescent="0.2">
      <c r="A26">
        <v>5</v>
      </c>
      <c r="B26" t="str">
        <f t="shared" ref="B26:B33" si="3">INDEX(SheetNames,A26)</f>
        <v>Gamma</v>
      </c>
    </row>
    <row r="27" spans="1:21" x14ac:dyDescent="0.2">
      <c r="A27">
        <v>6</v>
      </c>
      <c r="B27" t="str">
        <f t="shared" si="3"/>
        <v>Zeta</v>
      </c>
    </row>
    <row r="28" spans="1:21" x14ac:dyDescent="0.2">
      <c r="A28">
        <v>7</v>
      </c>
      <c r="B28" t="str">
        <f t="shared" si="3"/>
        <v>Omega</v>
      </c>
    </row>
    <row r="29" spans="1:21" x14ac:dyDescent="0.2">
      <c r="A29">
        <v>8</v>
      </c>
      <c r="B29" t="e">
        <f>INDEX(SheetNames,A29)</f>
        <v>#REF!</v>
      </c>
    </row>
    <row r="30" spans="1:21" x14ac:dyDescent="0.2">
      <c r="A30">
        <v>9</v>
      </c>
      <c r="B30" t="e">
        <f t="shared" si="3"/>
        <v>#REF!</v>
      </c>
    </row>
    <row r="31" spans="1:21" x14ac:dyDescent="0.2">
      <c r="A31">
        <v>10</v>
      </c>
      <c r="B31" t="e">
        <f t="shared" si="3"/>
        <v>#REF!</v>
      </c>
    </row>
    <row r="32" spans="1:21" x14ac:dyDescent="0.2">
      <c r="A32">
        <v>11</v>
      </c>
      <c r="B32" t="e">
        <f t="shared" si="3"/>
        <v>#REF!</v>
      </c>
    </row>
    <row r="33" spans="1:2" x14ac:dyDescent="0.2">
      <c r="A33">
        <v>12</v>
      </c>
      <c r="B33" t="e">
        <f t="shared" si="3"/>
        <v>#REF!</v>
      </c>
    </row>
  </sheetData>
  <mergeCells count="3">
    <mergeCell ref="A1:I1"/>
    <mergeCell ref="K1:O1"/>
    <mergeCell ref="Q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9"/>
  <sheetViews>
    <sheetView workbookViewId="0">
      <selection activeCell="C10" sqref="C10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v>42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v>34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v>52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v>45</v>
      </c>
      <c r="K5">
        <f>IF(NOT($B5="Enemy"),VLOOKUP($A5,Toolkit!$K$2:$O$37,4,FALSE),"")</f>
        <v>0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143</v>
      </c>
      <c r="L6" t="s">
        <v>129</v>
      </c>
    </row>
    <row r="7" spans="1:22" x14ac:dyDescent="0.2">
      <c r="A7" t="s">
        <v>3</v>
      </c>
      <c r="B7" t="s">
        <v>17</v>
      </c>
      <c r="C7">
        <v>1</v>
      </c>
    </row>
    <row r="8" spans="1:22" x14ac:dyDescent="0.2">
      <c r="A8" t="s">
        <v>154</v>
      </c>
      <c r="B8" t="s">
        <v>17</v>
      </c>
      <c r="C8">
        <v>1</v>
      </c>
    </row>
    <row r="9" spans="1:22" x14ac:dyDescent="0.2">
      <c r="A9" t="s">
        <v>130</v>
      </c>
      <c r="B9" t="s">
        <v>17</v>
      </c>
      <c r="C9">
        <v>1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C8" sqref="C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v>38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v>52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v>45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v>52</v>
      </c>
      <c r="K5">
        <f>IF(NOT($B5="Enemy"),VLOOKUP($A5,Toolkit!$K$2:$O$37,4,FALSE),"")</f>
        <v>0</v>
      </c>
      <c r="L5" t="s">
        <v>153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155</v>
      </c>
      <c r="L6" t="s">
        <v>3</v>
      </c>
    </row>
    <row r="7" spans="1:22" x14ac:dyDescent="0.2">
      <c r="A7" t="s">
        <v>159</v>
      </c>
      <c r="B7" t="s">
        <v>17</v>
      </c>
      <c r="C7">
        <v>3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7"/>
  <sheetViews>
    <sheetView workbookViewId="0">
      <selection activeCell="D8" sqref="D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v>57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106</v>
      </c>
      <c r="B4" t="s">
        <v>16</v>
      </c>
      <c r="C4">
        <v>1</v>
      </c>
      <c r="D4">
        <v>3</v>
      </c>
      <c r="F4">
        <v>59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94</v>
      </c>
      <c r="B5" t="s">
        <v>16</v>
      </c>
      <c r="C5">
        <v>1</v>
      </c>
      <c r="D5">
        <v>4</v>
      </c>
      <c r="F5">
        <v>52</v>
      </c>
      <c r="K5">
        <f>IF(NOT($B5="Enemy"),VLOOKUP($A5,Toolkit!$K$2:$O$37,4,FALSE),"")</f>
        <v>0</v>
      </c>
      <c r="L5">
        <f>IF(NOT($B5="Enemy"),VLOOKUP($A5,Toolkit!$K$2:$O$37,5,FALSE),"")</f>
        <v>0</v>
      </c>
    </row>
    <row r="6" spans="1:22" x14ac:dyDescent="0.2">
      <c r="A6" t="s">
        <v>136</v>
      </c>
      <c r="B6" t="s">
        <v>137</v>
      </c>
      <c r="C6">
        <v>1</v>
      </c>
      <c r="D6">
        <v>5</v>
      </c>
      <c r="K6" t="s">
        <v>143</v>
      </c>
      <c r="L6" t="s">
        <v>158</v>
      </c>
    </row>
    <row r="7" spans="1:22" x14ac:dyDescent="0.2">
      <c r="A7" t="s">
        <v>159</v>
      </c>
      <c r="B7" t="s">
        <v>17</v>
      </c>
      <c r="C7">
        <v>4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8"/>
  <sheetViews>
    <sheetView workbookViewId="0">
      <selection activeCell="A9" sqref="A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v>53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v>45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v>4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136</v>
      </c>
      <c r="B5" t="s">
        <v>137</v>
      </c>
      <c r="C5">
        <v>1</v>
      </c>
      <c r="D5">
        <v>4</v>
      </c>
      <c r="K5" t="s">
        <v>143</v>
      </c>
      <c r="L5" t="s">
        <v>3</v>
      </c>
    </row>
    <row r="6" spans="1:22" x14ac:dyDescent="0.2">
      <c r="A6" t="s">
        <v>158</v>
      </c>
      <c r="B6" t="s">
        <v>17</v>
      </c>
      <c r="C6">
        <v>1</v>
      </c>
    </row>
    <row r="7" spans="1:22" x14ac:dyDescent="0.2">
      <c r="A7" t="s">
        <v>130</v>
      </c>
      <c r="B7" t="s">
        <v>17</v>
      </c>
      <c r="C7">
        <v>1</v>
      </c>
    </row>
    <row r="8" spans="1:22" x14ac:dyDescent="0.2">
      <c r="A8" t="s">
        <v>129</v>
      </c>
      <c r="B8" t="s">
        <v>17</v>
      </c>
      <c r="C8">
        <v>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2020-01-16T03:11:45Z</dcterms:modified>
</cp:coreProperties>
</file>