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5D264AC1-829B-4CCC-AE55-C521FAF71C19}" xr6:coauthVersionLast="45" xr6:coauthVersionMax="45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oolkit" sheetId="30" r:id="rId2"/>
    <sheet name="Template" sheetId="1" r:id="rId3"/>
    <sheet name="Below the Law" sheetId="31" r:id="rId4"/>
    <sheet name="Below the Law - Ambush" sheetId="37" r:id="rId5"/>
    <sheet name="On Deadl-E Ground 1" sheetId="32" r:id="rId6"/>
    <sheet name="On Deadl-E Ground 2" sheetId="36" r:id="rId7"/>
    <sheet name="Dark Territory" sheetId="33" r:id="rId8"/>
    <sheet name="Tankbot" sheetId="35" r:id="rId9"/>
  </sheets>
  <externalReferences>
    <externalReference r:id="rId10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8" i="33" l="1"/>
  <c r="L8" i="33"/>
  <c r="L12" i="33" l="1"/>
  <c r="K12" i="33"/>
  <c r="L9" i="33"/>
  <c r="K9" i="33"/>
  <c r="L2" i="37" l="1"/>
  <c r="K2" i="37"/>
  <c r="F2" i="37"/>
  <c r="R27" i="30"/>
  <c r="R26" i="30"/>
  <c r="R28" i="30"/>
  <c r="L4" i="36" l="1"/>
  <c r="K4" i="36"/>
  <c r="F4" i="36"/>
  <c r="L3" i="36"/>
  <c r="K3" i="36"/>
  <c r="F3" i="36"/>
  <c r="L2" i="36"/>
  <c r="K2" i="36"/>
  <c r="F2" i="36"/>
  <c r="O20" i="16" l="1"/>
  <c r="O19" i="16"/>
  <c r="M20" i="16"/>
  <c r="M19" i="16"/>
  <c r="K19" i="16"/>
  <c r="K20" i="16"/>
  <c r="I19" i="16"/>
  <c r="I20" i="16"/>
  <c r="U19" i="16"/>
  <c r="U20" i="16"/>
  <c r="R19" i="16"/>
  <c r="R20" i="16"/>
  <c r="R29" i="30"/>
  <c r="A20" i="16" l="1"/>
  <c r="A19" i="16"/>
  <c r="L3" i="35"/>
  <c r="K3" i="35"/>
  <c r="L2" i="35"/>
  <c r="K2" i="35"/>
  <c r="F2" i="35"/>
  <c r="F3" i="32" l="1"/>
  <c r="F2" i="32"/>
  <c r="F2" i="31"/>
  <c r="H3" i="30"/>
  <c r="K5" i="33" l="1"/>
  <c r="L5" i="33"/>
  <c r="K6" i="33"/>
  <c r="L6" i="33"/>
  <c r="K7" i="33"/>
  <c r="L7" i="33"/>
  <c r="K3" i="32"/>
  <c r="L3" i="32"/>
  <c r="X18" i="16" l="1"/>
  <c r="AS18" i="16"/>
  <c r="AP18" i="16"/>
  <c r="AM18" i="16"/>
  <c r="AJ18" i="16"/>
  <c r="AG18" i="16"/>
  <c r="AD18" i="16"/>
  <c r="AA18" i="16"/>
  <c r="U18" i="16"/>
  <c r="R18" i="16"/>
  <c r="O18" i="16"/>
  <c r="M18" i="16"/>
  <c r="K18" i="16"/>
  <c r="I18" i="16"/>
  <c r="A18" i="16" l="1"/>
  <c r="O16" i="16"/>
  <c r="M16" i="16"/>
  <c r="K16" i="16"/>
  <c r="I16" i="16"/>
  <c r="O13" i="16"/>
  <c r="M13" i="16"/>
  <c r="K13" i="16"/>
  <c r="I13" i="16"/>
  <c r="O12" i="16"/>
  <c r="M12" i="16"/>
  <c r="K12" i="16"/>
  <c r="I12" i="16"/>
  <c r="I7" i="16"/>
  <c r="K7" i="16"/>
  <c r="M7" i="16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K3" i="33" l="1"/>
  <c r="L3" i="33"/>
  <c r="K4" i="33"/>
  <c r="L4" i="33"/>
  <c r="K2" i="31"/>
  <c r="L2" i="31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R30" i="30"/>
  <c r="M8" i="30"/>
  <c r="M9" i="30"/>
  <c r="M6" i="30"/>
  <c r="M11" i="30"/>
  <c r="M12" i="30"/>
  <c r="M14" i="30"/>
  <c r="M17" i="30"/>
  <c r="M13" i="30"/>
  <c r="M10" i="30"/>
  <c r="M16" i="30"/>
  <c r="M3" i="30"/>
  <c r="M15" i="30"/>
  <c r="M5" i="30"/>
  <c r="M7" i="30"/>
  <c r="M4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L11" i="16" l="1"/>
  <c r="M11" i="16" s="1"/>
  <c r="L2" i="33" l="1"/>
  <c r="K2" i="33"/>
  <c r="K2" i="32"/>
  <c r="L2" i="32"/>
  <c r="R31" i="30"/>
  <c r="R32" i="30"/>
  <c r="R33" i="30"/>
  <c r="S18" i="30" l="1"/>
  <c r="U18" i="30" s="1"/>
  <c r="S11" i="30"/>
  <c r="U11" i="30" s="1"/>
  <c r="S4" i="30"/>
  <c r="U4" i="30" s="1"/>
  <c r="S12" i="30"/>
  <c r="U12" i="30" s="1"/>
  <c r="S10" i="30"/>
  <c r="U10" i="30" s="1"/>
  <c r="S5" i="30"/>
  <c r="U5" i="30" s="1"/>
  <c r="S13" i="30"/>
  <c r="U13" i="30" s="1"/>
  <c r="S6" i="30"/>
  <c r="U6" i="30" s="1"/>
  <c r="S14" i="30"/>
  <c r="U14" i="30" s="1"/>
  <c r="S7" i="30"/>
  <c r="U7" i="30" s="1"/>
  <c r="S15" i="30"/>
  <c r="U15" i="30" s="1"/>
  <c r="S8" i="30"/>
  <c r="U8" i="30" s="1"/>
  <c r="S16" i="30"/>
  <c r="U16" i="30" s="1"/>
  <c r="S9" i="30"/>
  <c r="U9" i="30" s="1"/>
  <c r="S17" i="30"/>
  <c r="U17" i="30" s="1"/>
  <c r="S3" i="30"/>
  <c r="U3" i="30" s="1"/>
  <c r="B4" i="30"/>
  <c r="B3" i="30" l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10" i="30" l="1"/>
  <c r="G5" i="30"/>
  <c r="G9" i="30"/>
  <c r="G6" i="30"/>
  <c r="G8" i="30"/>
  <c r="K3" i="1"/>
  <c r="L3" i="1"/>
  <c r="K4" i="1"/>
  <c r="L4" i="1"/>
  <c r="L2" i="1"/>
  <c r="K2" i="1"/>
  <c r="H8" i="30" l="1"/>
  <c r="I8" i="30" s="1"/>
  <c r="H6" i="30"/>
  <c r="I6" i="30" s="1"/>
  <c r="H5" i="30"/>
  <c r="I5" i="30" s="1"/>
  <c r="H10" i="30"/>
  <c r="I10" i="30" s="1"/>
  <c r="H9" i="30"/>
  <c r="I9" i="30" s="1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O11" i="16"/>
  <c r="G7" i="30" s="1"/>
  <c r="I11" i="16"/>
  <c r="O10" i="16"/>
  <c r="M10" i="16"/>
  <c r="I10" i="16"/>
  <c r="O9" i="16"/>
  <c r="M9" i="16"/>
  <c r="M8" i="16"/>
  <c r="I9" i="16"/>
  <c r="O8" i="16"/>
  <c r="I8" i="16"/>
  <c r="O7" i="16"/>
  <c r="H7" i="30" l="1"/>
  <c r="I7" i="30" s="1"/>
  <c r="O6" i="16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M2" i="16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M2" i="16"/>
  <c r="K2" i="16"/>
  <c r="I2" i="16"/>
  <c r="G2" i="16"/>
  <c r="C4" i="30" s="1"/>
  <c r="D4" i="30" l="1"/>
  <c r="G4" i="30"/>
  <c r="A17" i="16"/>
  <c r="A16" i="16"/>
  <c r="A15" i="16"/>
  <c r="A14" i="16"/>
  <c r="A13" i="16"/>
  <c r="H4" i="30" l="1"/>
  <c r="I4" i="30" s="1"/>
  <c r="G3" i="30"/>
  <c r="D3" i="30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G16" i="16" l="1"/>
  <c r="C3" i="30" s="1"/>
  <c r="I3" i="30" s="1"/>
  <c r="K10" i="16"/>
  <c r="K15" i="16"/>
  <c r="K8" i="16"/>
  <c r="G13" i="16"/>
  <c r="G7" i="16"/>
  <c r="K4" i="16"/>
  <c r="G12" i="16"/>
  <c r="K3" i="16"/>
  <c r="K11" i="16"/>
  <c r="K9" i="16"/>
  <c r="K6" i="16"/>
</calcChain>
</file>

<file path=xl/sharedStrings.xml><?xml version="1.0" encoding="utf-8"?>
<sst xmlns="http://schemas.openxmlformats.org/spreadsheetml/2006/main" count="579" uniqueCount="189">
  <si>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</si>
  <si>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</si>
  <si>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</si>
  <si>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</si>
  <si>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</si>
  <si>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</si>
  <si>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</si>
  <si>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</si>
  <si>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</si>
  <si>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</si>
  <si>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</si>
  <si>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</si>
  <si>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</si>
  <si>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</si>
  <si>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</si>
  <si>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</si>
  <si>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</si>
  <si>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</si>
  <si>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</si>
  <si>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</si>
  <si>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</si>
  <si>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</si>
  <si>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</si>
  <si>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</si>
  <si>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</si>
  <si>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</si>
  <si>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</si>
  <si>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</si>
  <si>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</si>
  <si>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</si>
  <si>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</si>
  <si>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</si>
  <si>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</si>
  <si>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</si>
  <si>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</si>
  <si>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</si>
  <si>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</si>
  <si>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</si>
  <si>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</si>
  <si>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</si>
  <si>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</si>
  <si>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</si>
  <si>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</si>
  <si>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</si>
  <si>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</si>
  <si>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</si>
  <si>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</si>
  <si>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</si>
  <si>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</si>
  <si>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</si>
  <si>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</si>
  <si>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</si>
  <si>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</si>
  <si>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</si>
  <si>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</si>
  <si>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</si>
  <si>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</si>
  <si>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</si>
  <si>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</si>
  <si>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</si>
  <si>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</si>
  <si>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</si>
  <si>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</si>
  <si>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</si>
  <si>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</si>
  <si>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</si>
  <si>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</si>
  <si>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</si>
  <si>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</si>
  <si>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</si>
  <si>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</si>
  <si>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</si>
  <si>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</si>
  <si>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</si>
  <si>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</si>
  <si>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</si>
  <si>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</si>
  <si>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</si>
  <si>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</si>
  <si>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</si>
  <si>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</si>
  <si>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</si>
  <si>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</si>
  <si>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</si>
  <si>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</si>
  <si>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</si>
  <si>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</si>
  <si>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</si>
  <si>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</si>
  <si>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</si>
  <si>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</si>
  <si>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</si>
  <si>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</si>
  <si>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</si>
  <si>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</si>
  <si>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</si>
  <si>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</si>
  <si>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</si>
  <si>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</si>
  <si>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</si>
  <si>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</si>
  <si>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</si>
  <si>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</si>
  <si>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</si>
  <si>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</si>
  <si>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</si>
  <si>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</si>
  <si>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</si>
  <si>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</si>
  <si>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</si>
  <si>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</si>
  <si>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</si>
  <si>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</si>
  <si>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</si>
  <si>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</si>
  <si>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</si>
  <si>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</si>
  <si>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</si>
  <si>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</si>
  <si>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</si>
  <si>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</si>
  <si>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</si>
  <si>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</si>
  <si>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</si>
  <si>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</si>
  <si>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</si>
  <si>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</si>
  <si>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</si>
  <si>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</si>
  <si>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</si>
  <si>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</si>
  <si>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</si>
  <si>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</si>
  <si>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</si>
  <si>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</si>
  <si>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</si>
  <si>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</si>
  <si>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</si>
  <si>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</si>
  <si>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</si>
  <si>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</si>
  <si>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</si>
  <si>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</si>
  <si>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</si>
  <si>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</si>
  <si>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</si>
  <si>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</si>
  <si>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</si>
  <si>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</si>
  <si>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</si>
  <si>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</si>
  <si>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</si>
  <si>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</si>
  <si>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</si>
  <si>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</si>
  <si>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</si>
  <si>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</si>
  <si>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</si>
  <si>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</si>
  <si>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Cure Potion - 4, Vitamin B - 3</t>
  </si>
  <si>
    <t>Below the Law</t>
  </si>
  <si>
    <t>Dark Territory</t>
  </si>
  <si>
    <t>None</t>
  </si>
  <si>
    <t>Strike - 70</t>
  </si>
  <si>
    <t>Ella</t>
  </si>
  <si>
    <t>Vince</t>
  </si>
  <si>
    <t>Cure Potion - 2, Cure Potion - 4</t>
  </si>
  <si>
    <t>Cure Potion - 3, Cure Potion - 4</t>
  </si>
  <si>
    <t>On Deadl-E Ground 2</t>
  </si>
  <si>
    <t>On Deadl-E Ground 1</t>
  </si>
  <si>
    <t>Skelton</t>
  </si>
  <si>
    <t>Spider</t>
  </si>
  <si>
    <t>Jaguar</t>
  </si>
  <si>
    <t>Gang</t>
  </si>
  <si>
    <t>Cure Potion - 2</t>
  </si>
  <si>
    <t>Below the Law - Ambush</t>
  </si>
  <si>
    <t>Octopus</t>
  </si>
  <si>
    <t>8-Legs</t>
  </si>
  <si>
    <t>Mana</t>
  </si>
  <si>
    <t>n</t>
  </si>
  <si>
    <t>Mix</t>
  </si>
  <si>
    <t>Agl</t>
  </si>
  <si>
    <t>Str</t>
  </si>
  <si>
    <t>Tusk</t>
  </si>
  <si>
    <t>Run</t>
  </si>
  <si>
    <t>Beak</t>
  </si>
  <si>
    <t>Odd Eye</t>
  </si>
  <si>
    <t>Ooze</t>
  </si>
  <si>
    <t>Rhino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</si>
</sst>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8" fillId="0" borderId="0"/>
  </cellStyleXfs>
  <cellXfs count="117">
    <xf numFmtId="0" fontId="0" fillId="0" borderId="0" xfId="0"/>
    <xf numFmtId="0" fontId="38" fillId="0" borderId="0" xfId="1"/>
    <xf numFmtId="0" fontId="38" fillId="2" borderId="0" xfId="1" applyFill="1"/>
    <xf numFmtId="0" fontId="38" fillId="0" borderId="1" xfId="1" applyBorder="1"/>
    <xf numFmtId="0" fontId="38" fillId="0" borderId="0" xfId="1" applyBorder="1"/>
    <xf numFmtId="0" fontId="38" fillId="2" borderId="5" xfId="1" applyFill="1" applyBorder="1"/>
    <xf numFmtId="0" fontId="38" fillId="0" borderId="0" xfId="1" applyAlignment="1">
      <alignment horizontal="center"/>
    </xf>
    <xf numFmtId="0" fontId="32" fillId="0" borderId="0" xfId="1" applyFont="1" applyAlignment="1">
      <alignment horizontal="center"/>
    </xf>
    <xf numFmtId="0" fontId="0" fillId="3" borderId="0" xfId="0" applyFill="1"/>
    <xf numFmtId="0" fontId="29" fillId="0" borderId="0" xfId="1" applyFont="1"/>
    <xf numFmtId="0" fontId="38" fillId="0" borderId="0" xfId="1" applyAlignment="1">
      <alignment horizontal="center" textRotation="90"/>
    </xf>
    <xf numFmtId="0" fontId="38" fillId="0" borderId="2" xfId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8" fillId="2" borderId="2" xfId="1" applyFill="1" applyBorder="1" applyAlignment="1">
      <alignment horizontal="center" textRotation="90" wrapText="1"/>
    </xf>
    <xf numFmtId="0" fontId="36" fillId="0" borderId="3" xfId="1" applyFont="1" applyBorder="1" applyAlignment="1">
      <alignment horizontal="center" textRotation="90" wrapText="1"/>
    </xf>
    <xf numFmtId="0" fontId="38" fillId="2" borderId="4" xfId="1" applyFill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7" fillId="0" borderId="2" xfId="1" applyFont="1" applyBorder="1" applyAlignment="1">
      <alignment horizontal="center" textRotation="90" wrapText="1"/>
    </xf>
    <xf numFmtId="0" fontId="31" fillId="0" borderId="0" xfId="1" applyFont="1" applyAlignment="1">
      <alignment horizontal="center" textRotation="90" wrapText="1"/>
    </xf>
    <xf numFmtId="0" fontId="38" fillId="0" borderId="0" xfId="1" applyAlignment="1">
      <alignment horizontal="center" textRotation="90" wrapText="1"/>
    </xf>
    <xf numFmtId="0" fontId="38" fillId="5" borderId="3" xfId="1" applyFill="1" applyBorder="1" applyAlignment="1">
      <alignment horizontal="center" textRotation="90" wrapText="1"/>
    </xf>
    <xf numFmtId="0" fontId="38" fillId="5" borderId="1" xfId="1" applyFill="1" applyBorder="1"/>
    <xf numFmtId="0" fontId="30" fillId="5" borderId="1" xfId="1" applyFont="1" applyFill="1" applyBorder="1"/>
    <xf numFmtId="0" fontId="36" fillId="5" borderId="3" xfId="1" applyFont="1" applyFill="1" applyBorder="1" applyAlignment="1">
      <alignment horizontal="center" textRotation="90" wrapText="1"/>
    </xf>
    <xf numFmtId="0" fontId="36" fillId="5" borderId="1" xfId="1" applyFont="1" applyFill="1" applyBorder="1"/>
    <xf numFmtId="0" fontId="33" fillId="0" borderId="4" xfId="1" applyFont="1" applyBorder="1" applyAlignment="1">
      <alignment horizontal="center" textRotation="90" wrapText="1"/>
    </xf>
    <xf numFmtId="0" fontId="38" fillId="0" borderId="5" xfId="1" applyBorder="1" applyAlignment="1">
      <alignment horizontal="center"/>
    </xf>
    <xf numFmtId="0" fontId="28" fillId="5" borderId="3" xfId="1" applyFont="1" applyFill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28" fillId="5" borderId="1" xfId="1" applyFont="1" applyFill="1" applyBorder="1"/>
    <xf numFmtId="0" fontId="27" fillId="5" borderId="1" xfId="1" applyFont="1" applyFill="1" applyBorder="1"/>
    <xf numFmtId="0" fontId="26" fillId="5" borderId="1" xfId="1" applyFont="1" applyFill="1" applyBorder="1"/>
    <xf numFmtId="0" fontId="25" fillId="0" borderId="0" xfId="1" applyFont="1" applyFill="1"/>
    <xf numFmtId="0" fontId="25" fillId="0" borderId="0" xfId="1" applyFont="1"/>
    <xf numFmtId="0" fontId="25" fillId="5" borderId="1" xfId="1" applyFont="1" applyFill="1" applyBorder="1"/>
    <xf numFmtId="0" fontId="24" fillId="0" borderId="0" xfId="1" applyFont="1" applyFill="1"/>
    <xf numFmtId="0" fontId="24" fillId="0" borderId="0" xfId="1" applyFont="1"/>
    <xf numFmtId="0" fontId="24" fillId="5" borderId="1" xfId="1" applyFont="1" applyFill="1" applyBorder="1"/>
    <xf numFmtId="0" fontId="23" fillId="5" borderId="1" xfId="1" applyFont="1" applyFill="1" applyBorder="1"/>
    <xf numFmtId="0" fontId="23" fillId="0" borderId="0" xfId="1" applyFont="1" applyFill="1"/>
    <xf numFmtId="0" fontId="40" fillId="2" borderId="5" xfId="1" applyFont="1" applyFill="1" applyBorder="1"/>
    <xf numFmtId="0" fontId="22" fillId="0" borderId="0" xfId="1" applyFont="1" applyFill="1"/>
    <xf numFmtId="0" fontId="0" fillId="0" borderId="11" xfId="0" applyBorder="1"/>
    <xf numFmtId="0" fontId="0" fillId="0" borderId="9" xfId="0" applyBorder="1"/>
    <xf numFmtId="0" fontId="25" fillId="0" borderId="9" xfId="1" applyFont="1" applyFill="1" applyBorder="1"/>
    <xf numFmtId="0" fontId="24" fillId="0" borderId="9" xfId="1" applyFont="1" applyFill="1" applyBorder="1"/>
    <xf numFmtId="0" fontId="22" fillId="0" borderId="9" xfId="1" applyFont="1" applyFill="1" applyBorder="1"/>
    <xf numFmtId="0" fontId="42" fillId="0" borderId="9" xfId="0" applyFon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42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2" fillId="3" borderId="6" xfId="0" applyFont="1" applyFill="1" applyBorder="1"/>
    <xf numFmtId="0" fontId="42" fillId="0" borderId="7" xfId="0" applyFont="1" applyBorder="1"/>
    <xf numFmtId="0" fontId="42" fillId="3" borderId="7" xfId="0" applyFont="1" applyFill="1" applyBorder="1"/>
    <xf numFmtId="0" fontId="42" fillId="4" borderId="8" xfId="0" applyFont="1" applyFill="1" applyBorder="1"/>
    <xf numFmtId="0" fontId="21" fillId="0" borderId="0" xfId="1" applyFont="1" applyFill="1"/>
    <xf numFmtId="0" fontId="20" fillId="0" borderId="0" xfId="1" applyFont="1"/>
    <xf numFmtId="0" fontId="38" fillId="6" borderId="0" xfId="1" applyFill="1"/>
    <xf numFmtId="0" fontId="0" fillId="0" borderId="0" xfId="0" applyBorder="1"/>
    <xf numFmtId="0" fontId="0" fillId="0" borderId="12" xfId="0" applyBorder="1"/>
    <xf numFmtId="0" fontId="19" fillId="5" borderId="1" xfId="1" applyFont="1" applyFill="1" applyBorder="1"/>
    <xf numFmtId="0" fontId="0" fillId="0" borderId="0" xfId="0" applyAlignment="1">
      <alignment horizontal="center"/>
    </xf>
    <xf numFmtId="0" fontId="25" fillId="7" borderId="0" xfId="1" applyFont="1" applyFill="1"/>
    <xf numFmtId="0" fontId="24" fillId="7" borderId="0" xfId="1" applyFont="1" applyFill="1"/>
    <xf numFmtId="0" fontId="24" fillId="8" borderId="0" xfId="1" applyFont="1" applyFill="1"/>
    <xf numFmtId="0" fontId="23" fillId="8" borderId="0" xfId="1" applyFont="1" applyFill="1"/>
    <xf numFmtId="0" fontId="21" fillId="8" borderId="0" xfId="1" applyFont="1" applyFill="1"/>
    <xf numFmtId="0" fontId="17" fillId="5" borderId="1" xfId="1" applyFont="1" applyFill="1" applyBorder="1"/>
    <xf numFmtId="0" fontId="16" fillId="5" borderId="1" xfId="1" applyFont="1" applyFill="1" applyBorder="1"/>
    <xf numFmtId="0" fontId="23" fillId="0" borderId="17" xfId="1" applyFont="1" applyBorder="1"/>
    <xf numFmtId="0" fontId="13" fillId="5" borderId="1" xfId="1" applyFont="1" applyFill="1" applyBorder="1"/>
    <xf numFmtId="0" fontId="0" fillId="0" borderId="10" xfId="0" applyBorder="1"/>
    <xf numFmtId="0" fontId="0" fillId="0" borderId="13" xfId="0" applyBorder="1"/>
    <xf numFmtId="0" fontId="42" fillId="0" borderId="9" xfId="0" applyFont="1" applyBorder="1"/>
    <xf numFmtId="0" fontId="42" fillId="0" borderId="0" xfId="0" applyFont="1" applyBorder="1"/>
    <xf numFmtId="0" fontId="42" fillId="0" borderId="10" xfId="0" applyFont="1" applyBorder="1"/>
    <xf numFmtId="0" fontId="11" fillId="5" borderId="1" xfId="1" applyFont="1" applyFill="1" applyBorder="1"/>
    <xf numFmtId="0" fontId="11" fillId="0" borderId="0" xfId="1" applyFont="1"/>
    <xf numFmtId="0" fontId="10" fillId="8" borderId="0" xfId="1" applyFont="1" applyFill="1"/>
    <xf numFmtId="0" fontId="9" fillId="0" borderId="0" xfId="1" applyFont="1" applyAlignment="1">
      <alignment horizontal="center"/>
    </xf>
    <xf numFmtId="0" fontId="8" fillId="5" borderId="1" xfId="1" applyFont="1" applyFill="1" applyBorder="1"/>
    <xf numFmtId="0" fontId="40" fillId="0" borderId="1" xfId="1" applyFont="1" applyBorder="1"/>
    <xf numFmtId="0" fontId="8" fillId="0" borderId="0" xfId="1" applyFont="1" applyFill="1"/>
    <xf numFmtId="0" fontId="8" fillId="0" borderId="0" xfId="1" applyFont="1"/>
    <xf numFmtId="0" fontId="7" fillId="0" borderId="0" xfId="1" applyFont="1"/>
    <xf numFmtId="0" fontId="7" fillId="5" borderId="1" xfId="1" applyFont="1" applyFill="1" applyBorder="1"/>
    <xf numFmtId="0" fontId="7" fillId="0" borderId="0" xfId="1" applyFont="1" applyFill="1" applyBorder="1" applyAlignment="1">
      <alignment horizontal="center"/>
    </xf>
    <xf numFmtId="0" fontId="7" fillId="0" borderId="0" xfId="1" applyFont="1" applyFill="1"/>
    <xf numFmtId="0" fontId="6" fillId="0" borderId="0" xfId="1" applyFont="1" applyFill="1" applyBorder="1" applyAlignment="1">
      <alignment horizontal="center"/>
    </xf>
    <xf numFmtId="0" fontId="5" fillId="5" borderId="1" xfId="1" applyFont="1" applyFill="1" applyBorder="1"/>
    <xf numFmtId="0" fontId="4" fillId="0" borderId="0" xfId="1" applyFont="1"/>
    <xf numFmtId="0" fontId="4" fillId="0" borderId="0" xfId="1" applyFont="1" applyFill="1" applyBorder="1" applyAlignment="1">
      <alignment horizontal="center"/>
    </xf>
    <xf numFmtId="0" fontId="3" fillId="0" borderId="0" xfId="1" applyFont="1"/>
    <xf numFmtId="0" fontId="25" fillId="9" borderId="1" xfId="1" applyFont="1" applyFill="1" applyBorder="1"/>
    <xf numFmtId="0" fontId="15" fillId="9" borderId="1" xfId="1" applyFont="1" applyFill="1" applyBorder="1"/>
    <xf numFmtId="0" fontId="27" fillId="9" borderId="1" xfId="1" applyFont="1" applyFill="1" applyBorder="1"/>
    <xf numFmtId="0" fontId="18" fillId="9" borderId="1" xfId="1" applyFont="1" applyFill="1" applyBorder="1"/>
    <xf numFmtId="0" fontId="14" fillId="9" borderId="1" xfId="1" applyFont="1" applyFill="1" applyBorder="1"/>
    <xf numFmtId="0" fontId="24" fillId="9" borderId="1" xfId="1" applyFont="1" applyFill="1" applyBorder="1"/>
    <xf numFmtId="0" fontId="12" fillId="9" borderId="1" xfId="1" applyFont="1" applyFill="1" applyBorder="1"/>
    <xf numFmtId="0" fontId="19" fillId="9" borderId="1" xfId="1" applyFont="1" applyFill="1" applyBorder="1"/>
    <xf numFmtId="0" fontId="28" fillId="9" borderId="1" xfId="1" applyFont="1" applyFill="1" applyBorder="1"/>
    <xf numFmtId="0" fontId="7" fillId="9" borderId="1" xfId="1" applyFont="1" applyFill="1" applyBorder="1"/>
    <xf numFmtId="0" fontId="2" fillId="0" borderId="0" xfId="1" applyFont="1" applyFill="1" applyBorder="1" applyAlignment="1">
      <alignment horizontal="center"/>
    </xf>
    <xf numFmtId="0" fontId="2" fillId="5" borderId="1" xfId="1" applyFont="1" applyFill="1" applyBorder="1"/>
    <xf numFmtId="0" fontId="1" fillId="5" borderId="1" xfId="1" applyFont="1" applyFill="1" applyBorder="1"/>
    <xf numFmtId="0" fontId="41" fillId="0" borderId="6" xfId="0" applyFont="1" applyBorder="1" applyAlignment="1">
      <alignment horizontal="center"/>
    </xf>
    <xf numFmtId="0" fontId="41" fillId="0" borderId="7" xfId="0" applyFont="1" applyBorder="1" applyAlignment="1">
      <alignment horizontal="center"/>
    </xf>
    <xf numFmtId="0" fontId="41" fillId="0" borderId="8" xfId="0" applyFont="1" applyBorder="1" applyAlignment="1">
      <alignment horizontal="center"/>
    </xf>
    <xf numFmtId="0" fontId="41" fillId="0" borderId="14" xfId="0" applyFont="1" applyBorder="1" applyAlignment="1">
      <alignment horizontal="center"/>
    </xf>
    <xf numFmtId="0" fontId="41" fillId="0" borderId="15" xfId="0" applyFont="1" applyBorder="1" applyAlignment="1">
      <alignment horizontal="center"/>
    </xf>
    <xf numFmtId="0" fontId="41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5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R55"/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U57"/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V201"/>
          <cell r="W201"/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W202"/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U203"/>
          <cell r="V203"/>
          <cell r="W203"/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R204"/>
          <cell r="S204"/>
          <cell r="T204"/>
          <cell r="U204"/>
          <cell r="V204"/>
          <cell r="W204"/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V206"/>
          <cell r="W206"/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W207"/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U208"/>
          <cell r="V208"/>
          <cell r="W208"/>
          <cell r="X208" t="str">
            <v>Beast</v>
          </cell>
        </row>
        <row r="209">
          <cell r="A209" t="str">
            <v>Thug</v>
          </cell>
          <cell r="B209" t="str">
            <v>Thug</v>
          </cell>
          <cell r="C209">
            <v>0</v>
          </cell>
          <cell r="D209"/>
          <cell r="E209">
            <v>1</v>
          </cell>
          <cell r="F209"/>
          <cell r="G209"/>
          <cell r="H209">
            <v>0</v>
          </cell>
          <cell r="I209">
            <v>1</v>
          </cell>
          <cell r="J209">
            <v>52</v>
          </cell>
          <cell r="K209">
            <v>5</v>
          </cell>
          <cell r="L209">
            <v>5</v>
          </cell>
          <cell r="M209">
            <v>3</v>
          </cell>
          <cell r="N209">
            <v>5</v>
          </cell>
          <cell r="O209"/>
          <cell r="P209" t="str">
            <v>Beretta</v>
          </cell>
          <cell r="Q209"/>
          <cell r="R209"/>
          <cell r="S209"/>
          <cell r="T209"/>
          <cell r="U209"/>
          <cell r="V209"/>
          <cell r="W209"/>
          <cell r="X209" t="str">
            <v>Human</v>
          </cell>
        </row>
        <row r="210">
          <cell r="A210" t="str">
            <v>Terrorist</v>
          </cell>
          <cell r="B210" t="str">
            <v>Terrorist</v>
          </cell>
          <cell r="C210" t="str">
            <v>1</v>
          </cell>
          <cell r="D210" t="str">
            <v>3</v>
          </cell>
          <cell r="E210">
            <v>3</v>
          </cell>
          <cell r="F210" t="str">
            <v>13</v>
          </cell>
          <cell r="G210" t="str">
            <v>84</v>
          </cell>
          <cell r="H210" t="str">
            <v>0</v>
          </cell>
          <cell r="I210" t="str">
            <v>1</v>
          </cell>
          <cell r="J210">
            <v>148</v>
          </cell>
          <cell r="K210">
            <v>14</v>
          </cell>
          <cell r="L210">
            <v>14</v>
          </cell>
          <cell r="M210">
            <v>8</v>
          </cell>
          <cell r="N210">
            <v>13</v>
          </cell>
          <cell r="O210" t="str">
            <v>7d98</v>
          </cell>
          <cell r="P210" t="str">
            <v>Colt Gun</v>
          </cell>
          <cell r="Q210" t="str">
            <v>Kick</v>
          </cell>
          <cell r="R210"/>
          <cell r="S210"/>
          <cell r="T210"/>
          <cell r="U210"/>
          <cell r="V210"/>
          <cell r="W210"/>
          <cell r="X210" t="str">
            <v>Human</v>
          </cell>
        </row>
        <row r="211">
          <cell r="A211" t="str">
            <v>Mercenar</v>
          </cell>
          <cell r="B211" t="str">
            <v>Mercenar</v>
          </cell>
          <cell r="C211" t="str">
            <v>3</v>
          </cell>
          <cell r="D211" t="str">
            <v>6</v>
          </cell>
          <cell r="E211">
            <v>6</v>
          </cell>
          <cell r="F211" t="str">
            <v>36</v>
          </cell>
          <cell r="G211" t="str">
            <v>84</v>
          </cell>
          <cell r="H211" t="str">
            <v>0</v>
          </cell>
          <cell r="I211" t="str">
            <v>3</v>
          </cell>
          <cell r="J211">
            <v>358</v>
          </cell>
          <cell r="K211">
            <v>34</v>
          </cell>
          <cell r="L211">
            <v>34</v>
          </cell>
          <cell r="M211">
            <v>26</v>
          </cell>
          <cell r="N211">
            <v>32</v>
          </cell>
          <cell r="O211" t="str">
            <v>7d9a</v>
          </cell>
          <cell r="P211" t="str">
            <v>Musket</v>
          </cell>
          <cell r="Q211" t="str">
            <v>Grenade</v>
          </cell>
          <cell r="R211" t="str">
            <v>SMG</v>
          </cell>
          <cell r="S211" t="str">
            <v>Cure Potion</v>
          </cell>
          <cell r="T211"/>
          <cell r="U211"/>
          <cell r="V211"/>
          <cell r="W211"/>
          <cell r="X211" t="str">
            <v>Human</v>
          </cell>
        </row>
        <row r="212">
          <cell r="A212" t="str">
            <v>Commando</v>
          </cell>
          <cell r="B212" t="str">
            <v>Commando</v>
          </cell>
          <cell r="C212" t="str">
            <v>4</v>
          </cell>
          <cell r="D212" t="str">
            <v>7</v>
          </cell>
          <cell r="E212">
            <v>7</v>
          </cell>
          <cell r="F212" t="str">
            <v>47</v>
          </cell>
          <cell r="G212" t="str">
            <v>84</v>
          </cell>
          <cell r="H212" t="str">
            <v>0</v>
          </cell>
          <cell r="I212" t="str">
            <v>5</v>
          </cell>
          <cell r="J212">
            <v>410</v>
          </cell>
          <cell r="K212">
            <v>43</v>
          </cell>
          <cell r="L212">
            <v>43</v>
          </cell>
          <cell r="M212">
            <v>33</v>
          </cell>
          <cell r="N212">
            <v>41</v>
          </cell>
          <cell r="O212" t="str">
            <v>7d9e</v>
          </cell>
          <cell r="P212" t="str">
            <v>HeadButt</v>
          </cell>
          <cell r="Q212" t="str">
            <v>Fire Gun</v>
          </cell>
          <cell r="R212" t="str">
            <v>Bazooka</v>
          </cell>
          <cell r="S212" t="str">
            <v>Magnum</v>
          </cell>
          <cell r="T212" t="str">
            <v>Army Armor</v>
          </cell>
          <cell r="U212" t="str">
            <v>Surprise</v>
          </cell>
          <cell r="V212"/>
          <cell r="W212"/>
          <cell r="X212" t="str">
            <v>Human</v>
          </cell>
        </row>
        <row r="213">
          <cell r="A213" t="str">
            <v>SS</v>
          </cell>
          <cell r="B213" t="str">
            <v>SS</v>
          </cell>
          <cell r="C213" t="str">
            <v>6</v>
          </cell>
          <cell r="D213" t="str">
            <v>A</v>
          </cell>
          <cell r="E213">
            <v>10</v>
          </cell>
          <cell r="F213" t="str">
            <v>6A</v>
          </cell>
          <cell r="G213" t="str">
            <v>84</v>
          </cell>
          <cell r="H213" t="str">
            <v>0</v>
          </cell>
          <cell r="I213" t="str">
            <v>6</v>
          </cell>
          <cell r="J213">
            <v>781</v>
          </cell>
          <cell r="K213">
            <v>76</v>
          </cell>
          <cell r="L213">
            <v>76</v>
          </cell>
          <cell r="M213">
            <v>63</v>
          </cell>
          <cell r="N213">
            <v>73</v>
          </cell>
          <cell r="O213" t="str">
            <v>7da4</v>
          </cell>
          <cell r="P213" t="str">
            <v>Laser Sword</v>
          </cell>
          <cell r="Q213" t="str">
            <v>Vulcan Cannon</v>
          </cell>
          <cell r="R213" t="str">
            <v>Fire Gun</v>
          </cell>
          <cell r="S213" t="str">
            <v>Missile Cannon</v>
          </cell>
          <cell r="T213" t="str">
            <v>Tank Cannon</v>
          </cell>
          <cell r="U213" t="str">
            <v>Hi-Cure Potion</v>
          </cell>
          <cell r="V213" t="str">
            <v>Army Armor</v>
          </cell>
          <cell r="W213"/>
          <cell r="X213" t="str">
            <v>Human</v>
          </cell>
        </row>
        <row r="214">
          <cell r="A214" t="str">
            <v>EchigoYa</v>
          </cell>
          <cell r="B214" t="str">
            <v>EchigoYa</v>
          </cell>
          <cell r="C214" t="str">
            <v>2</v>
          </cell>
          <cell r="D214" t="str">
            <v>B</v>
          </cell>
          <cell r="E214">
            <v>11</v>
          </cell>
          <cell r="F214" t="str">
            <v>2B</v>
          </cell>
          <cell r="G214" t="str">
            <v>84</v>
          </cell>
          <cell r="H214" t="str">
            <v>0</v>
          </cell>
          <cell r="I214" t="str">
            <v>2</v>
          </cell>
          <cell r="J214">
            <v>443</v>
          </cell>
          <cell r="K214">
            <v>43</v>
          </cell>
          <cell r="L214">
            <v>43</v>
          </cell>
          <cell r="M214">
            <v>36</v>
          </cell>
          <cell r="N214">
            <v>41</v>
          </cell>
          <cell r="O214" t="str">
            <v>7dab</v>
          </cell>
          <cell r="P214" t="str">
            <v>Abacus</v>
          </cell>
          <cell r="Q214" t="str">
            <v>Vulcan Cannon</v>
          </cell>
          <cell r="R214" t="str">
            <v>Psi Sword</v>
          </cell>
          <cell r="S214"/>
          <cell r="T214"/>
          <cell r="U214"/>
          <cell r="V214"/>
          <cell r="W214"/>
          <cell r="X214" t="str">
            <v>Human</v>
          </cell>
        </row>
        <row r="215">
          <cell r="A215" t="str">
            <v>Conjurer</v>
          </cell>
          <cell r="B215" t="str">
            <v>Conjurer</v>
          </cell>
          <cell r="C215" t="str">
            <v>1</v>
          </cell>
          <cell r="D215" t="str">
            <v>3</v>
          </cell>
          <cell r="E215">
            <v>3</v>
          </cell>
          <cell r="F215" t="str">
            <v>13</v>
          </cell>
          <cell r="G215" t="str">
            <v>85</v>
          </cell>
          <cell r="H215" t="str">
            <v>0</v>
          </cell>
          <cell r="I215" t="str">
            <v>1</v>
          </cell>
          <cell r="J215">
            <v>123</v>
          </cell>
          <cell r="K215">
            <v>8</v>
          </cell>
          <cell r="L215">
            <v>16</v>
          </cell>
          <cell r="M215">
            <v>17</v>
          </cell>
          <cell r="N215">
            <v>9</v>
          </cell>
          <cell r="O215" t="str">
            <v>7dae</v>
          </cell>
          <cell r="P215" t="str">
            <v>Sleep Book</v>
          </cell>
          <cell r="Q215" t="str">
            <v>Cure Book</v>
          </cell>
          <cell r="R215"/>
          <cell r="S215"/>
          <cell r="T215"/>
          <cell r="U215"/>
          <cell r="V215"/>
          <cell r="W215"/>
          <cell r="X215" t="str">
            <v>Human</v>
          </cell>
        </row>
        <row r="216">
          <cell r="A216" t="str">
            <v>Magician</v>
          </cell>
          <cell r="B216" t="str">
            <v>Magician</v>
          </cell>
          <cell r="C216" t="str">
            <v>3</v>
          </cell>
          <cell r="D216" t="str">
            <v>6</v>
          </cell>
          <cell r="E216">
            <v>6</v>
          </cell>
          <cell r="F216" t="str">
            <v>36</v>
          </cell>
          <cell r="G216" t="str">
            <v>85</v>
          </cell>
          <cell r="H216" t="str">
            <v>0</v>
          </cell>
          <cell r="I216" t="str">
            <v>3</v>
          </cell>
          <cell r="J216">
            <v>324</v>
          </cell>
          <cell r="K216">
            <v>26</v>
          </cell>
          <cell r="L216">
            <v>38</v>
          </cell>
          <cell r="M216">
            <v>39</v>
          </cell>
          <cell r="N216">
            <v>27</v>
          </cell>
          <cell r="O216" t="str">
            <v>7db0</v>
          </cell>
          <cell r="P216" t="str">
            <v>Fire Book</v>
          </cell>
          <cell r="Q216" t="str">
            <v>Ice Book</v>
          </cell>
          <cell r="R216" t="str">
            <v>Sleep Book</v>
          </cell>
          <cell r="S216" t="str">
            <v>Cure Book</v>
          </cell>
          <cell r="T216"/>
          <cell r="U216"/>
          <cell r="V216"/>
          <cell r="W216"/>
          <cell r="X216" t="str">
            <v>Human</v>
          </cell>
        </row>
        <row r="217">
          <cell r="A217" t="str">
            <v>Sorcerer</v>
          </cell>
          <cell r="B217" t="str">
            <v>Sorcerer</v>
          </cell>
          <cell r="C217" t="str">
            <v>5</v>
          </cell>
          <cell r="D217" t="str">
            <v>9</v>
          </cell>
          <cell r="E217">
            <v>9</v>
          </cell>
          <cell r="F217" t="str">
            <v>59</v>
          </cell>
          <cell r="G217" t="str">
            <v>85</v>
          </cell>
          <cell r="H217" t="str">
            <v>0</v>
          </cell>
          <cell r="I217" t="str">
            <v>5</v>
          </cell>
          <cell r="J217">
            <v>614</v>
          </cell>
          <cell r="K217">
            <v>52</v>
          </cell>
          <cell r="L217">
            <v>68</v>
          </cell>
          <cell r="M217">
            <v>64</v>
          </cell>
          <cell r="N217">
            <v>55</v>
          </cell>
          <cell r="O217" t="str">
            <v>7db4</v>
          </cell>
          <cell r="P217" t="str">
            <v>Thunder Book</v>
          </cell>
          <cell r="Q217" t="str">
            <v>Stone Book</v>
          </cell>
          <cell r="R217" t="str">
            <v>Mage Staff</v>
          </cell>
          <cell r="S217" t="str">
            <v>Death Book</v>
          </cell>
          <cell r="T217" t="str">
            <v>Ice Book</v>
          </cell>
          <cell r="U217" t="str">
            <v>Cure Book</v>
          </cell>
          <cell r="V217"/>
          <cell r="W217"/>
          <cell r="X217" t="str">
            <v>Human</v>
          </cell>
        </row>
        <row r="218">
          <cell r="A218" t="str">
            <v>Wizard</v>
          </cell>
          <cell r="B218" t="str">
            <v>Wizard</v>
          </cell>
          <cell r="C218" t="str">
            <v>6</v>
          </cell>
          <cell r="D218" t="str">
            <v>A</v>
          </cell>
          <cell r="E218">
            <v>10</v>
          </cell>
          <cell r="F218" t="str">
            <v>6A</v>
          </cell>
          <cell r="G218" t="str">
            <v>85</v>
          </cell>
          <cell r="H218" t="str">
            <v>0</v>
          </cell>
          <cell r="I218" t="str">
            <v>6</v>
          </cell>
          <cell r="J218">
            <v>731</v>
          </cell>
          <cell r="K218">
            <v>63</v>
          </cell>
          <cell r="L218">
            <v>81</v>
          </cell>
          <cell r="M218">
            <v>75</v>
          </cell>
          <cell r="N218">
            <v>66</v>
          </cell>
          <cell r="O218" t="str">
            <v>7dba</v>
          </cell>
          <cell r="P218" t="str">
            <v>Thunder Book</v>
          </cell>
          <cell r="Q218" t="str">
            <v>Fog Book</v>
          </cell>
          <cell r="R218" t="str">
            <v>Stone Book</v>
          </cell>
          <cell r="S218" t="str">
            <v>Mage Staff</v>
          </cell>
          <cell r="T218" t="str">
            <v>Wizard Staff</v>
          </cell>
          <cell r="U218" t="str">
            <v>Flare Book</v>
          </cell>
          <cell r="V218" t="str">
            <v>Heal Staff</v>
          </cell>
          <cell r="W218"/>
          <cell r="X218" t="str">
            <v>Human</v>
          </cell>
        </row>
        <row r="219">
          <cell r="A219" t="str">
            <v>ROBO-28</v>
          </cell>
          <cell r="B219" t="str">
            <v>ROBO-28</v>
          </cell>
          <cell r="C219" t="str">
            <v>0</v>
          </cell>
          <cell r="D219" t="str">
            <v>3</v>
          </cell>
          <cell r="E219">
            <v>3</v>
          </cell>
          <cell r="F219" t="str">
            <v>03</v>
          </cell>
          <cell r="G219" t="str">
            <v>86</v>
          </cell>
          <cell r="H219" t="str">
            <v>3</v>
          </cell>
          <cell r="I219" t="str">
            <v>1</v>
          </cell>
          <cell r="J219">
            <v>137</v>
          </cell>
          <cell r="K219">
            <v>15</v>
          </cell>
          <cell r="L219">
            <v>15</v>
          </cell>
          <cell r="M219">
            <v>0</v>
          </cell>
          <cell r="N219">
            <v>14</v>
          </cell>
          <cell r="O219" t="str">
            <v>7dc1</v>
          </cell>
          <cell r="P219" t="str">
            <v>Rocket</v>
          </cell>
          <cell r="Q219" t="str">
            <v>O-Pa/Po</v>
          </cell>
          <cell r="R219"/>
          <cell r="S219"/>
          <cell r="T219"/>
          <cell r="U219"/>
          <cell r="V219"/>
          <cell r="W219"/>
          <cell r="X219" t="str">
            <v>Robot</v>
          </cell>
        </row>
        <row r="220">
          <cell r="A220" t="str">
            <v>ROBO-Z</v>
          </cell>
          <cell r="B220" t="str">
            <v>ROBO-Z</v>
          </cell>
          <cell r="C220" t="str">
            <v>2</v>
          </cell>
          <cell r="D220" t="str">
            <v>5</v>
          </cell>
          <cell r="E220">
            <v>5</v>
          </cell>
          <cell r="F220" t="str">
            <v>25</v>
          </cell>
          <cell r="G220" t="str">
            <v>86</v>
          </cell>
          <cell r="H220" t="str">
            <v>3</v>
          </cell>
          <cell r="I220" t="str">
            <v>3</v>
          </cell>
          <cell r="J220">
            <v>263</v>
          </cell>
          <cell r="K220">
            <v>28</v>
          </cell>
          <cell r="L220">
            <v>28</v>
          </cell>
          <cell r="M220">
            <v>0</v>
          </cell>
          <cell r="N220">
            <v>26</v>
          </cell>
          <cell r="O220" t="str">
            <v>7dc3</v>
          </cell>
          <cell r="P220" t="str">
            <v>Rocket</v>
          </cell>
          <cell r="Q220" t="str">
            <v>Flame</v>
          </cell>
          <cell r="R220" t="str">
            <v>Beam</v>
          </cell>
          <cell r="S220" t="str">
            <v>O-Pa/Po</v>
          </cell>
          <cell r="T220"/>
          <cell r="U220"/>
          <cell r="V220"/>
          <cell r="W220"/>
          <cell r="X220" t="str">
            <v>Robot</v>
          </cell>
        </row>
        <row r="221">
          <cell r="A221" t="str">
            <v>Ridean</v>
          </cell>
          <cell r="B221" t="str">
            <v>Ridean</v>
          </cell>
          <cell r="C221" t="str">
            <v>4</v>
          </cell>
          <cell r="D221" t="str">
            <v>9</v>
          </cell>
          <cell r="E221">
            <v>9</v>
          </cell>
          <cell r="F221" t="str">
            <v>49</v>
          </cell>
          <cell r="G221" t="str">
            <v>86</v>
          </cell>
          <cell r="H221" t="str">
            <v>3</v>
          </cell>
          <cell r="I221" t="str">
            <v>5</v>
          </cell>
          <cell r="J221">
            <v>637</v>
          </cell>
          <cell r="K221">
            <v>66</v>
          </cell>
          <cell r="L221">
            <v>66</v>
          </cell>
          <cell r="M221">
            <v>0</v>
          </cell>
          <cell r="N221">
            <v>64</v>
          </cell>
          <cell r="O221" t="str">
            <v>7dc7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Electroshock</v>
          </cell>
          <cell r="U221" t="str">
            <v>O-Pa/Po</v>
          </cell>
          <cell r="V221"/>
          <cell r="W221"/>
          <cell r="X221" t="str">
            <v>Robot</v>
          </cell>
        </row>
        <row r="222">
          <cell r="A222" t="str">
            <v>G-7</v>
          </cell>
          <cell r="B222" t="str">
            <v>G-7</v>
          </cell>
          <cell r="C222" t="str">
            <v>4</v>
          </cell>
          <cell r="D222" t="str">
            <v>A</v>
          </cell>
          <cell r="E222">
            <v>10</v>
          </cell>
          <cell r="F222" t="str">
            <v>4A</v>
          </cell>
          <cell r="G222" t="str">
            <v>86</v>
          </cell>
          <cell r="H222" t="str">
            <v>3</v>
          </cell>
          <cell r="I222" t="str">
            <v>6</v>
          </cell>
          <cell r="J222">
            <v>756</v>
          </cell>
          <cell r="K222">
            <v>78</v>
          </cell>
          <cell r="L222">
            <v>78</v>
          </cell>
          <cell r="M222">
            <v>0</v>
          </cell>
          <cell r="N222">
            <v>76</v>
          </cell>
          <cell r="O222" t="str">
            <v>7dcd</v>
          </cell>
          <cell r="P222" t="str">
            <v>Rocket</v>
          </cell>
          <cell r="Q222" t="str">
            <v>Laser Gun</v>
          </cell>
          <cell r="R222" t="str">
            <v>Vulcan</v>
          </cell>
          <cell r="S222" t="str">
            <v>Laser Sword</v>
          </cell>
          <cell r="T222" t="str">
            <v>Missile</v>
          </cell>
          <cell r="U222" t="str">
            <v>Selfix</v>
          </cell>
          <cell r="V222" t="str">
            <v>O-Pa/Po</v>
          </cell>
          <cell r="W222"/>
          <cell r="X222" t="str">
            <v>Robot</v>
          </cell>
        </row>
        <row r="223">
          <cell r="A223" t="str">
            <v>Dunatis</v>
          </cell>
          <cell r="B223" t="str">
            <v>Dunatis</v>
          </cell>
          <cell r="C223" t="str">
            <v>0</v>
          </cell>
          <cell r="D223" t="str">
            <v>B</v>
          </cell>
          <cell r="E223">
            <v>11</v>
          </cell>
          <cell r="F223" t="str">
            <v>0B</v>
          </cell>
          <cell r="G223" t="str">
            <v>86</v>
          </cell>
          <cell r="H223" t="str">
            <v>3</v>
          </cell>
          <cell r="I223" t="str">
            <v>3</v>
          </cell>
          <cell r="J223">
            <v>300</v>
          </cell>
          <cell r="K223">
            <v>30</v>
          </cell>
          <cell r="L223">
            <v>30</v>
          </cell>
          <cell r="M223">
            <v>0</v>
          </cell>
          <cell r="N223">
            <v>29</v>
          </cell>
          <cell r="O223" t="str">
            <v>7dd4</v>
          </cell>
          <cell r="P223" t="str">
            <v>Rocket</v>
          </cell>
          <cell r="Q223" t="str">
            <v>ChainSaw</v>
          </cell>
          <cell r="R223" t="str">
            <v>Blitz Whip</v>
          </cell>
          <cell r="S223" t="str">
            <v>O-Pa/Po</v>
          </cell>
          <cell r="T223"/>
          <cell r="U223"/>
          <cell r="V223"/>
          <cell r="W223"/>
          <cell r="X223" t="str">
            <v>Robot</v>
          </cell>
        </row>
        <row r="224">
          <cell r="A224" t="str">
            <v>MechBug</v>
          </cell>
          <cell r="B224" t="str">
            <v>MechBug</v>
          </cell>
          <cell r="C224" t="str">
            <v>1</v>
          </cell>
          <cell r="D224" t="str">
            <v>5</v>
          </cell>
          <cell r="E224">
            <v>5</v>
          </cell>
          <cell r="F224" t="str">
            <v>15</v>
          </cell>
          <cell r="G224" t="str">
            <v>87</v>
          </cell>
          <cell r="H224" t="str">
            <v>3</v>
          </cell>
          <cell r="I224" t="str">
            <v>2</v>
          </cell>
          <cell r="J224">
            <v>248</v>
          </cell>
          <cell r="K224">
            <v>29</v>
          </cell>
          <cell r="L224">
            <v>25</v>
          </cell>
          <cell r="M224">
            <v>0</v>
          </cell>
          <cell r="N224">
            <v>29</v>
          </cell>
          <cell r="O224" t="str">
            <v>7dd8</v>
          </cell>
          <cell r="P224" t="str">
            <v>SMG</v>
          </cell>
          <cell r="Q224" t="str">
            <v>Blitz Whip</v>
          </cell>
          <cell r="R224" t="str">
            <v>O-Pa/Po</v>
          </cell>
          <cell r="S224"/>
          <cell r="T224"/>
          <cell r="U224"/>
          <cell r="V224"/>
          <cell r="W224"/>
          <cell r="X224" t="str">
            <v>Robot</v>
          </cell>
        </row>
        <row r="225">
          <cell r="A225" t="str">
            <v>Hawk</v>
          </cell>
          <cell r="B225" t="str">
            <v>Hawk</v>
          </cell>
          <cell r="C225" t="str">
            <v>1</v>
          </cell>
          <cell r="D225" t="str">
            <v>6</v>
          </cell>
          <cell r="E225">
            <v>6</v>
          </cell>
          <cell r="F225" t="str">
            <v>16</v>
          </cell>
          <cell r="G225" t="str">
            <v>87</v>
          </cell>
          <cell r="H225" t="str">
            <v>3</v>
          </cell>
          <cell r="I225" t="str">
            <v>3</v>
          </cell>
          <cell r="J225">
            <v>324</v>
          </cell>
          <cell r="K225">
            <v>38</v>
          </cell>
          <cell r="L225">
            <v>32</v>
          </cell>
          <cell r="M225">
            <v>0</v>
          </cell>
          <cell r="N225">
            <v>38</v>
          </cell>
          <cell r="O225" t="str">
            <v>7ddb</v>
          </cell>
          <cell r="P225" t="str">
            <v>Grenade</v>
          </cell>
          <cell r="Q225" t="str">
            <v>Fire Gun</v>
          </cell>
          <cell r="R225" t="str">
            <v>Warning</v>
          </cell>
          <cell r="S225" t="str">
            <v>O-Pa/Po</v>
          </cell>
          <cell r="T225"/>
          <cell r="U225"/>
          <cell r="V225"/>
          <cell r="W225"/>
          <cell r="X225" t="str">
            <v>Robot</v>
          </cell>
        </row>
        <row r="226">
          <cell r="A226" t="str">
            <v>Falcon</v>
          </cell>
          <cell r="B226" t="str">
            <v>Falcon</v>
          </cell>
          <cell r="C226" t="str">
            <v>3</v>
          </cell>
          <cell r="D226" t="str">
            <v>9</v>
          </cell>
          <cell r="E226">
            <v>9</v>
          </cell>
          <cell r="F226" t="str">
            <v>39</v>
          </cell>
          <cell r="G226" t="str">
            <v>87</v>
          </cell>
          <cell r="H226" t="str">
            <v>3</v>
          </cell>
          <cell r="I226" t="str">
            <v>5</v>
          </cell>
          <cell r="J226">
            <v>614</v>
          </cell>
          <cell r="K226">
            <v>68</v>
          </cell>
          <cell r="L226">
            <v>61</v>
          </cell>
          <cell r="M226">
            <v>0</v>
          </cell>
          <cell r="N226">
            <v>68</v>
          </cell>
          <cell r="O226" t="str">
            <v>7ddf</v>
          </cell>
          <cell r="P226" t="str">
            <v>Defense</v>
          </cell>
          <cell r="Q226" t="str">
            <v>D-Beam</v>
          </cell>
          <cell r="R226" t="str">
            <v>Vulcan</v>
          </cell>
          <cell r="S226" t="str">
            <v>Beam</v>
          </cell>
          <cell r="T226" t="str">
            <v>Warning</v>
          </cell>
          <cell r="U226" t="str">
            <v>O-Pa/Po</v>
          </cell>
          <cell r="V226"/>
          <cell r="W226"/>
          <cell r="X226" t="str">
            <v>Robot</v>
          </cell>
        </row>
        <row r="227">
          <cell r="A227" t="str">
            <v>Intrcept</v>
          </cell>
          <cell r="B227" t="str">
            <v>Intrcept</v>
          </cell>
          <cell r="C227" t="str">
            <v>3</v>
          </cell>
          <cell r="D227" t="str">
            <v>A</v>
          </cell>
          <cell r="E227">
            <v>10</v>
          </cell>
          <cell r="F227" t="str">
            <v>3A</v>
          </cell>
          <cell r="G227" t="str">
            <v>87</v>
          </cell>
          <cell r="H227" t="str">
            <v>3</v>
          </cell>
          <cell r="I227" t="str">
            <v>6</v>
          </cell>
          <cell r="J227">
            <v>731</v>
          </cell>
          <cell r="K227">
            <v>81</v>
          </cell>
          <cell r="L227">
            <v>73</v>
          </cell>
          <cell r="M227">
            <v>0</v>
          </cell>
          <cell r="N227">
            <v>81</v>
          </cell>
          <cell r="O227" t="str">
            <v>7de5</v>
          </cell>
          <cell r="P227" t="str">
            <v>D-Beam</v>
          </cell>
          <cell r="Q227" t="str">
            <v>Vulcan</v>
          </cell>
          <cell r="R227" t="str">
            <v>Beam</v>
          </cell>
          <cell r="S227" t="str">
            <v>Missile</v>
          </cell>
          <cell r="T227" t="str">
            <v>Warning</v>
          </cell>
          <cell r="U227" t="str">
            <v>Selfix</v>
          </cell>
          <cell r="V227" t="str">
            <v>O-Pa/Po</v>
          </cell>
          <cell r="W227"/>
          <cell r="X227" t="str">
            <v>Robot</v>
          </cell>
        </row>
        <row r="228">
          <cell r="A228" t="str">
            <v>Plasma</v>
          </cell>
          <cell r="B228" t="str">
            <v>Plasma</v>
          </cell>
          <cell r="C228" t="str">
            <v>0</v>
          </cell>
          <cell r="D228" t="str">
            <v>3</v>
          </cell>
          <cell r="E228">
            <v>3</v>
          </cell>
          <cell r="F228" t="str">
            <v>03</v>
          </cell>
          <cell r="G228" t="str">
            <v>06</v>
          </cell>
          <cell r="H228" t="str">
            <v>2</v>
          </cell>
          <cell r="I228" t="str">
            <v>1</v>
          </cell>
          <cell r="J228">
            <v>104</v>
          </cell>
          <cell r="K228">
            <v>15</v>
          </cell>
          <cell r="L228">
            <v>13</v>
          </cell>
          <cell r="M228">
            <v>13</v>
          </cell>
          <cell r="N228">
            <v>13</v>
          </cell>
          <cell r="O228" t="str">
            <v>7dec</v>
          </cell>
          <cell r="P228" t="str">
            <v>Dissolve</v>
          </cell>
          <cell r="Q228" t="str">
            <v>X-Ice</v>
          </cell>
          <cell r="R228"/>
          <cell r="S228"/>
          <cell r="T228"/>
          <cell r="U228"/>
          <cell r="V228"/>
          <cell r="W228"/>
          <cell r="X228" t="str">
            <v>Aberration</v>
          </cell>
        </row>
        <row r="229">
          <cell r="A229" t="str">
            <v>Phagocyt</v>
          </cell>
          <cell r="B229" t="str">
            <v>Phagocyt</v>
          </cell>
          <cell r="C229" t="str">
            <v>1</v>
          </cell>
          <cell r="D229" t="str">
            <v>4</v>
          </cell>
          <cell r="E229">
            <v>4</v>
          </cell>
          <cell r="F229" t="str">
            <v>14</v>
          </cell>
          <cell r="G229" t="str">
            <v>06</v>
          </cell>
          <cell r="H229" t="str">
            <v>2</v>
          </cell>
          <cell r="I229" t="str">
            <v>2</v>
          </cell>
          <cell r="J229">
            <v>156</v>
          </cell>
          <cell r="K229">
            <v>21</v>
          </cell>
          <cell r="L229">
            <v>18</v>
          </cell>
          <cell r="M229">
            <v>18</v>
          </cell>
          <cell r="N229">
            <v>18</v>
          </cell>
          <cell r="O229" t="str">
            <v>7dee</v>
          </cell>
          <cell r="P229" t="str">
            <v>Wind Up</v>
          </cell>
          <cell r="Q229" t="str">
            <v>Dissolve</v>
          </cell>
          <cell r="R229" t="str">
            <v>X-Ice</v>
          </cell>
          <cell r="S229"/>
          <cell r="T229"/>
          <cell r="U229"/>
          <cell r="V229"/>
          <cell r="W229"/>
          <cell r="X229" t="str">
            <v>Aberration</v>
          </cell>
        </row>
        <row r="230">
          <cell r="A230" t="str">
            <v>Corpuscl</v>
          </cell>
          <cell r="B230" t="str">
            <v>Corpuscl</v>
          </cell>
          <cell r="C230" t="str">
            <v>2</v>
          </cell>
          <cell r="D230" t="str">
            <v>6</v>
          </cell>
          <cell r="E230">
            <v>6</v>
          </cell>
          <cell r="F230" t="str">
            <v>26</v>
          </cell>
          <cell r="G230" t="str">
            <v>06</v>
          </cell>
          <cell r="H230" t="str">
            <v>2</v>
          </cell>
          <cell r="I230" t="str">
            <v>5</v>
          </cell>
          <cell r="J230">
            <v>290</v>
          </cell>
          <cell r="K230">
            <v>36</v>
          </cell>
          <cell r="L230">
            <v>32</v>
          </cell>
          <cell r="M230">
            <v>32</v>
          </cell>
          <cell r="N230">
            <v>32</v>
          </cell>
          <cell r="O230" t="str">
            <v>7df1</v>
          </cell>
          <cell r="P230" t="str">
            <v>Wind Up</v>
          </cell>
          <cell r="Q230" t="str">
            <v>Dissolve</v>
          </cell>
          <cell r="R230" t="str">
            <v>Multiply</v>
          </cell>
          <cell r="S230" t="str">
            <v>Recover</v>
          </cell>
          <cell r="T230" t="str">
            <v>O-Weapon</v>
          </cell>
          <cell r="U230" t="str">
            <v>X-Ice</v>
          </cell>
          <cell r="V230"/>
          <cell r="W230"/>
          <cell r="X230" t="str">
            <v>Aberration</v>
          </cell>
        </row>
        <row r="231">
          <cell r="A231" t="str">
            <v>Cancer</v>
          </cell>
          <cell r="B231" t="str">
            <v>Cancer</v>
          </cell>
          <cell r="C231" t="str">
            <v>2</v>
          </cell>
          <cell r="D231" t="str">
            <v>A</v>
          </cell>
          <cell r="E231">
            <v>10</v>
          </cell>
          <cell r="F231" t="str">
            <v>2A</v>
          </cell>
          <cell r="G231" t="str">
            <v>06</v>
          </cell>
          <cell r="H231" t="str">
            <v>2</v>
          </cell>
          <cell r="I231" t="str">
            <v>6</v>
          </cell>
          <cell r="J231">
            <v>681</v>
          </cell>
          <cell r="K231">
            <v>78</v>
          </cell>
          <cell r="L231">
            <v>73</v>
          </cell>
          <cell r="M231">
            <v>73</v>
          </cell>
          <cell r="N231">
            <v>73</v>
          </cell>
          <cell r="O231" t="str">
            <v>7df7</v>
          </cell>
          <cell r="P231" t="str">
            <v>Wind Up</v>
          </cell>
          <cell r="Q231" t="str">
            <v>Dissolve</v>
          </cell>
          <cell r="R231" t="str">
            <v>Surprise</v>
          </cell>
          <cell r="S231" t="str">
            <v>Warning</v>
          </cell>
          <cell r="T231" t="str">
            <v>Recover</v>
          </cell>
          <cell r="U231" t="str">
            <v>O-Weapon</v>
          </cell>
          <cell r="V231" t="str">
            <v>X-Ice</v>
          </cell>
          <cell r="W231"/>
          <cell r="X231" t="str">
            <v>Aberration</v>
          </cell>
        </row>
        <row r="232">
          <cell r="A232" t="str">
            <v>Grippe</v>
          </cell>
          <cell r="B232" t="str">
            <v>Grippe</v>
          </cell>
          <cell r="C232" t="str">
            <v>0</v>
          </cell>
          <cell r="D232" t="str">
            <v>3</v>
          </cell>
          <cell r="E232">
            <v>3</v>
          </cell>
          <cell r="F232" t="str">
            <v>03</v>
          </cell>
          <cell r="G232" t="str">
            <v>88</v>
          </cell>
          <cell r="H232" t="str">
            <v>2</v>
          </cell>
          <cell r="I232" t="str">
            <v>1</v>
          </cell>
          <cell r="J232">
            <v>71</v>
          </cell>
          <cell r="K232">
            <v>12</v>
          </cell>
          <cell r="L232">
            <v>15</v>
          </cell>
          <cell r="M232">
            <v>14</v>
          </cell>
          <cell r="N232">
            <v>16</v>
          </cell>
          <cell r="O232" t="str">
            <v>7dfe</v>
          </cell>
          <cell r="P232" t="str">
            <v>PoisonBurst</v>
          </cell>
          <cell r="Q232" t="str">
            <v>X-Fire</v>
          </cell>
          <cell r="R232"/>
          <cell r="S232"/>
          <cell r="T232"/>
          <cell r="U232"/>
          <cell r="V232"/>
          <cell r="W232"/>
          <cell r="X232" t="str">
            <v>Aberration</v>
          </cell>
        </row>
        <row r="233">
          <cell r="A233" t="str">
            <v>Virus</v>
          </cell>
          <cell r="B233" t="str">
            <v>Virus</v>
          </cell>
          <cell r="C233" t="str">
            <v>1</v>
          </cell>
          <cell r="D233" t="str">
            <v>4</v>
          </cell>
          <cell r="E233">
            <v>4</v>
          </cell>
          <cell r="F233" t="str">
            <v>14</v>
          </cell>
          <cell r="G233" t="str">
            <v>88</v>
          </cell>
          <cell r="H233" t="str">
            <v>2</v>
          </cell>
          <cell r="I233" t="str">
            <v>2</v>
          </cell>
          <cell r="J233">
            <v>117</v>
          </cell>
          <cell r="K233">
            <v>17</v>
          </cell>
          <cell r="L233">
            <v>21</v>
          </cell>
          <cell r="M233">
            <v>20</v>
          </cell>
          <cell r="N233">
            <v>22</v>
          </cell>
          <cell r="O233" t="str">
            <v>7e00</v>
          </cell>
          <cell r="P233" t="str">
            <v>PoisonBurst</v>
          </cell>
          <cell r="Q233" t="str">
            <v>Heat</v>
          </cell>
          <cell r="R233" t="str">
            <v>X-Fire</v>
          </cell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Pathogen</v>
          </cell>
          <cell r="B234" t="str">
            <v>Pathogen</v>
          </cell>
          <cell r="C234" t="str">
            <v>3</v>
          </cell>
          <cell r="D234" t="str">
            <v>7</v>
          </cell>
          <cell r="E234">
            <v>7</v>
          </cell>
          <cell r="F234" t="str">
            <v>37</v>
          </cell>
          <cell r="G234" t="str">
            <v>88</v>
          </cell>
          <cell r="H234" t="str">
            <v>2</v>
          </cell>
          <cell r="I234" t="str">
            <v>4</v>
          </cell>
          <cell r="J234">
            <v>316</v>
          </cell>
          <cell r="K234">
            <v>39</v>
          </cell>
          <cell r="L234">
            <v>45</v>
          </cell>
          <cell r="M234">
            <v>43</v>
          </cell>
          <cell r="N234">
            <v>47</v>
          </cell>
          <cell r="O234" t="str">
            <v>7e03</v>
          </cell>
          <cell r="P234" t="str">
            <v>Multiply</v>
          </cell>
          <cell r="Q234" t="str">
            <v>PoisonBurst</v>
          </cell>
          <cell r="R234" t="str">
            <v>Heat</v>
          </cell>
          <cell r="S234" t="str">
            <v>ParaSkin</v>
          </cell>
          <cell r="T234" t="str">
            <v>X-Fire</v>
          </cell>
          <cell r="U234"/>
          <cell r="V234"/>
          <cell r="W234"/>
          <cell r="X234" t="str">
            <v>Aberration</v>
          </cell>
        </row>
        <row r="235">
          <cell r="A235" t="str">
            <v>Plague</v>
          </cell>
          <cell r="B235" t="str">
            <v>Plague</v>
          </cell>
          <cell r="C235" t="str">
            <v>4</v>
          </cell>
          <cell r="D235" t="str">
            <v>A</v>
          </cell>
          <cell r="E235">
            <v>10</v>
          </cell>
          <cell r="F235" t="str">
            <v>4A</v>
          </cell>
          <cell r="G235" t="str">
            <v>88</v>
          </cell>
          <cell r="H235" t="str">
            <v>2</v>
          </cell>
          <cell r="I235" t="str">
            <v>6</v>
          </cell>
          <cell r="J235">
            <v>606</v>
          </cell>
          <cell r="K235">
            <v>71</v>
          </cell>
          <cell r="L235">
            <v>78</v>
          </cell>
          <cell r="M235">
            <v>76</v>
          </cell>
          <cell r="N235">
            <v>81</v>
          </cell>
          <cell r="O235" t="str">
            <v>7e08</v>
          </cell>
          <cell r="P235" t="str">
            <v>PoisonBurst</v>
          </cell>
          <cell r="Q235" t="str">
            <v>Heat</v>
          </cell>
          <cell r="R235" t="str">
            <v>ComVirus</v>
          </cell>
          <cell r="S235" t="str">
            <v>Surprise</v>
          </cell>
          <cell r="T235" t="str">
            <v>Multiply</v>
          </cell>
          <cell r="U235" t="str">
            <v>DNA</v>
          </cell>
          <cell r="V235" t="str">
            <v>X-Fire</v>
          </cell>
          <cell r="W235"/>
          <cell r="X235" t="str">
            <v>Aberration</v>
          </cell>
        </row>
        <row r="236">
          <cell r="A236" t="str">
            <v>Teacher</v>
          </cell>
          <cell r="B236" t="str">
            <v>Teacher</v>
          </cell>
          <cell r="C236" t="str">
            <v>4</v>
          </cell>
          <cell r="D236" t="str">
            <v>0</v>
          </cell>
          <cell r="E236">
            <v>0</v>
          </cell>
          <cell r="F236">
            <v>40</v>
          </cell>
          <cell r="G236" t="str">
            <v>00</v>
          </cell>
          <cell r="H236" t="str">
            <v>2</v>
          </cell>
          <cell r="I236" t="str">
            <v>7</v>
          </cell>
          <cell r="J236">
            <v>185</v>
          </cell>
          <cell r="K236">
            <v>18</v>
          </cell>
          <cell r="L236">
            <v>15</v>
          </cell>
          <cell r="M236">
            <v>19</v>
          </cell>
          <cell r="N236">
            <v>18</v>
          </cell>
          <cell r="O236" t="str">
            <v>7e0f</v>
          </cell>
          <cell r="P236" t="str">
            <v>Dissolve</v>
          </cell>
          <cell r="Q236" t="str">
            <v>Fire</v>
          </cell>
          <cell r="R236" t="str">
            <v>Cure</v>
          </cell>
          <cell r="S236"/>
          <cell r="T236"/>
          <cell r="U236"/>
          <cell r="V236"/>
          <cell r="W236"/>
          <cell r="X236" t="str">
            <v>Human</v>
          </cell>
        </row>
        <row r="237">
          <cell r="A237" t="str">
            <v>Cleric</v>
          </cell>
          <cell r="B237" t="str">
            <v>Cleric</v>
          </cell>
          <cell r="C237" t="str">
            <v>6</v>
          </cell>
          <cell r="D237" t="str">
            <v>0</v>
          </cell>
          <cell r="E237">
            <v>0</v>
          </cell>
          <cell r="F237" t="str">
            <v>60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80</v>
          </cell>
          <cell r="K237">
            <v>8</v>
          </cell>
          <cell r="L237">
            <v>13</v>
          </cell>
          <cell r="M237">
            <v>14</v>
          </cell>
          <cell r="N237">
            <v>11</v>
          </cell>
          <cell r="O237" t="str">
            <v>7e17</v>
          </cell>
          <cell r="P237" t="str">
            <v>Hammer</v>
          </cell>
          <cell r="Q237" t="str">
            <v>Bronze Shield</v>
          </cell>
          <cell r="R237" t="str">
            <v>Thunder Book</v>
          </cell>
          <cell r="S237" t="str">
            <v>Cure Book</v>
          </cell>
          <cell r="T237" t="str">
            <v>Bronze Armor</v>
          </cell>
          <cell r="U237" t="str">
            <v>Bronze Helm</v>
          </cell>
          <cell r="V237" t="str">
            <v>Bronze Glove</v>
          </cell>
          <cell r="W237"/>
          <cell r="X237" t="str">
            <v>Human</v>
          </cell>
        </row>
        <row r="238">
          <cell r="A238" t="str">
            <v>Unknown</v>
          </cell>
          <cell r="B238" t="str">
            <v>Unknown</v>
          </cell>
          <cell r="C238" t="str">
            <v>4</v>
          </cell>
          <cell r="D238" t="str">
            <v>0</v>
          </cell>
          <cell r="E238">
            <v>0</v>
          </cell>
          <cell r="F238">
            <v>40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321</v>
          </cell>
          <cell r="K238">
            <v>35</v>
          </cell>
          <cell r="L238">
            <v>29</v>
          </cell>
          <cell r="M238">
            <v>35</v>
          </cell>
          <cell r="N238">
            <v>11</v>
          </cell>
          <cell r="O238" t="str">
            <v>7e27</v>
          </cell>
          <cell r="P238" t="str">
            <v>Hammer</v>
          </cell>
          <cell r="Q238" t="str">
            <v>Bronze Shield</v>
          </cell>
          <cell r="R238" t="str">
            <v>Bronze Armor</v>
          </cell>
          <cell r="S238" t="str">
            <v>Bronze Helm</v>
          </cell>
          <cell r="T238" t="str">
            <v>Bronze Glove</v>
          </cell>
          <cell r="U238"/>
          <cell r="V238"/>
          <cell r="W238"/>
          <cell r="X238" t="str">
            <v>Human</v>
          </cell>
        </row>
        <row r="239">
          <cell r="A239" t="str">
            <v>Girl1</v>
          </cell>
          <cell r="B239" t="str">
            <v>Girl1</v>
          </cell>
          <cell r="C239" t="str">
            <v>0</v>
          </cell>
          <cell r="D239" t="str">
            <v>0</v>
          </cell>
          <cell r="E239">
            <v>0</v>
          </cell>
          <cell r="F239" t="str">
            <v>00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100</v>
          </cell>
          <cell r="K239">
            <v>16</v>
          </cell>
          <cell r="L239">
            <v>25</v>
          </cell>
          <cell r="M239">
            <v>21</v>
          </cell>
          <cell r="N239">
            <v>0</v>
          </cell>
          <cell r="O239" t="str">
            <v>7e2f</v>
          </cell>
          <cell r="P239" t="str">
            <v>Strike</v>
          </cell>
          <cell r="Q239" t="str">
            <v>JumpKick</v>
          </cell>
          <cell r="R239"/>
          <cell r="S239"/>
          <cell r="T239"/>
          <cell r="U239"/>
          <cell r="V239"/>
          <cell r="W239"/>
          <cell r="X239" t="str">
            <v>Human</v>
          </cell>
        </row>
        <row r="240">
          <cell r="A240" t="str">
            <v>Guardian</v>
          </cell>
          <cell r="B240" t="str">
            <v>Guardian</v>
          </cell>
          <cell r="C240" t="str">
            <v>4</v>
          </cell>
          <cell r="D240" t="str">
            <v>0</v>
          </cell>
          <cell r="E240">
            <v>0</v>
          </cell>
          <cell r="F240">
            <v>40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321</v>
          </cell>
          <cell r="K240">
            <v>35</v>
          </cell>
          <cell r="L240">
            <v>35</v>
          </cell>
          <cell r="M240">
            <v>29</v>
          </cell>
          <cell r="N240">
            <v>15</v>
          </cell>
          <cell r="O240" t="str">
            <v>7e37</v>
          </cell>
          <cell r="P240" t="str">
            <v>Gold Sword</v>
          </cell>
          <cell r="Q240" t="str">
            <v>SMG</v>
          </cell>
          <cell r="R240" t="str">
            <v>Blitz Whip</v>
          </cell>
          <cell r="S240" t="str">
            <v>Army Armor</v>
          </cell>
          <cell r="T240" t="str">
            <v>Cure Book</v>
          </cell>
          <cell r="U240"/>
          <cell r="V240"/>
          <cell r="W240"/>
          <cell r="X240" t="str">
            <v>Human</v>
          </cell>
        </row>
        <row r="241">
          <cell r="A241" t="str">
            <v>Girl2</v>
          </cell>
          <cell r="B241" t="str">
            <v>Girl2</v>
          </cell>
          <cell r="C241" t="str">
            <v>0</v>
          </cell>
          <cell r="D241" t="str">
            <v>0</v>
          </cell>
          <cell r="E241">
            <v>0</v>
          </cell>
          <cell r="F241" t="str">
            <v>00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247</v>
          </cell>
          <cell r="K241">
            <v>23</v>
          </cell>
          <cell r="L241">
            <v>33</v>
          </cell>
          <cell r="M241">
            <v>28</v>
          </cell>
          <cell r="N241">
            <v>21</v>
          </cell>
          <cell r="O241" t="str">
            <v>7e3f</v>
          </cell>
          <cell r="P241" t="str">
            <v>HeadButt</v>
          </cell>
          <cell r="Q241" t="str">
            <v>FlyingKick</v>
          </cell>
          <cell r="R241"/>
          <cell r="S241"/>
          <cell r="T241"/>
          <cell r="U241"/>
          <cell r="V241"/>
          <cell r="W241"/>
          <cell r="X241" t="str">
            <v>Human</v>
          </cell>
        </row>
        <row r="242">
          <cell r="A242" t="str">
            <v>Detectiv</v>
          </cell>
          <cell r="B242" t="str">
            <v>Detectiv</v>
          </cell>
          <cell r="C242" t="str">
            <v>3</v>
          </cell>
          <cell r="D242" t="str">
            <v>0</v>
          </cell>
          <cell r="E242">
            <v>0</v>
          </cell>
          <cell r="F242" t="str">
            <v>30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473</v>
          </cell>
          <cell r="K242">
            <v>46</v>
          </cell>
          <cell r="L242">
            <v>62</v>
          </cell>
          <cell r="M242">
            <v>39</v>
          </cell>
          <cell r="N242">
            <v>49</v>
          </cell>
          <cell r="O242" t="str">
            <v>7e47</v>
          </cell>
          <cell r="P242" t="str">
            <v>Sypha</v>
          </cell>
          <cell r="Q242" t="str">
            <v>Coin</v>
          </cell>
          <cell r="R242" t="str">
            <v>Kimono Armor</v>
          </cell>
          <cell r="S242" t="str">
            <v>Temptat</v>
          </cell>
          <cell r="T242"/>
          <cell r="U242"/>
          <cell r="V242"/>
          <cell r="W242"/>
          <cell r="X242" t="str">
            <v>Human</v>
          </cell>
        </row>
        <row r="243">
          <cell r="A243" t="str">
            <v>Samurai</v>
          </cell>
          <cell r="B243" t="str">
            <v>Samurai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551</v>
          </cell>
          <cell r="K243">
            <v>63</v>
          </cell>
          <cell r="L243">
            <v>60</v>
          </cell>
          <cell r="M243">
            <v>45</v>
          </cell>
          <cell r="N243">
            <v>56</v>
          </cell>
          <cell r="O243" t="str">
            <v>7e4f</v>
          </cell>
          <cell r="P243" t="str">
            <v>Muramas Sword</v>
          </cell>
          <cell r="Q243" t="str">
            <v>Katana</v>
          </cell>
          <cell r="R243" t="str">
            <v>Ninja Glove</v>
          </cell>
          <cell r="S243" t="str">
            <v>Kimono Armor</v>
          </cell>
          <cell r="T243" t="str">
            <v>Samurai Bow</v>
          </cell>
          <cell r="U243" t="str">
            <v>Cure Book</v>
          </cell>
          <cell r="V243"/>
          <cell r="W243"/>
          <cell r="X243" t="str">
            <v>Human</v>
          </cell>
        </row>
        <row r="244">
          <cell r="A244" t="str">
            <v>Guardian</v>
          </cell>
          <cell r="B244" t="str">
            <v>Guardian</v>
          </cell>
          <cell r="C244" t="str">
            <v>4</v>
          </cell>
          <cell r="D244" t="str">
            <v>0</v>
          </cell>
          <cell r="E244">
            <v>0</v>
          </cell>
          <cell r="F244" t="str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700</v>
          </cell>
          <cell r="K244">
            <v>70</v>
          </cell>
          <cell r="L244">
            <v>80</v>
          </cell>
          <cell r="M244">
            <v>60</v>
          </cell>
          <cell r="N244">
            <v>70</v>
          </cell>
          <cell r="O244" t="str">
            <v>7e57</v>
          </cell>
          <cell r="P244" t="str">
            <v>Defend Sword</v>
          </cell>
          <cell r="Q244" t="str">
            <v>Vulcan Cannon</v>
          </cell>
          <cell r="R244" t="str">
            <v>Magnum</v>
          </cell>
          <cell r="S244" t="str">
            <v>Battle Armor</v>
          </cell>
          <cell r="T244" t="str">
            <v>Heal Staff</v>
          </cell>
          <cell r="U244" t="str">
            <v>Cure Book</v>
          </cell>
          <cell r="V244"/>
          <cell r="W244"/>
          <cell r="X244" t="str">
            <v>Human</v>
          </cell>
        </row>
        <row r="245">
          <cell r="A245" t="str">
            <v>Ancient</v>
          </cell>
          <cell r="B245" t="str">
            <v>Ancient</v>
          </cell>
          <cell r="C245" t="str">
            <v>5</v>
          </cell>
          <cell r="D245" t="str">
            <v>0</v>
          </cell>
          <cell r="E245">
            <v>0</v>
          </cell>
          <cell r="F245" t="str">
            <v>50</v>
          </cell>
          <cell r="G245" t="str">
            <v>00</v>
          </cell>
          <cell r="H245" t="str">
            <v>2</v>
          </cell>
          <cell r="I245" t="str">
            <v>7</v>
          </cell>
          <cell r="J245">
            <v>999</v>
          </cell>
          <cell r="K245">
            <v>99</v>
          </cell>
          <cell r="L245">
            <v>99</v>
          </cell>
          <cell r="M245">
            <v>99</v>
          </cell>
          <cell r="N245">
            <v>99</v>
          </cell>
          <cell r="O245" t="str">
            <v>7e5f</v>
          </cell>
          <cell r="P245" t="str">
            <v>Masmune Magi</v>
          </cell>
          <cell r="Q245" t="str">
            <v>Aegis Magi</v>
          </cell>
          <cell r="R245" t="str">
            <v>Heart Magi</v>
          </cell>
          <cell r="S245" t="str">
            <v>TrueEye</v>
          </cell>
          <cell r="T245" t="str">
            <v>Pegasus Magi</v>
          </cell>
          <cell r="U245" t="str">
            <v>Flare</v>
          </cell>
          <cell r="V245" t="str">
            <v>O-All</v>
          </cell>
          <cell r="W245" t="str">
            <v>Recover</v>
          </cell>
          <cell r="X245" t="str">
            <v>God</v>
          </cell>
        </row>
        <row r="246">
          <cell r="A246" t="str">
            <v>Haniwa</v>
          </cell>
          <cell r="B246" t="str">
            <v>Haniwa</v>
          </cell>
          <cell r="C246" t="str">
            <v>3</v>
          </cell>
          <cell r="D246" t="str">
            <v>c</v>
          </cell>
          <cell r="E246">
            <v>12</v>
          </cell>
          <cell r="F246" t="str">
            <v>3c</v>
          </cell>
          <cell r="G246" t="str">
            <v>8b</v>
          </cell>
          <cell r="H246" t="str">
            <v>2</v>
          </cell>
          <cell r="I246" t="str">
            <v>5</v>
          </cell>
          <cell r="J246">
            <v>10000</v>
          </cell>
          <cell r="K246">
            <v>90</v>
          </cell>
          <cell r="L246">
            <v>90</v>
          </cell>
          <cell r="M246">
            <v>90</v>
          </cell>
          <cell r="N246">
            <v>90</v>
          </cell>
          <cell r="O246" t="str">
            <v>7e67</v>
          </cell>
          <cell r="P246" t="str">
            <v>Bash</v>
          </cell>
          <cell r="Q246" t="str">
            <v>Quake</v>
          </cell>
          <cell r="R246" t="str">
            <v>Flare</v>
          </cell>
          <cell r="S246" t="str">
            <v>Seven Sword</v>
          </cell>
          <cell r="T246" t="str">
            <v>O-All</v>
          </cell>
          <cell r="U246" t="str">
            <v>Recover</v>
          </cell>
          <cell r="V246"/>
          <cell r="W246"/>
          <cell r="X246" t="str">
            <v>Spirit</v>
          </cell>
        </row>
        <row r="247">
          <cell r="A247" t="str">
            <v>Dolphin</v>
          </cell>
          <cell r="B247" t="str">
            <v>Dolphin</v>
          </cell>
          <cell r="C247" t="str">
            <v>4</v>
          </cell>
          <cell r="D247" t="str">
            <v>9</v>
          </cell>
          <cell r="E247">
            <v>9</v>
          </cell>
          <cell r="F247" t="str">
            <v>49</v>
          </cell>
          <cell r="G247" t="str">
            <v>8a</v>
          </cell>
          <cell r="H247" t="str">
            <v>2</v>
          </cell>
          <cell r="I247" t="str">
            <v>7</v>
          </cell>
          <cell r="J247">
            <v>5000</v>
          </cell>
          <cell r="K247">
            <v>60</v>
          </cell>
          <cell r="L247">
            <v>60</v>
          </cell>
          <cell r="M247">
            <v>60</v>
          </cell>
          <cell r="N247">
            <v>60</v>
          </cell>
          <cell r="O247" t="str">
            <v>7e6d</v>
          </cell>
          <cell r="P247" t="str">
            <v>Electroshock</v>
          </cell>
          <cell r="Q247" t="str">
            <v>Fin</v>
          </cell>
          <cell r="R247" t="str">
            <v>Whirl</v>
          </cell>
          <cell r="S247" t="str">
            <v>Tusk</v>
          </cell>
          <cell r="T247" t="str">
            <v>Thunder</v>
          </cell>
          <cell r="U247" t="str">
            <v>Tail</v>
          </cell>
          <cell r="V247" t="str">
            <v>O-Quake</v>
          </cell>
          <cell r="W247" t="str">
            <v>O-Fire</v>
          </cell>
          <cell r="X247" t="str">
            <v>Aquatic</v>
          </cell>
        </row>
        <row r="248">
          <cell r="A248" t="str">
            <v>OdinCrow</v>
          </cell>
          <cell r="B248" t="str">
            <v>OdinCrow</v>
          </cell>
          <cell r="C248" t="str">
            <v>2</v>
          </cell>
          <cell r="D248" t="str">
            <v>7</v>
          </cell>
          <cell r="E248">
            <v>7</v>
          </cell>
          <cell r="F248" t="str">
            <v>27</v>
          </cell>
          <cell r="G248" t="str">
            <v>16</v>
          </cell>
          <cell r="H248" t="str">
            <v>2</v>
          </cell>
          <cell r="I248" t="str">
            <v>6</v>
          </cell>
          <cell r="J248">
            <v>669</v>
          </cell>
          <cell r="K248">
            <v>75</v>
          </cell>
          <cell r="L248">
            <v>85</v>
          </cell>
          <cell r="M248">
            <v>79</v>
          </cell>
          <cell r="N248">
            <v>69</v>
          </cell>
          <cell r="O248" t="str">
            <v>7bdf</v>
          </cell>
          <cell r="P248" t="str">
            <v>Nail</v>
          </cell>
          <cell r="Q248" t="str">
            <v>Beak</v>
          </cell>
          <cell r="R248" t="str">
            <v>Blind</v>
          </cell>
          <cell r="S248" t="str">
            <v>Tornado</v>
          </cell>
          <cell r="T248" t="str">
            <v>Surprise</v>
          </cell>
          <cell r="U248" t="str">
            <v>Warning</v>
          </cell>
          <cell r="V248" t="str">
            <v>O-Quake</v>
          </cell>
          <cell r="W248"/>
          <cell r="X248" t="str">
            <v>Flyer</v>
          </cell>
        </row>
        <row r="249">
          <cell r="A249" t="str">
            <v>WarMach</v>
          </cell>
          <cell r="B249" t="str">
            <v>WarMach</v>
          </cell>
          <cell r="C249" t="str">
            <v>3</v>
          </cell>
          <cell r="D249" t="str">
            <v>e</v>
          </cell>
          <cell r="E249">
            <v>14</v>
          </cell>
          <cell r="F249" t="str">
            <v>3e</v>
          </cell>
          <cell r="G249" t="str">
            <v>51</v>
          </cell>
          <cell r="H249" t="str">
            <v>3</v>
          </cell>
          <cell r="I249" t="str">
            <v>4</v>
          </cell>
          <cell r="J249">
            <v>10000</v>
          </cell>
          <cell r="K249">
            <v>120</v>
          </cell>
          <cell r="L249">
            <v>60</v>
          </cell>
          <cell r="M249">
            <v>0</v>
          </cell>
          <cell r="N249">
            <v>90</v>
          </cell>
          <cell r="O249" t="str">
            <v>7e7a</v>
          </cell>
          <cell r="P249" t="str">
            <v>Missile</v>
          </cell>
          <cell r="Q249" t="str">
            <v>NukeBomb</v>
          </cell>
          <cell r="R249" t="str">
            <v>Bash</v>
          </cell>
          <cell r="S249" t="str">
            <v>ParaNail</v>
          </cell>
          <cell r="T249" t="str">
            <v>O-Pa/Po</v>
          </cell>
          <cell r="U249"/>
          <cell r="V249"/>
          <cell r="W249"/>
          <cell r="X249" t="str">
            <v>Robot</v>
          </cell>
        </row>
        <row r="250">
          <cell r="A250" t="str">
            <v>Human M</v>
          </cell>
          <cell r="B250" t="str">
            <v>Human M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59</v>
          </cell>
          <cell r="K250">
            <v>6</v>
          </cell>
          <cell r="L250">
            <v>5</v>
          </cell>
          <cell r="M250">
            <v>3</v>
          </cell>
          <cell r="N250">
            <v>3</v>
          </cell>
          <cell r="O250" t="str">
            <v>7e7f</v>
          </cell>
          <cell r="P250" t="str">
            <v>Long Sword</v>
          </cell>
          <cell r="Q250" t="str">
            <v>Bronze Armor</v>
          </cell>
          <cell r="R250"/>
          <cell r="S250"/>
          <cell r="T250"/>
          <cell r="U250"/>
          <cell r="V250"/>
          <cell r="W250"/>
          <cell r="X250" t="str">
            <v>Human</v>
          </cell>
        </row>
        <row r="251">
          <cell r="A251" t="str">
            <v>Human F</v>
          </cell>
          <cell r="B251" t="str">
            <v>Human F</v>
          </cell>
          <cell r="C251" t="str">
            <v>1</v>
          </cell>
          <cell r="D251" t="str">
            <v>0</v>
          </cell>
          <cell r="E251">
            <v>0</v>
          </cell>
          <cell r="F251">
            <v>10</v>
          </cell>
          <cell r="G251" t="str">
            <v>00</v>
          </cell>
          <cell r="H251" t="str">
            <v>0</v>
          </cell>
          <cell r="I251" t="str">
            <v>1</v>
          </cell>
          <cell r="J251">
            <v>52</v>
          </cell>
          <cell r="K251">
            <v>5</v>
          </cell>
          <cell r="L251">
            <v>6</v>
          </cell>
          <cell r="M251">
            <v>4</v>
          </cell>
          <cell r="N251">
            <v>3</v>
          </cell>
          <cell r="O251" t="str">
            <v>7e81</v>
          </cell>
          <cell r="P251" t="str">
            <v>Rapier Sword</v>
          </cell>
          <cell r="Q251" t="str">
            <v>Bronze Armor</v>
          </cell>
          <cell r="R251"/>
          <cell r="S251"/>
          <cell r="T251"/>
          <cell r="U251"/>
          <cell r="V251"/>
          <cell r="W251"/>
          <cell r="X251" t="str">
            <v>Human</v>
          </cell>
        </row>
        <row r="252">
          <cell r="A252" t="str">
            <v>Mutant M</v>
          </cell>
          <cell r="B252" t="str">
            <v>Mutant M</v>
          </cell>
          <cell r="C252" t="str">
            <v>2</v>
          </cell>
          <cell r="D252" t="str">
            <v>0</v>
          </cell>
          <cell r="E252">
            <v>0</v>
          </cell>
          <cell r="F252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52</v>
          </cell>
          <cell r="K252">
            <v>5</v>
          </cell>
          <cell r="L252">
            <v>4</v>
          </cell>
          <cell r="M252">
            <v>6</v>
          </cell>
          <cell r="N252">
            <v>3</v>
          </cell>
          <cell r="O252" t="str">
            <v>7e83</v>
          </cell>
          <cell r="P252" t="str">
            <v>Hammer</v>
          </cell>
          <cell r="Q252" t="str">
            <v>Blizzard</v>
          </cell>
          <cell r="R252" t="str">
            <v>Bronze Armor</v>
          </cell>
          <cell r="S252"/>
          <cell r="T252"/>
          <cell r="U252"/>
          <cell r="V252"/>
          <cell r="W252"/>
          <cell r="X252" t="str">
            <v>Mutant</v>
          </cell>
        </row>
        <row r="253">
          <cell r="A253" t="str">
            <v>Mutant F</v>
          </cell>
          <cell r="B253" t="str">
            <v>Mutant F</v>
          </cell>
          <cell r="C253" t="str">
            <v>2</v>
          </cell>
          <cell r="D253" t="str">
            <v>0</v>
          </cell>
          <cell r="E253">
            <v>0</v>
          </cell>
          <cell r="F253" t="str">
            <v>20</v>
          </cell>
          <cell r="G253" t="str">
            <v>00</v>
          </cell>
          <cell r="H253" t="str">
            <v>1</v>
          </cell>
          <cell r="I253" t="str">
            <v>2</v>
          </cell>
          <cell r="J253">
            <v>45</v>
          </cell>
          <cell r="K253">
            <v>4</v>
          </cell>
          <cell r="L253">
            <v>5</v>
          </cell>
          <cell r="M253">
            <v>6</v>
          </cell>
          <cell r="N253">
            <v>3</v>
          </cell>
          <cell r="O253" t="str">
            <v>7e86</v>
          </cell>
          <cell r="P253" t="str">
            <v>Bow</v>
          </cell>
          <cell r="Q253" t="str">
            <v>Flame</v>
          </cell>
          <cell r="R253" t="str">
            <v>Bronze Armor</v>
          </cell>
          <cell r="S253"/>
          <cell r="T253"/>
          <cell r="U253"/>
          <cell r="V253"/>
          <cell r="W253"/>
          <cell r="X253" t="str">
            <v>Mutant</v>
          </cell>
        </row>
        <row r="254">
          <cell r="A254" t="str">
            <v>Robot</v>
          </cell>
          <cell r="B254" t="str">
            <v>Robot</v>
          </cell>
          <cell r="C254" t="str">
            <v>1</v>
          </cell>
          <cell r="D254" t="str">
            <v>0</v>
          </cell>
          <cell r="E254">
            <v>0</v>
          </cell>
          <cell r="F254" t="str">
            <v>10</v>
          </cell>
          <cell r="G254" t="str">
            <v>00</v>
          </cell>
          <cell r="H254" t="str">
            <v>3</v>
          </cell>
          <cell r="I254" t="str">
            <v>1</v>
          </cell>
          <cell r="J254">
            <v>60</v>
          </cell>
          <cell r="K254">
            <v>6</v>
          </cell>
          <cell r="L254">
            <v>5</v>
          </cell>
          <cell r="M254">
            <v>0</v>
          </cell>
          <cell r="N254">
            <v>6</v>
          </cell>
          <cell r="O254" t="str">
            <v>7e89</v>
          </cell>
          <cell r="P254" t="str">
            <v>Colt Gun</v>
          </cell>
          <cell r="Q254" t="str">
            <v>O-Pa/Po</v>
          </cell>
          <cell r="R254"/>
          <cell r="S254"/>
          <cell r="T254"/>
          <cell r="U254"/>
          <cell r="V254"/>
          <cell r="W254"/>
          <cell r="X254" t="str">
            <v>Robot</v>
          </cell>
        </row>
        <row r="255">
          <cell r="A255" t="str">
            <v>Ooze</v>
          </cell>
          <cell r="B255" t="str">
            <v>Ooze</v>
          </cell>
          <cell r="C255">
            <v>0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1</v>
          </cell>
          <cell r="J255">
            <v>52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7e8b</v>
          </cell>
          <cell r="P255" t="str">
            <v>Dissolve</v>
          </cell>
          <cell r="Q255" t="str">
            <v>P-Skin</v>
          </cell>
          <cell r="R255" t="str">
            <v>X-Fire</v>
          </cell>
          <cell r="S255"/>
          <cell r="T255"/>
          <cell r="U255"/>
          <cell r="V255"/>
          <cell r="W255"/>
          <cell r="X255" t="str">
            <v>Aberration</v>
          </cell>
        </row>
        <row r="256">
          <cell r="A256" t="str">
            <v>Hatchling</v>
          </cell>
          <cell r="B256" t="str">
            <v>Hatchling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2</v>
          </cell>
          <cell r="J256">
            <v>45</v>
          </cell>
          <cell r="K256">
            <v>5</v>
          </cell>
          <cell r="L256">
            <v>2</v>
          </cell>
          <cell r="M256">
            <v>6</v>
          </cell>
          <cell r="N256">
            <v>5</v>
          </cell>
          <cell r="O256" t="str">
            <v>7e8d</v>
          </cell>
          <cell r="P256" t="str">
            <v>Nail</v>
          </cell>
          <cell r="Q256" t="str">
            <v>Flame</v>
          </cell>
          <cell r="R256" t="str">
            <v>O-Quake</v>
          </cell>
          <cell r="S256"/>
          <cell r="T256"/>
          <cell r="U256"/>
          <cell r="V256"/>
          <cell r="W256"/>
          <cell r="X256" t="str">
            <v>Great Reptile</v>
          </cell>
        </row>
        <row r="257">
          <cell r="A257" t="str">
            <v>Imp</v>
          </cell>
          <cell r="B257" t="str">
            <v>Imp</v>
          </cell>
          <cell r="C257" t="str">
            <v>1</v>
          </cell>
          <cell r="D257" t="str">
            <v>1</v>
          </cell>
          <cell r="E257">
            <v>1</v>
          </cell>
          <cell r="F257" t="str">
            <v>11</v>
          </cell>
          <cell r="G257" t="str">
            <v>00</v>
          </cell>
          <cell r="H257" t="str">
            <v>2</v>
          </cell>
          <cell r="I257" t="str">
            <v>1</v>
          </cell>
          <cell r="J257">
            <v>45</v>
          </cell>
          <cell r="K257">
            <v>5</v>
          </cell>
          <cell r="L257">
            <v>5</v>
          </cell>
          <cell r="M257">
            <v>6</v>
          </cell>
          <cell r="N257">
            <v>5</v>
          </cell>
          <cell r="O257" t="str">
            <v>7e90</v>
          </cell>
          <cell r="P257" t="str">
            <v>Nail</v>
          </cell>
          <cell r="Q257" t="str">
            <v>Sleep</v>
          </cell>
          <cell r="R257" t="str">
            <v>Fire</v>
          </cell>
          <cell r="S257"/>
          <cell r="T257"/>
          <cell r="U257"/>
          <cell r="V257"/>
          <cell r="W257"/>
          <cell r="X257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I35"/>
          <cell r="J35"/>
          <cell r="K35"/>
          <cell r="L35">
            <v>27</v>
          </cell>
          <cell r="M35" t="str">
            <v>Str +6</v>
          </cell>
          <cell r="N35" t="str">
            <v>Str</v>
          </cell>
          <cell r="O35" t="str">
            <v>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Def +6</v>
          </cell>
          <cell r="N36" t="str">
            <v>Def</v>
          </cell>
          <cell r="O36">
            <v>4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J37"/>
          <cell r="K37"/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Str +6</v>
          </cell>
          <cell r="N38" t="str">
            <v>Str</v>
          </cell>
          <cell r="O38" t="str">
            <v>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Agl +6</v>
          </cell>
          <cell r="N39">
            <v>0</v>
          </cell>
          <cell r="O39">
            <v>0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  <cell r="N40" t="str">
            <v>Agl</v>
          </cell>
          <cell r="O40">
            <v>3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I41"/>
          <cell r="J41"/>
          <cell r="K41"/>
          <cell r="L41">
            <v>27</v>
          </cell>
          <cell r="M41">
            <v>0</v>
          </cell>
          <cell r="N41">
            <v>0</v>
          </cell>
          <cell r="O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D42"/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I42"/>
          <cell r="J42"/>
          <cell r="K42"/>
          <cell r="L42">
            <v>144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J43"/>
          <cell r="K43"/>
          <cell r="L43">
            <v>27</v>
          </cell>
          <cell r="M43" t="str">
            <v>Def +6</v>
          </cell>
          <cell r="N43" t="str">
            <v>Def</v>
          </cell>
          <cell r="O43">
            <v>4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  <cell r="N44" t="str">
            <v>Def</v>
          </cell>
          <cell r="O44" t="str">
            <v>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I45"/>
          <cell r="J45"/>
          <cell r="K45"/>
          <cell r="L45">
            <v>36</v>
          </cell>
          <cell r="M45" t="str">
            <v>Str +8</v>
          </cell>
          <cell r="N45" t="str">
            <v>Str</v>
          </cell>
          <cell r="O45" t="str">
            <v>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Agl +8</v>
          </cell>
          <cell r="N46" t="str">
            <v>Agl</v>
          </cell>
          <cell r="O46">
            <v>4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J47"/>
          <cell r="K47"/>
          <cell r="L47">
            <v>45</v>
          </cell>
          <cell r="M47" t="str">
            <v>Def +10</v>
          </cell>
          <cell r="N47" t="str">
            <v>Def</v>
          </cell>
          <cell r="O47">
            <v>8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  <cell r="N48" t="str">
            <v>Def</v>
          </cell>
          <cell r="O48" t="str">
            <v>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D49"/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I49"/>
          <cell r="J49"/>
          <cell r="K49"/>
          <cell r="L49">
            <v>9</v>
          </cell>
          <cell r="M49">
            <v>0</v>
          </cell>
          <cell r="N49">
            <v>0</v>
          </cell>
          <cell r="O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D50"/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D51"/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I52"/>
          <cell r="J52"/>
          <cell r="K52"/>
          <cell r="L52">
            <v>45</v>
          </cell>
          <cell r="M52" t="str">
            <v>Str +10</v>
          </cell>
          <cell r="N52" t="str">
            <v>Str</v>
          </cell>
          <cell r="O52" t="str">
            <v>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Agl +10</v>
          </cell>
          <cell r="N53" t="str">
            <v>Agl</v>
          </cell>
          <cell r="O53">
            <v>5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Def +10</v>
          </cell>
          <cell r="N54" t="str">
            <v>Def</v>
          </cell>
          <cell r="O54">
            <v>8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I55"/>
          <cell r="J55"/>
          <cell r="K55"/>
          <cell r="L55">
            <v>45</v>
          </cell>
          <cell r="M55">
            <v>0</v>
          </cell>
          <cell r="N55">
            <v>0</v>
          </cell>
          <cell r="O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J62"/>
          <cell r="K62"/>
          <cell r="L62">
            <v>45</v>
          </cell>
          <cell r="M62" t="str">
            <v>Def +10</v>
          </cell>
          <cell r="N62" t="str">
            <v>Def</v>
          </cell>
          <cell r="O62">
            <v>8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  <cell r="N63" t="str">
            <v>Def</v>
          </cell>
          <cell r="O63" t="str">
            <v>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I64"/>
          <cell r="J64"/>
          <cell r="K64"/>
          <cell r="L64">
            <v>45</v>
          </cell>
          <cell r="M64" t="str">
            <v>Agl +10</v>
          </cell>
          <cell r="N64" t="str">
            <v>Agl</v>
          </cell>
          <cell r="O64">
            <v>5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D65"/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D66"/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6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>
            <v>0</v>
          </cell>
          <cell r="O67">
            <v>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D68"/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I68"/>
          <cell r="J68"/>
          <cell r="K68"/>
          <cell r="L68">
            <v>45</v>
          </cell>
          <cell r="M68">
            <v>0</v>
          </cell>
          <cell r="N68">
            <v>0</v>
          </cell>
          <cell r="O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D70"/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D71"/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 t="str">
            <v>Str +10</v>
          </cell>
          <cell r="N71" t="str">
            <v>Str</v>
          </cell>
          <cell r="O71" t="str">
            <v>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I73"/>
          <cell r="J73"/>
          <cell r="K73"/>
          <cell r="L73">
            <v>63</v>
          </cell>
          <cell r="M73" t="str">
            <v>Str +14</v>
          </cell>
          <cell r="N73" t="str">
            <v>Str</v>
          </cell>
          <cell r="O73" t="str">
            <v>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  <cell r="N74" t="str">
            <v>Def</v>
          </cell>
          <cell r="O74" t="str">
            <v>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D75"/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  <cell r="N75" t="str">
            <v>Def</v>
          </cell>
          <cell r="O75" t="str">
            <v>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J76"/>
          <cell r="K76"/>
          <cell r="L76">
            <v>45</v>
          </cell>
          <cell r="M76" t="str">
            <v>Def +10</v>
          </cell>
          <cell r="N76" t="str">
            <v>Def</v>
          </cell>
          <cell r="O76">
            <v>8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D77"/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I77"/>
          <cell r="J77"/>
          <cell r="K77"/>
          <cell r="L77">
            <v>9</v>
          </cell>
          <cell r="M77">
            <v>0</v>
          </cell>
          <cell r="N77">
            <v>0</v>
          </cell>
          <cell r="O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I78"/>
          <cell r="J78"/>
          <cell r="K78"/>
          <cell r="L78">
            <v>63</v>
          </cell>
          <cell r="M78" t="str">
            <v>Str +14</v>
          </cell>
          <cell r="N78" t="str">
            <v>Str</v>
          </cell>
          <cell r="O78" t="str">
            <v>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I79"/>
          <cell r="J79"/>
          <cell r="K79"/>
          <cell r="L79">
            <v>63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D80"/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D81"/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I81"/>
          <cell r="J81"/>
          <cell r="K81"/>
          <cell r="L81">
            <v>63</v>
          </cell>
          <cell r="M81" t="str">
            <v>Str +14</v>
          </cell>
          <cell r="N81" t="str">
            <v>Str</v>
          </cell>
          <cell r="O81" t="str">
            <v>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D82"/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Agl +14</v>
          </cell>
          <cell r="N82" t="str">
            <v>Agl</v>
          </cell>
          <cell r="O82">
            <v>10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  <cell r="N83" t="str">
            <v>Agl</v>
          </cell>
          <cell r="O83" t="str">
            <v>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I84"/>
          <cell r="J84"/>
          <cell r="K84"/>
          <cell r="L84">
            <v>81</v>
          </cell>
          <cell r="M84" t="str">
            <v>Str +18</v>
          </cell>
          <cell r="N84" t="str">
            <v>Str</v>
          </cell>
          <cell r="O84" t="str">
            <v>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Def +18</v>
          </cell>
          <cell r="N87" t="str">
            <v>Def</v>
          </cell>
          <cell r="O87" t="str">
            <v>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I89"/>
          <cell r="J89"/>
          <cell r="K89"/>
          <cell r="L89">
            <v>81</v>
          </cell>
          <cell r="M89">
            <v>0</v>
          </cell>
          <cell r="N89">
            <v>0</v>
          </cell>
          <cell r="O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  <cell r="N92" t="str">
            <v>Def</v>
          </cell>
          <cell r="O92" t="str">
            <v>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I93"/>
          <cell r="J93"/>
          <cell r="K93"/>
          <cell r="L93">
            <v>81</v>
          </cell>
          <cell r="M93" t="str">
            <v>Str +18</v>
          </cell>
          <cell r="N93" t="str">
            <v>Str</v>
          </cell>
          <cell r="O93" t="str">
            <v>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Agl +18</v>
          </cell>
          <cell r="N94">
            <v>0</v>
          </cell>
          <cell r="O94">
            <v>0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I95"/>
          <cell r="J95"/>
          <cell r="K95"/>
          <cell r="L95">
            <v>81</v>
          </cell>
          <cell r="M95">
            <v>0</v>
          </cell>
          <cell r="N95">
            <v>0</v>
          </cell>
          <cell r="O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J97"/>
          <cell r="K97"/>
          <cell r="L97">
            <v>81</v>
          </cell>
          <cell r="M97" t="str">
            <v>Def +18</v>
          </cell>
          <cell r="N97" t="str">
            <v>Def</v>
          </cell>
          <cell r="O97">
            <v>13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J98"/>
          <cell r="K98"/>
          <cell r="L98">
            <v>63</v>
          </cell>
          <cell r="M98" t="str">
            <v>Def +14</v>
          </cell>
          <cell r="N98" t="str">
            <v>Def</v>
          </cell>
          <cell r="O98">
            <v>13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I99"/>
          <cell r="J99"/>
          <cell r="K99"/>
          <cell r="L99">
            <v>81</v>
          </cell>
          <cell r="M99">
            <v>0</v>
          </cell>
          <cell r="N99">
            <v>0</v>
          </cell>
          <cell r="O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  <cell r="N100" t="str">
            <v>Def</v>
          </cell>
          <cell r="O100">
            <v>13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J101"/>
          <cell r="K101"/>
          <cell r="L101">
            <v>117</v>
          </cell>
          <cell r="M101" t="str">
            <v>Def +26</v>
          </cell>
          <cell r="N101" t="str">
            <v>Def</v>
          </cell>
          <cell r="O101">
            <v>20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I102"/>
          <cell r="J102"/>
          <cell r="K102"/>
          <cell r="L102">
            <v>99</v>
          </cell>
          <cell r="M102" t="str">
            <v>Str +22</v>
          </cell>
          <cell r="N102" t="str">
            <v>Str</v>
          </cell>
          <cell r="O102" t="str">
            <v>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J104"/>
          <cell r="K104"/>
          <cell r="L104">
            <v>81</v>
          </cell>
          <cell r="M104" t="str">
            <v>Def +18</v>
          </cell>
          <cell r="N104" t="str">
            <v>Def</v>
          </cell>
          <cell r="O104">
            <v>20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I105"/>
          <cell r="J105"/>
          <cell r="K105"/>
          <cell r="L105">
            <v>99</v>
          </cell>
          <cell r="M105">
            <v>0</v>
          </cell>
          <cell r="N105">
            <v>0</v>
          </cell>
          <cell r="O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  <cell r="N106" t="str">
            <v>Def</v>
          </cell>
          <cell r="O106">
            <v>13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I107"/>
          <cell r="J107"/>
          <cell r="K107"/>
          <cell r="L107">
            <v>99</v>
          </cell>
          <cell r="M107" t="str">
            <v>Def +22</v>
          </cell>
          <cell r="N107" t="str">
            <v>Def</v>
          </cell>
          <cell r="O107" t="str">
            <v>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Str +22</v>
          </cell>
          <cell r="N108" t="str">
            <v>Str</v>
          </cell>
          <cell r="O108" t="str">
            <v>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Agl +22</v>
          </cell>
          <cell r="N109" t="str">
            <v>Agl</v>
          </cell>
          <cell r="O109" t="str">
            <v>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I110"/>
          <cell r="J110"/>
          <cell r="K110"/>
          <cell r="L110">
            <v>117</v>
          </cell>
          <cell r="M110" t="str">
            <v>Str +26</v>
          </cell>
          <cell r="N110" t="str">
            <v>Str</v>
          </cell>
          <cell r="O110" t="str">
            <v>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Def +26</v>
          </cell>
          <cell r="N111" t="str">
            <v>Def</v>
          </cell>
          <cell r="O111" t="str">
            <v>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45</v>
          </cell>
          <cell r="M112">
            <v>0</v>
          </cell>
          <cell r="N112">
            <v>0</v>
          </cell>
          <cell r="O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>
            <v>20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Agl +26</v>
          </cell>
          <cell r="N114" t="str">
            <v>Agl</v>
          </cell>
          <cell r="O114" t="str">
            <v>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I115"/>
          <cell r="J115"/>
          <cell r="K115"/>
          <cell r="L115">
            <v>117</v>
          </cell>
          <cell r="M115">
            <v>0</v>
          </cell>
          <cell r="N115">
            <v>0</v>
          </cell>
          <cell r="O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J116"/>
          <cell r="K116"/>
          <cell r="L116">
            <v>117</v>
          </cell>
          <cell r="M116" t="str">
            <v>Def +26</v>
          </cell>
          <cell r="N116" t="str">
            <v>Def</v>
          </cell>
          <cell r="O116">
            <v>20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I117"/>
          <cell r="J117"/>
          <cell r="K117"/>
          <cell r="L117">
            <v>117</v>
          </cell>
          <cell r="M117" t="str">
            <v>Agl +26</v>
          </cell>
          <cell r="N117">
            <v>0</v>
          </cell>
          <cell r="O117">
            <v>0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I118"/>
          <cell r="J118"/>
          <cell r="K118"/>
          <cell r="L118">
            <v>117</v>
          </cell>
          <cell r="M118">
            <v>0</v>
          </cell>
          <cell r="N118">
            <v>0</v>
          </cell>
          <cell r="O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I120"/>
          <cell r="J120"/>
          <cell r="K120"/>
          <cell r="L120">
            <v>117</v>
          </cell>
          <cell r="M120" t="str">
            <v>Agl +26</v>
          </cell>
          <cell r="N120" t="str">
            <v>Agl</v>
          </cell>
          <cell r="O120" t="str">
            <v>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  <cell r="N121" t="str">
            <v>Def</v>
          </cell>
          <cell r="O121" t="str">
            <v>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I122"/>
          <cell r="J122"/>
          <cell r="K122"/>
          <cell r="L122">
            <v>144</v>
          </cell>
          <cell r="M122" t="str">
            <v>Str +32</v>
          </cell>
          <cell r="N122" t="str">
            <v>Str</v>
          </cell>
          <cell r="O122" t="str">
            <v>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I124"/>
          <cell r="J124"/>
          <cell r="K124"/>
          <cell r="L124">
            <v>144</v>
          </cell>
          <cell r="M124">
            <v>0</v>
          </cell>
          <cell r="N124">
            <v>0</v>
          </cell>
          <cell r="O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Agl +32</v>
          </cell>
          <cell r="N125">
            <v>0</v>
          </cell>
          <cell r="O125">
            <v>0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Str +32</v>
          </cell>
          <cell r="N126" t="str">
            <v>Str</v>
          </cell>
          <cell r="O126" t="str">
            <v>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 xml:space="preserve"> Mana +0</v>
          </cell>
          <cell r="N127" t="str">
            <v xml:space="preserve"> Mana</v>
          </cell>
          <cell r="O127" t="str">
            <v>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I128"/>
          <cell r="J128"/>
          <cell r="K128"/>
          <cell r="L128">
            <v>144</v>
          </cell>
          <cell r="M128">
            <v>0</v>
          </cell>
          <cell r="N128">
            <v>0</v>
          </cell>
          <cell r="O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>Str +32</v>
          </cell>
          <cell r="N129" t="str">
            <v>Str</v>
          </cell>
          <cell r="O129" t="str">
            <v>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J130"/>
          <cell r="K130"/>
          <cell r="L130">
            <v>117</v>
          </cell>
          <cell r="M130" t="str">
            <v>Def +26</v>
          </cell>
          <cell r="N130" t="str">
            <v>Def</v>
          </cell>
          <cell r="O130" t="str">
            <v>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D131"/>
          <cell r="E131">
            <v>128</v>
          </cell>
          <cell r="F131">
            <v>80</v>
          </cell>
          <cell r="G131">
            <v>30</v>
          </cell>
          <cell r="H131"/>
          <cell r="I131"/>
          <cell r="J131"/>
          <cell r="K131"/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D132"/>
          <cell r="E132">
            <v>129</v>
          </cell>
          <cell r="F132">
            <v>81</v>
          </cell>
          <cell r="G132">
            <v>15</v>
          </cell>
          <cell r="H132"/>
          <cell r="I132"/>
          <cell r="J132"/>
          <cell r="K132"/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D133"/>
          <cell r="E133">
            <v>130</v>
          </cell>
          <cell r="F133">
            <v>82</v>
          </cell>
          <cell r="G133">
            <v>15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D134"/>
          <cell r="E134">
            <v>131</v>
          </cell>
          <cell r="F134">
            <v>83</v>
          </cell>
          <cell r="G134">
            <v>30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D135"/>
          <cell r="E135">
            <v>132</v>
          </cell>
          <cell r="F135">
            <v>84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D136"/>
          <cell r="E136">
            <v>133</v>
          </cell>
          <cell r="F136">
            <v>85</v>
          </cell>
          <cell r="G136">
            <v>15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D137"/>
          <cell r="E137">
            <v>134</v>
          </cell>
          <cell r="F137">
            <v>86</v>
          </cell>
          <cell r="G137">
            <v>30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D138"/>
          <cell r="E138">
            <v>135</v>
          </cell>
          <cell r="F138">
            <v>87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D139"/>
          <cell r="E139">
            <v>136</v>
          </cell>
          <cell r="F139">
            <v>88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D140"/>
          <cell r="E140">
            <v>137</v>
          </cell>
          <cell r="F140">
            <v>89</v>
          </cell>
          <cell r="G140">
            <v>30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D141"/>
          <cell r="E141">
            <v>138</v>
          </cell>
          <cell r="F141" t="str">
            <v>8A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D142"/>
          <cell r="E142">
            <v>139</v>
          </cell>
          <cell r="F142" t="str">
            <v>8B</v>
          </cell>
          <cell r="G142">
            <v>15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D143"/>
          <cell r="E143">
            <v>140</v>
          </cell>
          <cell r="F143" t="str">
            <v>8C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D144"/>
          <cell r="E144">
            <v>141</v>
          </cell>
          <cell r="F144" t="str">
            <v>8D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D145"/>
          <cell r="E145">
            <v>142</v>
          </cell>
          <cell r="F145" t="str">
            <v>8E</v>
          </cell>
          <cell r="G145">
            <v>30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D146"/>
          <cell r="E146">
            <v>143</v>
          </cell>
          <cell r="F146" t="str">
            <v>8F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D147"/>
          <cell r="E147">
            <v>144</v>
          </cell>
          <cell r="F147">
            <v>90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D148"/>
          <cell r="E148">
            <v>145</v>
          </cell>
          <cell r="F148">
            <v>91</v>
          </cell>
          <cell r="G148">
            <v>15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D149"/>
          <cell r="E149">
            <v>146</v>
          </cell>
          <cell r="F149">
            <v>92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D150"/>
          <cell r="E150">
            <v>147</v>
          </cell>
          <cell r="F150">
            <v>93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D151"/>
          <cell r="E151">
            <v>148</v>
          </cell>
          <cell r="F151">
            <v>94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D152"/>
          <cell r="E152">
            <v>149</v>
          </cell>
          <cell r="F152">
            <v>95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D153"/>
          <cell r="E153">
            <v>150</v>
          </cell>
          <cell r="F153">
            <v>96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D154"/>
          <cell r="E154">
            <v>151</v>
          </cell>
          <cell r="F154">
            <v>97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D155"/>
          <cell r="E155">
            <v>152</v>
          </cell>
          <cell r="F155">
            <v>98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D156"/>
          <cell r="E156">
            <v>153</v>
          </cell>
          <cell r="F156">
            <v>99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 t="str">
            <v xml:space="preserve"> Mana +0</v>
          </cell>
          <cell r="N156" t="str">
            <v xml:space="preserve"> Mana</v>
          </cell>
          <cell r="O156" t="str">
            <v>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D157"/>
          <cell r="E157">
            <v>154</v>
          </cell>
          <cell r="F157" t="str">
            <v>9A</v>
          </cell>
          <cell r="G157">
            <v>30</v>
          </cell>
          <cell r="H157"/>
          <cell r="I157"/>
          <cell r="J157"/>
          <cell r="K157"/>
          <cell r="L157">
            <v>9</v>
          </cell>
          <cell r="M157" t="str">
            <v>Def +2</v>
          </cell>
          <cell r="N157" t="str">
            <v>Def</v>
          </cell>
          <cell r="O157" t="str">
            <v>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D158"/>
          <cell r="E158">
            <v>155</v>
          </cell>
          <cell r="F158" t="str">
            <v>9B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D159"/>
          <cell r="E159">
            <v>157</v>
          </cell>
          <cell r="F159" t="str">
            <v>9D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 t="str">
            <v xml:space="preserve"> Mana +0</v>
          </cell>
          <cell r="N159" t="str">
            <v xml:space="preserve"> Mana</v>
          </cell>
          <cell r="O159" t="str">
            <v>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D160"/>
          <cell r="E160">
            <v>158</v>
          </cell>
          <cell r="F160" t="str">
            <v>9E</v>
          </cell>
          <cell r="G160">
            <v>30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D161"/>
          <cell r="E161">
            <v>159</v>
          </cell>
          <cell r="F161" t="str">
            <v>9F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D162"/>
          <cell r="E162">
            <v>160</v>
          </cell>
          <cell r="F162" t="str">
            <v>A0</v>
          </cell>
          <cell r="G162">
            <v>15</v>
          </cell>
          <cell r="H162"/>
          <cell r="I162"/>
          <cell r="J162"/>
          <cell r="K162"/>
          <cell r="L162">
            <v>9</v>
          </cell>
          <cell r="M162">
            <v>0</v>
          </cell>
          <cell r="N162">
            <v>0</v>
          </cell>
          <cell r="O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D163"/>
          <cell r="E163">
            <v>161</v>
          </cell>
          <cell r="F163" t="str">
            <v>A1</v>
          </cell>
          <cell r="G163">
            <v>15</v>
          </cell>
          <cell r="H163"/>
          <cell r="I163"/>
          <cell r="J163"/>
          <cell r="K163"/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D164"/>
          <cell r="E164">
            <v>162</v>
          </cell>
          <cell r="F164" t="str">
            <v>A2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D165"/>
          <cell r="E165">
            <v>163</v>
          </cell>
          <cell r="F165" t="str">
            <v>A3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D166"/>
          <cell r="E166">
            <v>164</v>
          </cell>
          <cell r="F166" t="str">
            <v>A4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D167"/>
          <cell r="E167">
            <v>165</v>
          </cell>
          <cell r="F167" t="str">
            <v>A5</v>
          </cell>
          <cell r="G167">
            <v>10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D168"/>
          <cell r="E168">
            <v>167</v>
          </cell>
          <cell r="F168" t="str">
            <v>A7</v>
          </cell>
          <cell r="G168">
            <v>10</v>
          </cell>
          <cell r="H168"/>
          <cell r="I168"/>
          <cell r="J168"/>
          <cell r="K168"/>
          <cell r="L168">
            <v>9</v>
          </cell>
          <cell r="M168" t="str">
            <v xml:space="preserve"> Mana +0</v>
          </cell>
          <cell r="N168" t="str">
            <v xml:space="preserve"> Mana</v>
          </cell>
          <cell r="O168" t="str">
            <v>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D169"/>
          <cell r="E169">
            <v>168</v>
          </cell>
          <cell r="F169" t="str">
            <v>A8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 t="str">
            <v xml:space="preserve"> Mana +0</v>
          </cell>
          <cell r="N169" t="str">
            <v xml:space="preserve"> Mana</v>
          </cell>
          <cell r="O169" t="str">
            <v>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D171"/>
          <cell r="E171">
            <v>170</v>
          </cell>
          <cell r="F171" t="str">
            <v>AA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D172"/>
          <cell r="E172">
            <v>171</v>
          </cell>
          <cell r="F172" t="str">
            <v>AB</v>
          </cell>
          <cell r="G172">
            <v>20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D173"/>
          <cell r="E173">
            <v>172</v>
          </cell>
          <cell r="F173" t="str">
            <v>AC</v>
          </cell>
          <cell r="G173">
            <v>20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D174"/>
          <cell r="E174">
            <v>173</v>
          </cell>
          <cell r="F174" t="str">
            <v>AD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D175"/>
          <cell r="E175">
            <v>174</v>
          </cell>
          <cell r="F175" t="str">
            <v>AE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D176"/>
          <cell r="E176">
            <v>175</v>
          </cell>
          <cell r="F176" t="str">
            <v>AF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D177"/>
          <cell r="E177"/>
          <cell r="F177"/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D178"/>
          <cell r="E178">
            <v>177</v>
          </cell>
          <cell r="F178" t="str">
            <v>B1</v>
          </cell>
          <cell r="G178">
            <v>30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D179"/>
          <cell r="E179">
            <v>178</v>
          </cell>
          <cell r="F179" t="str">
            <v>B2</v>
          </cell>
          <cell r="G179">
            <v>30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D180"/>
          <cell r="E180">
            <v>179</v>
          </cell>
          <cell r="F180" t="str">
            <v>B3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D181"/>
          <cell r="E181">
            <v>180</v>
          </cell>
          <cell r="F181" t="str">
            <v>B4</v>
          </cell>
          <cell r="G181">
            <v>30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D182"/>
          <cell r="E182">
            <v>181</v>
          </cell>
          <cell r="F182" t="str">
            <v>B5</v>
          </cell>
          <cell r="G182">
            <v>15</v>
          </cell>
          <cell r="H182"/>
          <cell r="I182"/>
          <cell r="J182"/>
          <cell r="K182"/>
          <cell r="L182">
            <v>9</v>
          </cell>
          <cell r="M182" t="str">
            <v xml:space="preserve"> Mana +0</v>
          </cell>
          <cell r="N182" t="str">
            <v xml:space="preserve"> Mana</v>
          </cell>
          <cell r="O182" t="str">
            <v>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D183"/>
          <cell r="E183">
            <v>182</v>
          </cell>
          <cell r="F183" t="str">
            <v>B6</v>
          </cell>
          <cell r="G183">
            <v>15</v>
          </cell>
          <cell r="H183"/>
          <cell r="I183"/>
          <cell r="J183"/>
          <cell r="K183"/>
          <cell r="L183">
            <v>9</v>
          </cell>
          <cell r="M183" t="str">
            <v xml:space="preserve"> Mana +0</v>
          </cell>
          <cell r="N183" t="str">
            <v xml:space="preserve"> Mana</v>
          </cell>
          <cell r="O183" t="str">
            <v>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D184"/>
          <cell r="E184">
            <v>183</v>
          </cell>
          <cell r="F184" t="str">
            <v>B7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D185"/>
          <cell r="E185">
            <v>184</v>
          </cell>
          <cell r="F185" t="str">
            <v>B8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D186"/>
          <cell r="E186">
            <v>185</v>
          </cell>
          <cell r="F186" t="str">
            <v>B9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D187"/>
          <cell r="E187">
            <v>186</v>
          </cell>
          <cell r="F187" t="str">
            <v>BA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D188"/>
          <cell r="E188">
            <v>187</v>
          </cell>
          <cell r="F188" t="str">
            <v>BB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D189"/>
          <cell r="E189">
            <v>188</v>
          </cell>
          <cell r="F189" t="str">
            <v>BC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>
            <v>0</v>
          </cell>
          <cell r="N189">
            <v>0</v>
          </cell>
          <cell r="O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D190"/>
          <cell r="E190">
            <v>189</v>
          </cell>
          <cell r="F190" t="str">
            <v>BD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D191"/>
          <cell r="E191">
            <v>190</v>
          </cell>
          <cell r="F191" t="str">
            <v>BE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D192"/>
          <cell r="E192">
            <v>191</v>
          </cell>
          <cell r="F192" t="str">
            <v>BF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>
            <v>0</v>
          </cell>
          <cell r="N192">
            <v>0</v>
          </cell>
          <cell r="O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D193"/>
          <cell r="E193">
            <v>192</v>
          </cell>
          <cell r="F193" t="str">
            <v>C0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>
            <v>0</v>
          </cell>
          <cell r="N193">
            <v>0</v>
          </cell>
          <cell r="O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D194"/>
          <cell r="E194">
            <v>193</v>
          </cell>
          <cell r="F194" t="str">
            <v>C1</v>
          </cell>
          <cell r="G194">
            <v>10</v>
          </cell>
          <cell r="H194"/>
          <cell r="I194"/>
          <cell r="J194"/>
          <cell r="K194"/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D195"/>
          <cell r="E195">
            <v>194</v>
          </cell>
          <cell r="F195" t="str">
            <v>C2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D196"/>
          <cell r="E196">
            <v>195</v>
          </cell>
          <cell r="F196" t="str">
            <v>C3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 t="str">
            <v xml:space="preserve"> Mana +0</v>
          </cell>
          <cell r="N196" t="str">
            <v xml:space="preserve"> Mana</v>
          </cell>
          <cell r="O196" t="str">
            <v>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D197"/>
          <cell r="E197">
            <v>196</v>
          </cell>
          <cell r="F197" t="str">
            <v>C4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D198"/>
          <cell r="E198">
            <v>197</v>
          </cell>
          <cell r="F198" t="str">
            <v>C5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D199"/>
          <cell r="E199">
            <v>198</v>
          </cell>
          <cell r="F199" t="str">
            <v>C6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D200"/>
          <cell r="E200">
            <v>199</v>
          </cell>
          <cell r="F200" t="str">
            <v>C7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D201"/>
          <cell r="E201">
            <v>200</v>
          </cell>
          <cell r="F201" t="str">
            <v>C8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 t="str">
            <v xml:space="preserve"> Mana +0</v>
          </cell>
          <cell r="N201" t="str">
            <v xml:space="preserve"> Mana</v>
          </cell>
          <cell r="O201" t="str">
            <v>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D202"/>
          <cell r="E202">
            <v>201</v>
          </cell>
          <cell r="F202" t="str">
            <v>C9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D203"/>
          <cell r="E203">
            <v>202</v>
          </cell>
          <cell r="F203" t="str">
            <v>CA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D204"/>
          <cell r="E204">
            <v>203</v>
          </cell>
          <cell r="F204" t="str">
            <v>CB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>
            <v>0</v>
          </cell>
          <cell r="N204">
            <v>0</v>
          </cell>
          <cell r="O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D205"/>
          <cell r="E205">
            <v>204</v>
          </cell>
          <cell r="F205" t="str">
            <v>CC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D206"/>
          <cell r="E206">
            <v>205</v>
          </cell>
          <cell r="F206" t="str">
            <v>CD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D207"/>
          <cell r="E207">
            <v>206</v>
          </cell>
          <cell r="F207" t="str">
            <v>CE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 t="str">
            <v xml:space="preserve"> Mana +0</v>
          </cell>
          <cell r="N207" t="str">
            <v xml:space="preserve"> Mana</v>
          </cell>
          <cell r="O207" t="str">
            <v>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D208"/>
          <cell r="E208">
            <v>207</v>
          </cell>
          <cell r="F208" t="str">
            <v>CF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D209"/>
          <cell r="E209">
            <v>208</v>
          </cell>
          <cell r="F209" t="str">
            <v>D0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D210"/>
          <cell r="E210">
            <v>209</v>
          </cell>
          <cell r="F210" t="str">
            <v>D1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D211"/>
          <cell r="E211">
            <v>210</v>
          </cell>
          <cell r="F211" t="str">
            <v>D2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D212"/>
          <cell r="E212">
            <v>211</v>
          </cell>
          <cell r="F212" t="str">
            <v>D3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D213"/>
          <cell r="E213">
            <v>212</v>
          </cell>
          <cell r="F213" t="str">
            <v>D4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D214"/>
          <cell r="E214">
            <v>213</v>
          </cell>
          <cell r="F214" t="str">
            <v>D5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 t="str">
            <v xml:space="preserve"> Mana +0</v>
          </cell>
          <cell r="N214" t="str">
            <v xml:space="preserve"> Mana</v>
          </cell>
          <cell r="O214" t="str">
            <v>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D215"/>
          <cell r="E215">
            <v>214</v>
          </cell>
          <cell r="F215" t="str">
            <v>D6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>
            <v>0</v>
          </cell>
          <cell r="N215">
            <v>0</v>
          </cell>
          <cell r="O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D216"/>
          <cell r="E216">
            <v>215</v>
          </cell>
          <cell r="F216" t="str">
            <v>D7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D217"/>
          <cell r="E217">
            <v>216</v>
          </cell>
          <cell r="F217" t="str">
            <v>D8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D218"/>
          <cell r="E218">
            <v>217</v>
          </cell>
          <cell r="F218" t="str">
            <v>D9</v>
          </cell>
          <cell r="G218">
            <v>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D219"/>
          <cell r="E219">
            <v>218</v>
          </cell>
          <cell r="F219" t="str">
            <v>DA</v>
          </cell>
          <cell r="G219">
            <v>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D220"/>
          <cell r="E220">
            <v>219</v>
          </cell>
          <cell r="F220" t="str">
            <v>DB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D221"/>
          <cell r="E221">
            <v>220</v>
          </cell>
          <cell r="F221" t="str">
            <v>DC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D222"/>
          <cell r="E222">
            <v>221</v>
          </cell>
          <cell r="F222" t="str">
            <v>DD</v>
          </cell>
          <cell r="G222">
            <v>10</v>
          </cell>
          <cell r="H222"/>
          <cell r="I222"/>
          <cell r="J222"/>
          <cell r="K222"/>
          <cell r="L222">
            <v>9</v>
          </cell>
          <cell r="M222" t="str">
            <v>Agl +2</v>
          </cell>
          <cell r="N222" t="str">
            <v>Agl</v>
          </cell>
          <cell r="O222" t="str">
            <v>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D223"/>
          <cell r="E223">
            <v>222</v>
          </cell>
          <cell r="F223" t="str">
            <v>DE</v>
          </cell>
          <cell r="G223">
            <v>1</v>
          </cell>
          <cell r="H223"/>
          <cell r="I223"/>
          <cell r="J223"/>
          <cell r="K223"/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D224"/>
          <cell r="E224">
            <v>223</v>
          </cell>
          <cell r="F224" t="str">
            <v>DF</v>
          </cell>
          <cell r="G224">
            <v>5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D225"/>
          <cell r="E225">
            <v>224</v>
          </cell>
          <cell r="F225" t="str">
            <v>E0</v>
          </cell>
          <cell r="G225">
            <v>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D226"/>
          <cell r="E226">
            <v>225</v>
          </cell>
          <cell r="F226" t="str">
            <v>E1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D227"/>
          <cell r="E227">
            <v>226</v>
          </cell>
          <cell r="F227" t="str">
            <v>E2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D228"/>
          <cell r="E228">
            <v>227</v>
          </cell>
          <cell r="F228" t="str">
            <v>E3</v>
          </cell>
          <cell r="G228">
            <v>-2</v>
          </cell>
          <cell r="H228"/>
          <cell r="I228"/>
          <cell r="J228"/>
          <cell r="K228"/>
          <cell r="L228">
            <v>9</v>
          </cell>
          <cell r="M228">
            <v>0</v>
          </cell>
          <cell r="N228">
            <v>0</v>
          </cell>
          <cell r="O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D229"/>
          <cell r="E229">
            <v>228</v>
          </cell>
          <cell r="F229" t="str">
            <v>E4</v>
          </cell>
          <cell r="G229">
            <v>-2</v>
          </cell>
          <cell r="H229"/>
          <cell r="I229"/>
          <cell r="J229"/>
          <cell r="K229"/>
          <cell r="L229">
            <v>9</v>
          </cell>
          <cell r="M229">
            <v>0</v>
          </cell>
          <cell r="N229">
            <v>0</v>
          </cell>
          <cell r="O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D230"/>
          <cell r="E230">
            <v>229</v>
          </cell>
          <cell r="F230" t="str">
            <v>E5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D244"/>
          <cell r="E244">
            <v>243</v>
          </cell>
          <cell r="F244" t="str">
            <v>F3</v>
          </cell>
          <cell r="G244">
            <v>30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D245"/>
          <cell r="E245">
            <v>244</v>
          </cell>
          <cell r="F245" t="str">
            <v>F4</v>
          </cell>
          <cell r="G245">
            <v>30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D247"/>
          <cell r="E247">
            <v>246</v>
          </cell>
          <cell r="F247" t="str">
            <v>F6</v>
          </cell>
          <cell r="G247">
            <v>15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D249"/>
          <cell r="E249">
            <v>253</v>
          </cell>
          <cell r="F249" t="str">
            <v>FD</v>
          </cell>
          <cell r="G249">
            <v>30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D250"/>
          <cell r="E250">
            <v>254</v>
          </cell>
          <cell r="F250" t="str">
            <v>FE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H251"/>
          <cell r="I251"/>
          <cell r="J251"/>
          <cell r="K251"/>
          <cell r="L251">
            <v>0</v>
          </cell>
          <cell r="M251" t="str">
            <v>Str +22</v>
          </cell>
          <cell r="N251" t="str">
            <v>Str</v>
          </cell>
          <cell r="O251" t="str">
            <v>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H252"/>
          <cell r="I252"/>
          <cell r="J252"/>
          <cell r="K252"/>
          <cell r="L252">
            <v>0</v>
          </cell>
          <cell r="M252" t="str">
            <v>Agl +22</v>
          </cell>
          <cell r="N252">
            <v>0</v>
          </cell>
          <cell r="O252">
            <v>0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 t="str">
            <v>Def +22</v>
          </cell>
          <cell r="N254" t="str">
            <v>Def</v>
          </cell>
          <cell r="O254" t="str">
            <v>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E259"/>
          <cell r="F259"/>
          <cell r="G259">
            <v>-2</v>
          </cell>
          <cell r="H259"/>
          <cell r="I259"/>
          <cell r="J259"/>
          <cell r="K259"/>
          <cell r="L259"/>
          <cell r="M259"/>
          <cell r="N259">
            <v>0</v>
          </cell>
          <cell r="O259">
            <v>0</v>
          </cell>
        </row>
        <row r="260">
          <cell r="A260" t="str">
            <v>Tremor</v>
          </cell>
          <cell r="B260" t="str">
            <v>Tremor</v>
          </cell>
          <cell r="C260"/>
          <cell r="D260"/>
          <cell r="E260"/>
          <cell r="F260"/>
          <cell r="G260">
            <v>-2</v>
          </cell>
          <cell r="H260"/>
          <cell r="I260"/>
          <cell r="J260"/>
          <cell r="K260"/>
          <cell r="L260">
            <v>0</v>
          </cell>
          <cell r="M260"/>
          <cell r="N260">
            <v>0</v>
          </cell>
          <cell r="O260">
            <v>0</v>
          </cell>
        </row>
        <row r="261">
          <cell r="A261" t="str">
            <v>kW B-Exp</v>
          </cell>
          <cell r="B261" t="str">
            <v>kW B-Exp</v>
          </cell>
          <cell r="C261"/>
          <cell r="D261"/>
          <cell r="E261"/>
          <cell r="F261"/>
          <cell r="G261">
            <v>-2</v>
          </cell>
          <cell r="H261"/>
          <cell r="I261"/>
          <cell r="J261"/>
          <cell r="K261"/>
          <cell r="L261">
            <v>18</v>
          </cell>
          <cell r="M261"/>
          <cell r="N261" t="str">
            <v>Str</v>
          </cell>
          <cell r="O261">
            <v>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E262"/>
          <cell r="F262"/>
          <cell r="G262">
            <v>30</v>
          </cell>
          <cell r="H262">
            <v>400</v>
          </cell>
          <cell r="I262"/>
          <cell r="J262"/>
          <cell r="K262"/>
          <cell r="L262">
            <v>0</v>
          </cell>
          <cell r="M262"/>
          <cell r="N262">
            <v>0</v>
          </cell>
          <cell r="O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D263"/>
          <cell r="E263"/>
          <cell r="F263"/>
          <cell r="G263">
            <v>15</v>
          </cell>
          <cell r="H263"/>
          <cell r="I263"/>
          <cell r="J263"/>
          <cell r="K263"/>
          <cell r="L263">
            <v>0</v>
          </cell>
          <cell r="M263"/>
          <cell r="N263">
            <v>0</v>
          </cell>
          <cell r="O263">
            <v>0</v>
          </cell>
        </row>
        <row r="264">
          <cell r="A264" t="str">
            <v>Windstorm</v>
          </cell>
          <cell r="B264" t="str">
            <v>Windstorm</v>
          </cell>
          <cell r="C264"/>
          <cell r="D264"/>
          <cell r="E264"/>
          <cell r="F264"/>
          <cell r="G264">
            <v>15</v>
          </cell>
          <cell r="H264"/>
          <cell r="I264"/>
          <cell r="J264"/>
          <cell r="K264"/>
          <cell r="L264"/>
          <cell r="M264"/>
          <cell r="N264"/>
          <cell r="O264"/>
        </row>
        <row r="265">
          <cell r="A265" t="str">
            <v>Sandblast</v>
          </cell>
          <cell r="B265" t="str">
            <v>Sandblast</v>
          </cell>
          <cell r="C265"/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/>
          <cell r="M265"/>
          <cell r="N265"/>
          <cell r="O265"/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E266"/>
          <cell r="F266"/>
          <cell r="G266">
            <v>-2</v>
          </cell>
          <cell r="H266"/>
          <cell r="I266"/>
          <cell r="J266"/>
          <cell r="K266"/>
          <cell r="L266"/>
          <cell r="M266"/>
          <cell r="N266"/>
          <cell r="O266"/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E267"/>
          <cell r="F267"/>
          <cell r="G267">
            <v>-2</v>
          </cell>
          <cell r="H267"/>
          <cell r="I267"/>
          <cell r="J267"/>
          <cell r="K267"/>
          <cell r="L267"/>
          <cell r="M267"/>
          <cell r="N267"/>
          <cell r="O267"/>
        </row>
        <row r="268">
          <cell r="A268" t="str">
            <v>AreaCure</v>
          </cell>
          <cell r="B268" t="str">
            <v>AreaCure</v>
          </cell>
          <cell r="C268"/>
          <cell r="D268"/>
          <cell r="E268"/>
          <cell r="F268"/>
          <cell r="G268">
            <v>10</v>
          </cell>
          <cell r="H268"/>
          <cell r="I268"/>
          <cell r="J268"/>
          <cell r="K268"/>
          <cell r="L268"/>
          <cell r="M268"/>
          <cell r="N268"/>
          <cell r="O268"/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E269"/>
          <cell r="F269"/>
          <cell r="G269">
            <v>30</v>
          </cell>
          <cell r="H269"/>
          <cell r="I269"/>
          <cell r="J269"/>
          <cell r="K269"/>
          <cell r="L269">
            <v>81</v>
          </cell>
          <cell r="M269"/>
          <cell r="N269" t="str">
            <v>Def</v>
          </cell>
          <cell r="O269">
            <v>18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D270"/>
          <cell r="E270">
            <v>129</v>
          </cell>
          <cell r="F270">
            <v>81</v>
          </cell>
          <cell r="G270">
            <v>15</v>
          </cell>
          <cell r="H270"/>
          <cell r="I270"/>
          <cell r="J270"/>
          <cell r="K270"/>
          <cell r="L270">
            <v>9</v>
          </cell>
          <cell r="M270">
            <v>0</v>
          </cell>
          <cell r="N270">
            <v>0</v>
          </cell>
          <cell r="O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Crash</v>
          </cell>
          <cell r="D271"/>
          <cell r="E271"/>
          <cell r="F271"/>
          <cell r="G271">
            <v>5</v>
          </cell>
          <cell r="H271"/>
          <cell r="I271"/>
          <cell r="J271"/>
          <cell r="K271"/>
          <cell r="L271"/>
          <cell r="M271"/>
          <cell r="N271"/>
          <cell r="O271"/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D272"/>
          <cell r="E272"/>
          <cell r="F272"/>
          <cell r="G272">
            <v>99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E273"/>
          <cell r="F273"/>
          <cell r="G273">
            <v>-2</v>
          </cell>
          <cell r="H273"/>
          <cell r="I273">
            <v>2</v>
          </cell>
          <cell r="J273" t="str">
            <v>Agl</v>
          </cell>
          <cell r="K273">
            <v>1</v>
          </cell>
          <cell r="L273"/>
          <cell r="M273"/>
          <cell r="N273"/>
          <cell r="O273"/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Sting</v>
          </cell>
          <cell r="C277" t="str">
            <v>Sting</v>
          </cell>
          <cell r="G277">
            <v>30</v>
          </cell>
        </row>
        <row r="278">
          <cell r="B278" t="str">
            <v>Repeat X-Bow</v>
          </cell>
          <cell r="D278" t="str">
            <v>Bow</v>
          </cell>
          <cell r="G278">
            <v>40</v>
          </cell>
          <cell r="H278">
            <v>11000</v>
          </cell>
          <cell r="L278">
            <v>63</v>
          </cell>
          <cell r="N278" t="str">
            <v>Agl</v>
          </cell>
          <cell r="O278">
            <v>10</v>
          </cell>
        </row>
        <row r="279">
          <cell r="B279" t="str">
            <v>Psi Flurry</v>
          </cell>
          <cell r="G279">
            <v>10</v>
          </cell>
        </row>
        <row r="280">
          <cell r="B280" t="str">
            <v>Hex</v>
          </cell>
          <cell r="G280">
            <v>15</v>
          </cell>
        </row>
        <row r="281">
          <cell r="B281" t="str">
            <v>Charge</v>
          </cell>
          <cell r="C281" t="str">
            <v>Charge</v>
          </cell>
          <cell r="G281">
            <v>10</v>
          </cell>
        </row>
        <row r="282">
          <cell r="B282" t="str">
            <v>DiveBomb</v>
          </cell>
          <cell r="C282" t="str">
            <v>DiveBomb</v>
          </cell>
          <cell r="G282">
            <v>15</v>
          </cell>
        </row>
        <row r="283">
          <cell r="B283" t="str">
            <v>Trample</v>
          </cell>
          <cell r="C283" t="str">
            <v>Trample</v>
          </cell>
          <cell r="G283">
            <v>15</v>
          </cell>
        </row>
        <row r="284">
          <cell r="B284" t="str">
            <v>SHINING FINGER</v>
          </cell>
        </row>
        <row r="285">
          <cell r="B285" t="str">
            <v>Golden Gun</v>
          </cell>
        </row>
        <row r="286">
          <cell r="B286" t="str">
            <v>Pistol</v>
          </cell>
        </row>
        <row r="287">
          <cell r="B287" t="str">
            <v>Beretta</v>
          </cell>
          <cell r="G287">
            <v>50</v>
          </cell>
        </row>
        <row r="288">
          <cell r="B288" t="str">
            <v>None</v>
          </cell>
          <cell r="G288">
            <v>99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W7" sqref="W7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3" bestFit="1" customWidth="1"/>
    <col min="17" max="18" width="3.7109375" style="6" bestFit="1" customWidth="1"/>
    <col min="19" max="19" width="14.85546875" style="23" bestFit="1" customWidth="1"/>
    <col min="20" max="21" width="3.7109375" style="6" bestFit="1" customWidth="1"/>
    <col min="22" max="22" width="13.7109375" style="23" bestFit="1" customWidth="1"/>
    <col min="23" max="24" width="3.7109375" style="6" bestFit="1" customWidth="1"/>
    <col min="25" max="25" width="14.140625" style="23" bestFit="1" customWidth="1"/>
    <col min="26" max="27" width="3.7109375" style="6" bestFit="1" customWidth="1"/>
    <col min="28" max="28" width="13.42578125" style="23" bestFit="1" customWidth="1"/>
    <col min="29" max="30" width="3.7109375" style="6" bestFit="1" customWidth="1"/>
    <col min="31" max="31" width="13.28515625" style="23" bestFit="1" customWidth="1"/>
    <col min="32" max="33" width="3.7109375" style="6" bestFit="1" customWidth="1"/>
    <col min="34" max="34" width="13.28515625" style="23" bestFit="1" customWidth="1"/>
    <col min="35" max="36" width="3.7109375" style="6" bestFit="1" customWidth="1"/>
    <col min="37" max="37" width="12.7109375" style="23" bestFit="1" customWidth="1"/>
    <col min="38" max="39" width="3.7109375" style="6" bestFit="1" customWidth="1"/>
    <col min="40" max="40" width="9.140625" style="23" bestFit="1" customWidth="1"/>
    <col min="41" max="41" width="3.7109375" style="6" bestFit="1" customWidth="1"/>
    <col min="42" max="42" width="3.7109375" style="28" customWidth="1"/>
    <col min="43" max="43" width="20.28515625" style="1" customWidth="1"/>
    <col min="44" max="44" width="28.5703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1" customFormat="1" ht="75.75" customHeight="1" x14ac:dyDescent="0.2">
      <c r="A1" s="10" t="s">
        <v>18</v>
      </c>
      <c r="B1" s="11" t="s">
        <v>40</v>
      </c>
      <c r="C1" s="12" t="s">
        <v>71</v>
      </c>
      <c r="D1" s="11" t="s">
        <v>39</v>
      </c>
      <c r="E1" s="11" t="s">
        <v>38</v>
      </c>
      <c r="F1" s="12" t="s">
        <v>69</v>
      </c>
      <c r="G1" s="13" t="s">
        <v>37</v>
      </c>
      <c r="H1" s="14" t="s">
        <v>44</v>
      </c>
      <c r="I1" s="15" t="s">
        <v>36</v>
      </c>
      <c r="J1" s="16" t="s">
        <v>45</v>
      </c>
      <c r="K1" s="13" t="s">
        <v>35</v>
      </c>
      <c r="L1" s="14" t="s">
        <v>46</v>
      </c>
      <c r="M1" s="15" t="s">
        <v>34</v>
      </c>
      <c r="N1" s="16" t="s">
        <v>47</v>
      </c>
      <c r="O1" s="13" t="s">
        <v>33</v>
      </c>
      <c r="P1" s="22" t="s">
        <v>32</v>
      </c>
      <c r="Q1" s="17" t="s">
        <v>50</v>
      </c>
      <c r="R1" s="18" t="s">
        <v>61</v>
      </c>
      <c r="S1" s="22" t="s">
        <v>31</v>
      </c>
      <c r="T1" s="17" t="s">
        <v>52</v>
      </c>
      <c r="U1" s="18" t="s">
        <v>62</v>
      </c>
      <c r="V1" s="22" t="s">
        <v>30</v>
      </c>
      <c r="W1" s="17" t="s">
        <v>53</v>
      </c>
      <c r="X1" s="18" t="s">
        <v>63</v>
      </c>
      <c r="Y1" s="22" t="s">
        <v>29</v>
      </c>
      <c r="Z1" s="17" t="s">
        <v>54</v>
      </c>
      <c r="AA1" s="18" t="s">
        <v>64</v>
      </c>
      <c r="AB1" s="29" t="s">
        <v>28</v>
      </c>
      <c r="AC1" s="30" t="s">
        <v>55</v>
      </c>
      <c r="AD1" s="18" t="s">
        <v>65</v>
      </c>
      <c r="AE1" s="22" t="s">
        <v>27</v>
      </c>
      <c r="AF1" s="17" t="s">
        <v>56</v>
      </c>
      <c r="AG1" s="18" t="s">
        <v>66</v>
      </c>
      <c r="AH1" s="22" t="s">
        <v>26</v>
      </c>
      <c r="AI1" s="17" t="s">
        <v>57</v>
      </c>
      <c r="AJ1" s="18" t="s">
        <v>67</v>
      </c>
      <c r="AK1" s="22" t="s">
        <v>25</v>
      </c>
      <c r="AL1" s="17" t="s">
        <v>58</v>
      </c>
      <c r="AM1" s="18" t="s">
        <v>68</v>
      </c>
      <c r="AN1" s="25" t="s">
        <v>48</v>
      </c>
      <c r="AO1" s="17" t="s">
        <v>51</v>
      </c>
      <c r="AP1" s="27" t="s">
        <v>70</v>
      </c>
      <c r="AQ1" s="16" t="s">
        <v>49</v>
      </c>
      <c r="AR1" s="19" t="s">
        <v>43</v>
      </c>
      <c r="AS1" s="20" t="s">
        <v>72</v>
      </c>
      <c r="AT1" s="20" t="s">
        <v>73</v>
      </c>
    </row>
    <row r="2" spans="1:46" x14ac:dyDescent="0.25">
      <c r="A2" s="62" t="str">
        <f t="shared" ref="A2:A12" si="0">B2</f>
        <v>Rando</v>
      </c>
      <c r="B2" s="60" t="s">
        <v>92</v>
      </c>
      <c r="C2" s="84"/>
      <c r="D2" s="35" t="s">
        <v>75</v>
      </c>
      <c r="E2" s="97" t="s">
        <v>176</v>
      </c>
      <c r="F2">
        <v>99</v>
      </c>
      <c r="G2" s="2">
        <f>IF(ISBLANK(VLOOKUP($E2,[1]Monster!$A$2:$X$257,10,FALSE)),"",VLOOKUP($E2,[1]Monster!$A$2:$X$257,10,FALSE))</f>
        <v>99</v>
      </c>
      <c r="H2" s="3">
        <v>0</v>
      </c>
      <c r="I2" s="5">
        <f>IF(ISBLANK(VLOOKUP($E2,[1]Monster!$A$2:$X$257,11,FALSE)),"",VLOOKUP($E2,[1]Monster!$A$2:$X$257,11,FALSE))+H2</f>
        <v>10</v>
      </c>
      <c r="J2" s="4">
        <v>0</v>
      </c>
      <c r="K2" s="2">
        <f>IF(ISBLANK(VLOOKUP($E2,[1]Monster!$A$2:$X$257,14,FALSE)),"",VLOOKUP($E2,[1]Monster!$A$2:$X$257,14,FALSE))+J2</f>
        <v>5</v>
      </c>
      <c r="L2" s="3">
        <v>0</v>
      </c>
      <c r="M2" s="5">
        <f>IF(ISBLANK(VLOOKUP($E2,[1]Monster!$A$2:$X$257,12,FALSE)),"",VLOOKUP($E2,[1]Monster!$A$2:$X$257,12,FALSE))+L2</f>
        <v>7</v>
      </c>
      <c r="N2" s="4">
        <v>0</v>
      </c>
      <c r="O2" s="2">
        <f>IF(ISBLANK(VLOOKUP($E2,[1]Monster!$A$2:$X$257,13,FALSE)),"",VLOOKUP($E2,[1]Monster!$A$2:$X$257,13,FALSE))+N2</f>
        <v>8</v>
      </c>
      <c r="P2" s="31" t="str">
        <f>IF(ISBLANK(VLOOKUP($E2,[1]Monster!$A$2:$X$257,16,FALSE)),"",VLOOKUP($E2,[1]Monster!$A$2:$X$257,16,FALSE))</f>
        <v>Tentacle</v>
      </c>
      <c r="Q2">
        <v>30</v>
      </c>
      <c r="R2" s="6">
        <f>_xlfn.IFNA(IF($E2="Robot",VLOOKUP(P2,[1]Weapon!$B$1:$G$351,6,FALSE)/2,VLOOKUP(P2,[1]Weapon!$B$1:$G$351,6,FALSE)),0)</f>
        <v>30</v>
      </c>
      <c r="S2" s="31" t="str">
        <f>IF(ISBLANK(VLOOKUP($E2,[1]Monster!$A$2:$X$257,17,FALSE)),"",VLOOKUP($E2,[1]Monster!$A$2:$X$257,17,FALSE))</f>
        <v>8-Legs</v>
      </c>
      <c r="T2">
        <v>13</v>
      </c>
      <c r="U2" s="6">
        <f>_xlfn.IFNA(IF($E2="Robot",VLOOKUP(S2,[1]Weapon!$B$1:$G$351,6,FALSE)/2,VLOOKUP(S2,[1]Weapon!$B$1:$G$351,6,FALSE)),0)</f>
        <v>15</v>
      </c>
      <c r="V2" s="31" t="str">
        <f>IF(ISBLANK(VLOOKUP($E2,[1]Monster!$A$2:$X$257,18,FALSE)),"",VLOOKUP($E2,[1]Monster!$A$2:$X$257,18,FALSE))</f>
        <v>X-Thunder</v>
      </c>
      <c r="W2">
        <v>0</v>
      </c>
      <c r="X2" s="6">
        <f>_xlfn.IFNA(IF($E2="Robot",VLOOKUP(V2,[1]Weapon!$B$1:$G$351,6,FALSE)/2,VLOOKUP(V2,[1]Weapon!$B$1:$G$351,6,FALSE)),0)</f>
        <v>-2</v>
      </c>
      <c r="Y2" s="32"/>
      <c r="Z2">
        <v>0</v>
      </c>
      <c r="AA2" s="6">
        <f>_xlfn.IFNA(IF($E2="Robot",VLOOKUP(Y2,[1]Weapon!$B$1:$G$351,6,FALSE)/2,VLOOKUP(Y2,[1]Weapon!$B$1:$G$351,6,FALSE)),0)</f>
        <v>0</v>
      </c>
      <c r="AB2" s="31" t="str">
        <f>IF(ISBLANK(VLOOKUP($E2,[1]Monster!$A$2:$X$257,20,FALSE)),"",VLOOKUP($E2,[1]Monster!$A$2:$X$257,20,FALSE))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1" t="str">
        <f>IF(ISBLANK(VLOOKUP($E2,[1]Monster!$A$2:$X$257,21,FALSE)),"",VLOOKUP($E2,[1]Monster!$A$2:$X$257,21,FALSE))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1" t="str">
        <f>IF(ISBLANK(VLOOKUP($E2,[1]Monster!$A$2:$X$257,22,FALSE)),"",VLOOKUP($E2,[1]Monster!$A$2:$X$257,22,FALSE))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94"/>
      <c r="AL2">
        <v>0</v>
      </c>
      <c r="AM2" s="6">
        <f>_xlfn.IFNA(IF($E2="Robot",VLOOKUP(AK2,[1]Weapon!$B$1:$G$351,6,FALSE)/2,VLOOKUP(AK2,[1]Weapon!$B$1:$G$351,6,FALSE)),0)</f>
        <v>0</v>
      </c>
      <c r="AN2" s="26"/>
      <c r="AO2">
        <v>0</v>
      </c>
      <c r="AP2" s="6">
        <f>_xlfn.IFNA(IF($E2="Robot",VLOOKUP(AN2,[1]Weapon!$B$1:$G$351,6,FALSE)/2,VLOOKUP(AN2,[1]Weapon!$B$1:$G$351,6,FALSE)),0)</f>
        <v>0</v>
      </c>
      <c r="AQ2" s="74"/>
      <c r="AR2" s="89" t="s">
        <v>167</v>
      </c>
      <c r="AS2">
        <f>VLOOKUP(B2,Toolkit!$Q$3:$U$22,2,FALSE)</f>
        <v>420</v>
      </c>
    </row>
    <row r="3" spans="1:46" x14ac:dyDescent="0.25">
      <c r="A3" s="62" t="str">
        <f t="shared" si="0"/>
        <v>Grace</v>
      </c>
      <c r="B3" s="34" t="s">
        <v>93</v>
      </c>
      <c r="C3" s="84"/>
      <c r="D3" s="34" t="s">
        <v>94</v>
      </c>
      <c r="E3" s="67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6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98" t="s">
        <v>89</v>
      </c>
      <c r="Q3">
        <v>14</v>
      </c>
      <c r="R3" s="6">
        <f>_xlfn.IFNA(IF($E3="Robot",VLOOKUP(P3,[1]Weapon!$B$1:$G$351,6,FALSE)/2,VLOOKUP(P3,[1]Weapon!$B$1:$G$351,6,FALSE)),0)</f>
        <v>15</v>
      </c>
      <c r="S3" s="99" t="s">
        <v>140</v>
      </c>
      <c r="T3">
        <v>13</v>
      </c>
      <c r="U3" s="6">
        <f>_xlfn.IFNA(IF($E3="Robot",VLOOKUP(S3,[1]Weapon!$B$1:$G$351,6,FALSE)/2,VLOOKUP(S3,[1]Weapon!$B$1:$G$351,6,FALSE)),0)</f>
        <v>15</v>
      </c>
      <c r="V3" s="100"/>
      <c r="W3">
        <v>0</v>
      </c>
      <c r="X3" s="6">
        <f>_xlfn.IFNA(IF($E3="Robot",VLOOKUP(V3,[1]Weapon!$B$1:$G$351,6,FALSE)/2,VLOOKUP(V3,[1]Weapon!$B$1:$G$351,6,FALSE)),0)</f>
        <v>0</v>
      </c>
      <c r="Y3" s="100"/>
      <c r="Z3">
        <v>0</v>
      </c>
      <c r="AA3" s="6">
        <f>_xlfn.IFNA(IF($E3="Robot",VLOOKUP(Y3,[1]Weapon!$B$1:$G$351,6,FALSE)/2,VLOOKUP(Y3,[1]Weapon!$B$1:$G$351,6,FALSE)),0)</f>
        <v>0</v>
      </c>
      <c r="AB3" s="36" t="s">
        <v>95</v>
      </c>
      <c r="AC3">
        <v>48</v>
      </c>
      <c r="AD3" s="6">
        <f>_xlfn.IFNA(IF($E3="Robot",VLOOKUP(AB3,[1]Weapon!$B$1:$G$351,6,FALSE)/2,VLOOKUP(AB3,[1]Weapon!$B$1:$G$351,6,FALSE)),0)</f>
        <v>50</v>
      </c>
      <c r="AE3" s="36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85" t="s">
        <v>142</v>
      </c>
      <c r="AI3">
        <v>-1</v>
      </c>
      <c r="AJ3" s="6">
        <f>_xlfn.IFNA(IF($E3="Robot",VLOOKUP(AH3,[1]Weapon!$B$1:$G$351,6,FALSE)/2,VLOOKUP(AH3,[1]Weapon!$B$1:$G$351,6,FALSE)),0)</f>
        <v>-2</v>
      </c>
      <c r="AK3" s="85" t="s">
        <v>156</v>
      </c>
      <c r="AL3">
        <v>-1</v>
      </c>
      <c r="AM3" s="6">
        <f>_xlfn.IFNA(IF($E3="Robot",VLOOKUP(AK3,[1]Weapon!$B$1:$G$351,6,FALSE)/2,VLOOKUP(AK3,[1]Weapon!$B$1:$G$351,6,FALSE)),0)</f>
        <v>-2</v>
      </c>
      <c r="AN3" s="31"/>
      <c r="AO3">
        <v>0</v>
      </c>
      <c r="AP3" s="6">
        <f>_xlfn.IFNA(IF($E3="Robot",VLOOKUP(AN3,[1]Weapon!$B$1:$G$351,6,FALSE)/2,VLOOKUP(AN3,[1]Weapon!$B$1:$G$351,6,FALSE)),0)</f>
        <v>0</v>
      </c>
      <c r="AQ3" s="3"/>
      <c r="AR3" s="89" t="s">
        <v>166</v>
      </c>
      <c r="AS3">
        <f>VLOOKUP(B3,Toolkit!$Q$3:$U$22,2,FALSE)</f>
        <v>326</v>
      </c>
    </row>
    <row r="4" spans="1:46" x14ac:dyDescent="0.25">
      <c r="A4" s="62" t="str">
        <f t="shared" si="0"/>
        <v>Astrid</v>
      </c>
      <c r="B4" s="34" t="s">
        <v>97</v>
      </c>
      <c r="C4" s="84"/>
      <c r="D4" s="34" t="s">
        <v>78</v>
      </c>
      <c r="E4" s="67" t="s">
        <v>91</v>
      </c>
      <c r="F4">
        <v>65</v>
      </c>
      <c r="G4" s="2">
        <v>65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5</v>
      </c>
      <c r="L4" s="3">
        <v>6</v>
      </c>
      <c r="M4" s="5">
        <f>L4</f>
        <v>6</v>
      </c>
      <c r="N4" s="4">
        <v>7</v>
      </c>
      <c r="O4" s="2">
        <f t="shared" ref="O4" si="4">N4</f>
        <v>7</v>
      </c>
      <c r="P4" s="98" t="s">
        <v>88</v>
      </c>
      <c r="Q4">
        <v>14</v>
      </c>
      <c r="R4" s="6">
        <f>_xlfn.IFNA(IF($E4="Robot",VLOOKUP(P4,[1]Weapon!$B$1:$G$351,6,FALSE)/2,VLOOKUP(P4,[1]Weapon!$B$1:$G$351,6,FALSE)),0)</f>
        <v>15</v>
      </c>
      <c r="S4" s="101" t="s">
        <v>144</v>
      </c>
      <c r="T4">
        <v>-2</v>
      </c>
      <c r="U4" s="6">
        <f>_xlfn.IFNA(IF($E4="Robot",VLOOKUP(S4,[1]Weapon!$B$1:$G$351,6,FALSE)/2,VLOOKUP(S4,[1]Weapon!$B$1:$G$351,6,FALSE)),0)</f>
        <v>-2</v>
      </c>
      <c r="V4" s="102" t="s">
        <v>146</v>
      </c>
      <c r="W4">
        <v>-2</v>
      </c>
      <c r="X4" s="6">
        <f>_xlfn.IFNA(IF($E4="Robot",VLOOKUP(V4,[1]Weapon!$B$1:$G$351,6,FALSE)/2,VLOOKUP(V4,[1]Weapon!$B$1:$G$351,6,FALSE)),0)</f>
        <v>-2</v>
      </c>
      <c r="Y4" s="100"/>
      <c r="Z4">
        <v>0</v>
      </c>
      <c r="AA4" s="6">
        <f>_xlfn.IFNA(IF($E4="Robot",VLOOKUP(Y4,[1]Weapon!$B$1:$G$351,6,FALSE)/2,VLOOKUP(Y4,[1]Weapon!$B$1:$G$351,6,FALSE)),0)</f>
        <v>0</v>
      </c>
      <c r="AB4" s="36" t="s">
        <v>95</v>
      </c>
      <c r="AC4">
        <v>44</v>
      </c>
      <c r="AD4" s="6">
        <f>_xlfn.IFNA(IF($E4="Robot",VLOOKUP(AB4,[1]Weapon!$B$1:$G$351,6,FALSE)/2,VLOOKUP(AB4,[1]Weapon!$B$1:$G$351,6,FALSE)),0)</f>
        <v>50</v>
      </c>
      <c r="AE4" s="36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85" t="s">
        <v>142</v>
      </c>
      <c r="AI4">
        <v>-1</v>
      </c>
      <c r="AJ4" s="6">
        <f>_xlfn.IFNA(IF($E4="Robot",VLOOKUP(AH4,[1]Weapon!$B$1:$G$351,6,FALSE)/2,VLOOKUP(AH4,[1]Weapon!$B$1:$G$351,6,FALSE)),0)</f>
        <v>-2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R4" s="89" t="s">
        <v>143</v>
      </c>
      <c r="AS4">
        <f>VLOOKUP(B4,Toolkit!$Q$3:$U$22,2,FALSE)</f>
        <v>318</v>
      </c>
    </row>
    <row r="5" spans="1:46" x14ac:dyDescent="0.25">
      <c r="A5" s="62" t="str">
        <f t="shared" si="0"/>
        <v>Cuthbert</v>
      </c>
      <c r="B5" s="34" t="s">
        <v>98</v>
      </c>
      <c r="C5" s="84"/>
      <c r="D5" s="34" t="s">
        <v>99</v>
      </c>
      <c r="E5" s="61" t="s">
        <v>139</v>
      </c>
      <c r="F5">
        <v>81</v>
      </c>
      <c r="G5" s="2">
        <f>IF(ISBLANK(VLOOKUP($E5,[1]Monster!$A$2:$X$257,10,FALSE)),"",VLOOKUP($E5,[1]Monster!$A$2:$X$257,10,FALSE))</f>
        <v>81</v>
      </c>
      <c r="H5" s="3">
        <v>0</v>
      </c>
      <c r="I5" s="5">
        <f>IF(ISBLANK(VLOOKUP($E5,[1]Monster!$A$2:$X$257,11,FALSE)),"",VLOOKUP($E5,[1]Monster!$A$2:$X$257,11,FALSE))+H5</f>
        <v>10</v>
      </c>
      <c r="J5" s="4">
        <v>0</v>
      </c>
      <c r="K5" s="2">
        <f>IF(ISBLANK(VLOOKUP($E5,[1]Monster!$A$2:$X$257,14,FALSE)),"",VLOOKUP($E5,[1]Monster!$A$2:$X$257,14,FALSE))+J5</f>
        <v>8</v>
      </c>
      <c r="L5" s="3">
        <v>0</v>
      </c>
      <c r="M5" s="5">
        <f>IF(ISBLANK(VLOOKUP($E5,[1]Monster!$A$2:$X$257,12,FALSE)),"",VLOOKUP($E5,[1]Monster!$A$2:$X$257,12,FALSE))+L5</f>
        <v>9</v>
      </c>
      <c r="N5" s="4">
        <v>0</v>
      </c>
      <c r="O5" s="2">
        <f>IF(ISBLANK(VLOOKUP($E5,[1]Monster!$A$2:$X$257,13,FALSE)),"",VLOOKUP($E5,[1]Monster!$A$2:$X$257,13,FALSE))+N5</f>
        <v>5</v>
      </c>
      <c r="P5" s="31" t="str">
        <f>IF(ISBLANK(VLOOKUP($E5,[1]Monster!$A$2:$X$257,16,FALSE)),"",VLOOKUP($E5,[1]Monster!$A$2:$X$257,16,FALSE))</f>
        <v>Beak</v>
      </c>
      <c r="Q5">
        <v>27</v>
      </c>
      <c r="R5" s="6">
        <f>_xlfn.IFNA(IF($E5="Robot",VLOOKUP(P5,[1]Weapon!$B$1:$G$351,6,FALSE)/2,VLOOKUP(P5,[1]Weapon!$B$1:$G$351,6,FALSE)),0)</f>
        <v>30</v>
      </c>
      <c r="S5" s="31" t="str">
        <f>IF(ISBLANK(VLOOKUP($E5,[1]Monster!$A$2:$X$257,17,FALSE)),"",VLOOKUP($E5,[1]Monster!$A$2:$X$257,17,FALSE))</f>
        <v>O-Quake</v>
      </c>
      <c r="T5">
        <v>-2</v>
      </c>
      <c r="U5" s="6">
        <f>_xlfn.IFNA(IF($E5="Robot",VLOOKUP(S5,[1]Weapon!$B$1:$G$351,6,FALSE)/2,VLOOKUP(S5,[1]Weapon!$B$1:$G$351,6,FALSE)),0)</f>
        <v>-2</v>
      </c>
      <c r="V5" s="72"/>
      <c r="W5">
        <v>0</v>
      </c>
      <c r="X5" s="6">
        <f>_xlfn.IFNA(IF($E5="Robot",VLOOKUP(V5,[1]Weapon!$B$1:$G$351,6,FALSE)/2,VLOOKUP(V5,[1]Weapon!$B$1:$G$351,6,FALSE)),0)</f>
        <v>0</v>
      </c>
      <c r="Y5" s="32"/>
      <c r="Z5">
        <v>0</v>
      </c>
      <c r="AA5" s="6">
        <f>_xlfn.IFNA(IF($E5="Robot",VLOOKUP(Y5,[1]Weapon!$B$1:$G$351,6,FALSE)/2,VLOOKUP(Y5,[1]Weapon!$B$1:$G$351,6,FALSE)),0)</f>
        <v>0</v>
      </c>
      <c r="AB5" s="31" t="str">
        <f>IF(ISBLANK(VLOOKUP($E5,[1]Monster!$A$2:$X$257,20,FALSE)),"",VLOOKUP($E5,[1]Monster!$A$2:$X$257,20,FALSE))</f>
        <v/>
      </c>
      <c r="AC5">
        <v>0</v>
      </c>
      <c r="AD5" s="6">
        <f>_xlfn.IFNA(IF($E5="Robot",VLOOKUP(AB5,[1]Weapon!$B$1:$G$351,6,FALSE)/2,VLOOKUP(AB5,[1]Weapon!$B$1:$G$351,6,FALSE)),0)</f>
        <v>0</v>
      </c>
      <c r="AE5" s="31" t="str">
        <f>IF(ISBLANK(VLOOKUP($E5,[1]Monster!$A$2:$X$257,21,FALSE)),"",VLOOKUP($E5,[1]Monster!$A$2:$X$257,21,FALSE))</f>
        <v/>
      </c>
      <c r="AF5">
        <v>0</v>
      </c>
      <c r="AG5" s="6">
        <f>_xlfn.IFNA(IF($E5="Robot",VLOOKUP(AE5,[1]Weapon!$B$1:$G$351,6,FALSE)/2,VLOOKUP(AE5,[1]Weapon!$B$1:$G$351,6,FALSE)),0)</f>
        <v>0</v>
      </c>
      <c r="AH5" s="31" t="str">
        <f>IF(ISBLANK(VLOOKUP($E5,[1]Monster!$A$2:$X$257,22,FALSE)),"",VLOOKUP($E5,[1]Monster!$A$2:$X$257,22,FALSE))</f>
        <v/>
      </c>
      <c r="AI5">
        <v>0</v>
      </c>
      <c r="AJ5" s="6">
        <f>_xlfn.IFNA(IF($E5="Robot",VLOOKUP(AH5,[1]Weapon!$B$1:$G$351,6,FALSE)/2,VLOOKUP(AH5,[1]Weapon!$B$1:$G$351,6,FALSE)),0)</f>
        <v>0</v>
      </c>
      <c r="AK5" s="31" t="str">
        <f>IF(ISBLANK(VLOOKUP($E5,[1]Monster!$A$2:$X$257,23,FALSE)),"",VLOOKUP($E5,[1]Monster!$A$2:$X$257,23,FALSE))</f>
        <v/>
      </c>
      <c r="AL5">
        <v>0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R5" s="89" t="s">
        <v>143</v>
      </c>
      <c r="AS5">
        <f>VLOOKUP(B5,Toolkit!$Q$3:$U$22,2,FALSE)</f>
        <v>413</v>
      </c>
    </row>
    <row r="6" spans="1:46" x14ac:dyDescent="0.25">
      <c r="A6" s="62" t="str">
        <f t="shared" si="0"/>
        <v>Sandy</v>
      </c>
      <c r="B6" s="34" t="s">
        <v>76</v>
      </c>
      <c r="C6" s="84"/>
      <c r="D6" s="34" t="s">
        <v>77</v>
      </c>
      <c r="E6" s="67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6</v>
      </c>
      <c r="L6" s="3">
        <v>6</v>
      </c>
      <c r="M6" s="5">
        <f>L6</f>
        <v>6</v>
      </c>
      <c r="N6" s="4">
        <v>6</v>
      </c>
      <c r="O6" s="2">
        <f t="shared" ref="O6" si="6">N6</f>
        <v>6</v>
      </c>
      <c r="P6" s="40" t="s">
        <v>121</v>
      </c>
      <c r="Q6">
        <v>54</v>
      </c>
      <c r="R6" s="6">
        <f>_xlfn.IFNA(IF($E6="Robot",VLOOKUP(P6,[1]Weapon!$B$1:$G$351,6,FALSE)/2,VLOOKUP(P6,[1]Weapon!$B$1:$G$351,6,FALSE)),0)</f>
        <v>70</v>
      </c>
      <c r="S6" s="36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75" t="s">
        <v>41</v>
      </c>
      <c r="W6">
        <v>47</v>
      </c>
      <c r="X6" s="6">
        <f>_xlfn.IFNA(IF($E6="Robot",VLOOKUP(V6,[1]Weapon!$B$1:$G$351,6,FALSE)/2,VLOOKUP(V6,[1]Weapon!$B$1:$G$351,6,FALSE)),0)</f>
        <v>50</v>
      </c>
      <c r="Y6" s="81" t="s">
        <v>142</v>
      </c>
      <c r="Z6">
        <v>-1</v>
      </c>
      <c r="AA6" s="6">
        <f>_xlfn.IFNA(IF($E6="Robot",VLOOKUP(Y6,[1]Weapon!$B$1:$G$351,6,FALSE)/2,VLOOKUP(Y6,[1]Weapon!$B$1:$G$351,6,FALSE)),0)</f>
        <v>-2</v>
      </c>
      <c r="AB6" s="85" t="s">
        <v>156</v>
      </c>
      <c r="AC6">
        <v>-1</v>
      </c>
      <c r="AD6" s="6">
        <f>_xlfn.IFNA(IF($E6="Robot",VLOOKUP(AB6,[1]Weapon!$B$1:$G$351,6,FALSE)/2,VLOOKUP(AB6,[1]Weapon!$B$1:$G$351,6,FALSE)),0)</f>
        <v>-2</v>
      </c>
      <c r="AE6" s="31"/>
      <c r="AF6">
        <v>-1</v>
      </c>
      <c r="AG6" s="6">
        <f>_xlfn.IFNA(IF($E6="Robot",VLOOKUP(AE6,[1]Weapon!$B$1:$G$351,6,FALSE)/2,VLOOKUP(AE6,[1]Weapon!$B$1:$G$351,6,FALSE)),0)</f>
        <v>0</v>
      </c>
      <c r="AH6" s="31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95" t="s">
        <v>167</v>
      </c>
      <c r="AS6">
        <f>VLOOKUP(B6,Toolkit!$Q$3:$U$22,2,FALSE)</f>
        <v>473</v>
      </c>
    </row>
    <row r="7" spans="1:46" x14ac:dyDescent="0.25">
      <c r="A7" s="62" t="str">
        <f t="shared" si="0"/>
        <v>Roy</v>
      </c>
      <c r="B7" s="37" t="s">
        <v>101</v>
      </c>
      <c r="C7" s="84"/>
      <c r="D7" s="37" t="s">
        <v>102</v>
      </c>
      <c r="E7" s="69" t="s">
        <v>90</v>
      </c>
      <c r="F7">
        <v>89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105</v>
      </c>
      <c r="H7" s="86">
        <v>0</v>
      </c>
      <c r="I7" s="42">
        <f>H7+_xlfn.IFNA(IF(VLOOKUP($P7,[1]Weapon!$B$2:$O$283,13,FALSE)="Str",VLOOKUP($P7,[1]Weapon!$B$2:$O$283,14,FALSE),0),0)+_xlfn.IFNA(IF(VLOOKUP($S7,[1]Weapon!$B$2:$O$283,13,FALSE)="Str",VLOOKUP($S7,[1]Weapon!$B$2:$O$283,14,FALSE),0),0)+_xlfn.IFNA(IF(VLOOKUP($V7,[1]Weapon!$B$2:$O$283,13,FALSE)="Str",VLOOKUP($V7,[1]Weapon!$B$2:$O$283,14,FALSE),0),0)+_xlfn.IFNA(IF(VLOOKUP($Y7,[1]Weapon!$B$2:$O$283,13,FALSE)="Str",VLOOKUP($Y7,[1]Weapon!$B$2:$O$283,14,FALSE),0),0)+_xlfn.IFNA(IF(VLOOKUP($AB7,[1]Weapon!$B$2:$O$283,13,FALSE)="Str",VLOOKUP($AB7,[1]Weapon!$B$2:$O$283,14,FALSE),0),0)+_xlfn.IFNA(IF(VLOOKUP($AE7,[1]Weapon!$B$2:$O$283,13,FALSE)="Str",VLOOKUP($AE7,[1]Weapon!$B$2:$O$283,14,FALSE),0),0)+_xlfn.IFNA(IF(VLOOKUP($AH7,[1]Weapon!$B$2:$O$283,13,FALSE)="Str",VLOOKUP($AH7,[1]Weapon!$B$2:$O$283,14,FALSE),0),0)+_xlfn.IFNA(IF(VLOOKUP($AK7,[1]Weapon!$B$2:$O$283,13,FALSE)="Str",VLOOKUP($AK7,[1]Weapon!$B$2:$O$283,14,FALSE),0),0)</f>
        <v>6</v>
      </c>
      <c r="J7" s="4">
        <v>6</v>
      </c>
      <c r="K7" s="2">
        <f>J7+_xlfn.IFNA(IF(VLOOKUP($P7,[1]Weapon!$B$2:$O$283,13,FALSE)="Def",VLOOKUP($P7,[1]Weapon!$B$2:$O$283,14,FALSE),0),0)+_xlfn.IFNA(IF(VLOOKUP($S7,[1]Weapon!$B$2:$O$283,13,FALSE)="Def",VLOOKUP($S7,[1]Weapon!$B$2:$O$283,14,FALSE),0),0)+_xlfn.IFNA(IF(VLOOKUP($V7,[1]Weapon!$B$2:$O$283,13,FALSE)="Def",VLOOKUP($V7,[1]Weapon!$B$2:$O$283,14,FALSE),0),0)+_xlfn.IFNA(IF(VLOOKUP($Y7,[1]Weapon!$B$2:$O$283,13,FALSE)="Def",VLOOKUP($Y7,[1]Weapon!$B$2:$O$283,14,FALSE),0),0)+_xlfn.IFNA(IF(VLOOKUP($AB7,[1]Weapon!$B$2:$O$283,13,FALSE)="Def",VLOOKUP($AB7,[1]Weapon!$B$2:$O$283,14,FALSE),0),0)+_xlfn.IFNA(IF(VLOOKUP($AE7,[1]Weapon!$B$2:$O$283,13,FALSE)="Def",VLOOKUP($AE7,[1]Weapon!$B$2:$O$283,14,FALSE),0),0)+_xlfn.IFNA(IF(VLOOKUP($AH7,[1]Weapon!$B$2:$O$283,13,FALSE)="Def",VLOOKUP($AH7,[1]Weapon!$B$2:$O$283,14,FALSE),0),0)+_xlfn.IFNA(IF(VLOOKUP($AK7,[1]Weapon!$B$2:$O$283,13,FALSE)="Def",VLOOKUP($AK7,[1]Weapon!$B$2:$O$283,14,FALSE),0),0)</f>
        <v>14</v>
      </c>
      <c r="L7" s="3">
        <v>5</v>
      </c>
      <c r="M7" s="5">
        <f>L7+_xlfn.IFNA(IF(VLOOKUP($P7,[1]Weapon!$B$2:$O$283,13,FALSE)="Agl",VLOOKUP($P7,[1]Weapon!$B$2:$O$283,14,FALSE),0),0)+_xlfn.IFNA(IF(VLOOKUP($S7,[1]Weapon!$B$2:$O$283,13,FALSE)="Agl",VLOOKUP($S7,[1]Weapon!$B$2:$O$283,14,FALSE),0),0)+_xlfn.IFNA(IF(VLOOKUP($V7,[1]Weapon!$B$2:$O$283,13,FALSE)="Agl",VLOOKUP($V7,[1]Weapon!$B$2:$O$283,14,FALSE),0),0)+_xlfn.IFNA(IF(VLOOKUP($Y7,[1]Weapon!$B$2:$O$283,13,FALSE)="Agl",VLOOKUP($Y7,[1]Weapon!$B$2:$O$283,14,FALSE),0),0)+_xlfn.IFNA(IF(VLOOKUP($AB7,[1]Weapon!$B$2:$O$283,13,FALSE)="Agl",VLOOKUP($AB7,[1]Weapon!$B$2:$O$283,14,FALSE),0),0)+_xlfn.IFNA(IF(VLOOKUP($AE7,[1]Weapon!$B$2:$O$283,13,FALSE)="Agl",VLOOKUP($AE7,[1]Weapon!$B$2:$O$283,14,FALSE),0),0)+_xlfn.IFNA(IF(VLOOKUP($AH7,[1]Weapon!$B$2:$O$283,13,FALSE)="Agl",VLOOKUP($AH7,[1]Weapon!$B$2:$O$283,14,FALSE),0),0)+_xlfn.IFNA(IF(VLOOKUP($AK7,[1]Weapon!$B$2:$O$283,13,FALSE)="Agl",VLOOKUP($AK7,[1]Weapon!$B$2:$O$283,14,FALSE),0),0)</f>
        <v>6</v>
      </c>
      <c r="N7" s="4">
        <v>0</v>
      </c>
      <c r="O7" s="2">
        <f t="shared" ref="O7:O16" si="7">N7</f>
        <v>0</v>
      </c>
      <c r="P7" s="39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39" t="s">
        <v>104</v>
      </c>
      <c r="T7">
        <v>19</v>
      </c>
      <c r="U7" s="6">
        <f>_xlfn.IFNA(IF($E7="Robot",VLOOKUP(S7,[1]Weapon!$B$1:$G$351,6,FALSE)/2,VLOOKUP(S7,[1]Weapon!$B$1:$G$351,6,FALSE)),0)</f>
        <v>25</v>
      </c>
      <c r="V7" s="73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85" t="s">
        <v>95</v>
      </c>
      <c r="Z7">
        <v>25</v>
      </c>
      <c r="AA7" s="6">
        <f>_xlfn.IFNA(IF($E7="Robot",VLOOKUP(Y7,[1]Weapon!$B$1:$G$351,6,FALSE)/2,VLOOKUP(Y7,[1]Weapon!$B$1:$G$351,6,FALSE)),0)</f>
        <v>25</v>
      </c>
      <c r="AB7" s="85" t="s">
        <v>156</v>
      </c>
      <c r="AC7">
        <v>-1</v>
      </c>
      <c r="AD7" s="6">
        <f>_xlfn.IFNA(IF($E7="Robot",VLOOKUP(AB7,[1]Weapon!$B$1:$G$351,6,FALSE)/2,VLOOKUP(AB7,[1]Weapon!$B$1:$G$351,6,FALSE)),0)</f>
        <v>-1</v>
      </c>
      <c r="AE7" s="85" t="s">
        <v>156</v>
      </c>
      <c r="AF7">
        <v>-1</v>
      </c>
      <c r="AG7" s="6">
        <f>_xlfn.IFNA(IF($E7="Robot",VLOOKUP(AE7,[1]Weapon!$B$1:$G$351,6,FALSE)/2,VLOOKUP(AE7,[1]Weapon!$B$1:$G$351,6,FALSE)),0)</f>
        <v>-1</v>
      </c>
      <c r="AH7" s="85" t="s">
        <v>156</v>
      </c>
      <c r="AI7">
        <v>-1</v>
      </c>
      <c r="AJ7" s="6">
        <f>_xlfn.IFNA(IF($E7="Robot",VLOOKUP(AH7,[1]Weapon!$B$1:$G$351,6,FALSE)/2,VLOOKUP(AH7,[1]Weapon!$B$1:$G$351,6,FALSE)),0)</f>
        <v>-1</v>
      </c>
      <c r="AK7" s="110"/>
      <c r="AL7">
        <v>0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R7" s="89" t="s">
        <v>143</v>
      </c>
      <c r="AS7">
        <f>VLOOKUP(B7,Toolkit!$Q$3:$U$22,2,FALSE)</f>
        <v>279</v>
      </c>
    </row>
    <row r="8" spans="1:46" x14ac:dyDescent="0.25">
      <c r="A8" s="62" t="str">
        <f t="shared" si="0"/>
        <v>Saffron</v>
      </c>
      <c r="B8" s="37" t="s">
        <v>105</v>
      </c>
      <c r="C8" s="84"/>
      <c r="D8" s="37" t="s">
        <v>106</v>
      </c>
      <c r="E8" s="68" t="s">
        <v>60</v>
      </c>
      <c r="F8">
        <v>11</v>
      </c>
      <c r="G8" s="2">
        <v>69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6</v>
      </c>
      <c r="L8" s="3">
        <v>5</v>
      </c>
      <c r="M8" s="5">
        <f t="shared" ref="M8:M10" si="8">L8</f>
        <v>5</v>
      </c>
      <c r="N8" s="4">
        <v>3</v>
      </c>
      <c r="O8" s="2">
        <f t="shared" si="7"/>
        <v>3</v>
      </c>
      <c r="P8" s="39" t="s">
        <v>41</v>
      </c>
      <c r="Q8">
        <v>36</v>
      </c>
      <c r="R8" s="6">
        <f>_xlfn.IFNA(IF($E8="Robot",VLOOKUP(P8,[1]Weapon!$B$1:$G$351,6,FALSE)/2,VLOOKUP(P8,[1]Weapon!$B$1:$G$351,6,FALSE)),0)</f>
        <v>50</v>
      </c>
      <c r="S8" s="39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81" t="s">
        <v>95</v>
      </c>
      <c r="W8">
        <v>45</v>
      </c>
      <c r="X8" s="6">
        <f>_xlfn.IFNA(IF($E8="Robot",VLOOKUP(V8,[1]Weapon!$B$1:$G$351,6,FALSE)/2,VLOOKUP(V8,[1]Weapon!$B$1:$G$351,6,FALSE)),0)</f>
        <v>50</v>
      </c>
      <c r="Y8" s="85" t="s">
        <v>142</v>
      </c>
      <c r="Z8">
        <v>-1</v>
      </c>
      <c r="AA8" s="6">
        <f>_xlfn.IFNA(IF($E8="Robot",VLOOKUP(Y8,[1]Weapon!$B$1:$G$351,6,FALSE)/2,VLOOKUP(Y8,[1]Weapon!$B$1:$G$351,6,FALSE)),0)</f>
        <v>-2</v>
      </c>
      <c r="AB8" s="85" t="s">
        <v>156</v>
      </c>
      <c r="AC8">
        <v>-1</v>
      </c>
      <c r="AD8" s="6">
        <f>_xlfn.IFNA(IF($E8="Robot",VLOOKUP(AB8,[1]Weapon!$B$1:$G$351,6,FALSE)/2,VLOOKUP(AB8,[1]Weapon!$B$1:$G$351,6,FALSE)),0)</f>
        <v>-2</v>
      </c>
      <c r="AE8" s="31"/>
      <c r="AF8">
        <v>-1</v>
      </c>
      <c r="AG8" s="6">
        <f>_xlfn.IFNA(IF($E8="Robot",VLOOKUP(AE8,[1]Weapon!$B$1:$G$351,6,FALSE)/2,VLOOKUP(AE8,[1]Weapon!$B$1:$G$351,6,FALSE)),0)</f>
        <v>0</v>
      </c>
      <c r="AH8" s="32"/>
      <c r="AI8">
        <v>-1</v>
      </c>
      <c r="AJ8" s="6">
        <f>_xlfn.IFNA(IF($E8="Robot",VLOOKUP(AH8,[1]Weapon!$B$1:$G$351,6,FALSE)/2,VLOOKUP(AH8,[1]Weapon!$B$1:$G$351,6,FALSE)),0)</f>
        <v>0</v>
      </c>
      <c r="AK8" s="73" t="s">
        <v>145</v>
      </c>
      <c r="AL8">
        <v>2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89" t="s">
        <v>163</v>
      </c>
      <c r="AS8">
        <f>VLOOKUP(B8,Toolkit!$Q$3:$U$22,2,FALSE)</f>
        <v>431</v>
      </c>
    </row>
    <row r="9" spans="1:46" x14ac:dyDescent="0.25">
      <c r="A9" s="62" t="str">
        <f t="shared" si="0"/>
        <v>Elishar</v>
      </c>
      <c r="B9" s="37" t="s">
        <v>107</v>
      </c>
      <c r="C9" s="84"/>
      <c r="D9" s="37" t="s">
        <v>108</v>
      </c>
      <c r="E9" s="69" t="s">
        <v>60</v>
      </c>
      <c r="F9">
        <v>59</v>
      </c>
      <c r="G9" s="2">
        <v>62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6</v>
      </c>
      <c r="L9" s="3">
        <v>5</v>
      </c>
      <c r="M9" s="5">
        <f t="shared" si="8"/>
        <v>5</v>
      </c>
      <c r="N9" s="4">
        <v>6</v>
      </c>
      <c r="O9" s="2">
        <f t="shared" si="7"/>
        <v>6</v>
      </c>
      <c r="P9" s="39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39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73" t="s">
        <v>121</v>
      </c>
      <c r="W9">
        <v>63</v>
      </c>
      <c r="X9" s="6">
        <f>_xlfn.IFNA(IF($E9="Robot",VLOOKUP(V9,[1]Weapon!$B$1:$G$351,6,FALSE)/2,VLOOKUP(V9,[1]Weapon!$B$1:$G$351,6,FALSE)),0)</f>
        <v>70</v>
      </c>
      <c r="Y9" s="85" t="s">
        <v>142</v>
      </c>
      <c r="Z9">
        <v>-1</v>
      </c>
      <c r="AA9" s="6">
        <f>_xlfn.IFNA(IF($E9="Robot",VLOOKUP(Y9,[1]Weapon!$B$1:$G$351,6,FALSE)/2,VLOOKUP(Y9,[1]Weapon!$B$1:$G$351,6,FALSE)),0)</f>
        <v>-2</v>
      </c>
      <c r="AB9" s="85" t="s">
        <v>156</v>
      </c>
      <c r="AC9">
        <v>-1</v>
      </c>
      <c r="AD9" s="6">
        <f>_xlfn.IFNA(IF($E9="Robot",VLOOKUP(AB9,[1]Weapon!$B$1:$G$351,6,FALSE)/2,VLOOKUP(AB9,[1]Weapon!$B$1:$G$351,6,FALSE)),0)</f>
        <v>-2</v>
      </c>
      <c r="AE9" s="31"/>
      <c r="AF9">
        <v>-1</v>
      </c>
      <c r="AG9" s="6">
        <f>_xlfn.IFNA(IF($E9="Robot",VLOOKUP(AE9,[1]Weapon!$B$1:$G$351,6,FALSE)/2,VLOOKUP(AE9,[1]Weapon!$B$1:$G$351,6,FALSE)),0)</f>
        <v>0</v>
      </c>
      <c r="AH9" s="31"/>
      <c r="AI9">
        <v>-1</v>
      </c>
      <c r="AJ9" s="6">
        <f>_xlfn.IFNA(IF($E9="Robot",VLOOKUP(AH9,[1]Weapon!$B$1:$G$351,6,FALSE)/2,VLOOKUP(AH9,[1]Weapon!$B$1:$G$351,6,FALSE)),0)</f>
        <v>0</v>
      </c>
      <c r="AK9" s="109" t="s">
        <v>145</v>
      </c>
      <c r="AL9">
        <v>4</v>
      </c>
      <c r="AM9" s="6">
        <f>_xlfn.IFNA(IF($E9="Robot",VLOOKUP(AK9,[1]Weapon!$B$1:$G$351,6,FALSE)/2,VLOOKUP(AK9,[1]Weapon!$B$1:$G$351,6,FALSE)),0)</f>
        <v>4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R9" s="89"/>
      <c r="AS9">
        <f>VLOOKUP(B9,Toolkit!$Q$3:$U$22,2,FALSE)</f>
        <v>304</v>
      </c>
    </row>
    <row r="10" spans="1:46" x14ac:dyDescent="0.25">
      <c r="A10" s="62" t="str">
        <f t="shared" si="0"/>
        <v>Malli</v>
      </c>
      <c r="B10" s="37" t="s">
        <v>109</v>
      </c>
      <c r="C10" s="84"/>
      <c r="D10" s="37" t="s">
        <v>110</v>
      </c>
      <c r="E10" s="68" t="s">
        <v>91</v>
      </c>
      <c r="F10">
        <v>21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8"/>
        <v>4</v>
      </c>
      <c r="N10" s="4">
        <v>6</v>
      </c>
      <c r="O10" s="2">
        <f t="shared" si="7"/>
        <v>6</v>
      </c>
      <c r="P10" s="103" t="s">
        <v>89</v>
      </c>
      <c r="Q10">
        <v>10</v>
      </c>
      <c r="R10" s="6">
        <f>_xlfn.IFNA(IF($E10="Robot",VLOOKUP(P10,[1]Weapon!$B$1:$G$351,6,FALSE)/2,VLOOKUP(P10,[1]Weapon!$B$1:$G$351,6,FALSE)),0)</f>
        <v>15</v>
      </c>
      <c r="S10" s="104" t="s">
        <v>144</v>
      </c>
      <c r="T10">
        <v>-2</v>
      </c>
      <c r="U10" s="6">
        <f>_xlfn.IFNA(IF($E10="Robot",VLOOKUP(S10,[1]Weapon!$B$1:$G$351,6,FALSE)/2,VLOOKUP(S10,[1]Weapon!$B$1:$G$351,6,FALSE)),0)</f>
        <v>-2</v>
      </c>
      <c r="V10" s="106"/>
      <c r="W10">
        <v>0</v>
      </c>
      <c r="X10" s="6">
        <f>_xlfn.IFNA(IF($E10="Robot",VLOOKUP(V10,[1]Weapon!$B$1:$G$351,6,FALSE)/2,VLOOKUP(V10,[1]Weapon!$B$1:$G$351,6,FALSE)),0)</f>
        <v>0</v>
      </c>
      <c r="Y10" s="100"/>
      <c r="Z10">
        <v>0</v>
      </c>
      <c r="AA10" s="6">
        <f>_xlfn.IFNA(IF($E10="Robot",VLOOKUP(Y10,[1]Weapon!$B$1:$G$351,6,FALSE)/2,VLOOKUP(Y10,[1]Weapon!$B$1:$G$351,6,FALSE)),0)</f>
        <v>0</v>
      </c>
      <c r="AB10" s="39" t="s">
        <v>111</v>
      </c>
      <c r="AC10">
        <v>48</v>
      </c>
      <c r="AD10" s="6">
        <f>_xlfn.IFNA(IF($E10="Robot",VLOOKUP(AB10,[1]Weapon!$B$1:$G$351,6,FALSE)/2,VLOOKUP(AB10,[1]Weapon!$B$1:$G$351,6,FALSE)),0)</f>
        <v>50</v>
      </c>
      <c r="AE10" s="39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73" t="s">
        <v>95</v>
      </c>
      <c r="AI10">
        <v>49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VLOOKUP(B10,Toolkit!$Q$3:$U$22,2,FALSE)</f>
        <v>571</v>
      </c>
    </row>
    <row r="11" spans="1:46" x14ac:dyDescent="0.25">
      <c r="A11" s="62" t="str">
        <f t="shared" si="0"/>
        <v>Jaelyn</v>
      </c>
      <c r="B11" s="37" t="s">
        <v>74</v>
      </c>
      <c r="C11" s="84"/>
      <c r="D11" s="37" t="s">
        <v>112</v>
      </c>
      <c r="E11" s="68" t="s">
        <v>91</v>
      </c>
      <c r="F11">
        <v>16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4</v>
      </c>
      <c r="L11" s="86">
        <f>4+1</f>
        <v>5</v>
      </c>
      <c r="M11" s="42">
        <f>L11</f>
        <v>5</v>
      </c>
      <c r="N11" s="4">
        <v>10</v>
      </c>
      <c r="O11" s="2">
        <f t="shared" si="7"/>
        <v>10</v>
      </c>
      <c r="P11" s="103" t="s">
        <v>88</v>
      </c>
      <c r="Q11">
        <v>12</v>
      </c>
      <c r="R11" s="6">
        <f>_xlfn.IFNA(IF($E11="Robot",VLOOKUP(P11,[1]Weapon!$B$1:$G$351,6,FALSE)/2,VLOOKUP(P11,[1]Weapon!$B$1:$G$351,6,FALSE)),0)</f>
        <v>15</v>
      </c>
      <c r="S11" s="105" t="s">
        <v>140</v>
      </c>
      <c r="T11">
        <v>15</v>
      </c>
      <c r="U11" s="6">
        <f>_xlfn.IFNA(IF($E11="Robot",VLOOKUP(S11,[1]Weapon!$B$1:$G$351,6,FALSE)/2,VLOOKUP(S11,[1]Weapon!$B$1:$G$351,6,FALSE)),0)</f>
        <v>15</v>
      </c>
      <c r="V11" s="104" t="s">
        <v>152</v>
      </c>
      <c r="W11">
        <v>14</v>
      </c>
      <c r="X11" s="6">
        <f>_xlfn.IFNA(IF($E11="Robot",VLOOKUP(V11,[1]Weapon!$B$1:$G$351,6,FALSE)/2,VLOOKUP(V11,[1]Weapon!$B$1:$G$351,6,FALSE)),0)</f>
        <v>15</v>
      </c>
      <c r="Y11" s="100"/>
      <c r="Z11">
        <v>0</v>
      </c>
      <c r="AA11" s="6">
        <f>_xlfn.IFNA(IF($E11="Robot",VLOOKUP(Y11,[1]Weapon!$B$1:$G$351,6,FALSE)/2,VLOOKUP(Y11,[1]Weapon!$B$1:$G$351,6,FALSE)),0)</f>
        <v>0</v>
      </c>
      <c r="AB11" s="39" t="s">
        <v>111</v>
      </c>
      <c r="AC11">
        <v>50</v>
      </c>
      <c r="AD11" s="6">
        <f>_xlfn.IFNA(IF($E11="Robot",VLOOKUP(AB11,[1]Weapon!$B$1:$G$351,6,FALSE)/2,VLOOKUP(AB11,[1]Weapon!$B$1:$G$351,6,FALSE)),0)</f>
        <v>50</v>
      </c>
      <c r="AE11" s="39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81" t="s">
        <v>121</v>
      </c>
      <c r="AI11">
        <v>70</v>
      </c>
      <c r="AJ11" s="6">
        <f>_xlfn.IFNA(IF($E11="Robot",VLOOKUP(AH11,[1]Weapon!$B$1:$G$351,6,FALSE)/2,VLOOKUP(AH11,[1]Weapon!$B$1:$G$351,6,FALSE)),0)</f>
        <v>70</v>
      </c>
      <c r="AK11" s="85" t="s">
        <v>142</v>
      </c>
      <c r="AL11">
        <v>-1</v>
      </c>
      <c r="AM11" s="6">
        <f>_xlfn.IFNA(IF($E11="Robot",VLOOKUP(AK11,[1]Weapon!$B$1:$G$351,6,FALSE)/2,VLOOKUP(AK11,[1]Weapon!$B$1:$G$351,6,FALSE)),0)</f>
        <v>-2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82"/>
      <c r="AS11">
        <f>VLOOKUP(B11,Toolkit!$Q$3:$U$22,2,FALSE)</f>
        <v>379</v>
      </c>
    </row>
    <row r="12" spans="1:46" x14ac:dyDescent="0.25">
      <c r="A12" s="62" t="str">
        <f t="shared" si="0"/>
        <v>DAD-E</v>
      </c>
      <c r="B12" s="37" t="s">
        <v>114</v>
      </c>
      <c r="C12" s="84"/>
      <c r="D12" s="37" t="s">
        <v>115</v>
      </c>
      <c r="E12" s="69" t="s">
        <v>90</v>
      </c>
      <c r="F12">
        <v>94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114</v>
      </c>
      <c r="H12" s="86">
        <v>0</v>
      </c>
      <c r="I12" s="42">
        <f>H12+_xlfn.IFNA(IF(VLOOKUP($P12,[1]Weapon!$B$2:$O$283,13,FALSE)="Str",VLOOKUP($P12,[1]Weapon!$B$2:$O$283,14,FALSE),0),0)+_xlfn.IFNA(IF(VLOOKUP($S12,[1]Weapon!$B$2:$O$283,13,FALSE)="Str",VLOOKUP($S12,[1]Weapon!$B$2:$O$283,14,FALSE),0),0)+_xlfn.IFNA(IF(VLOOKUP($V12,[1]Weapon!$B$2:$O$283,13,FALSE)="Str",VLOOKUP($V12,[1]Weapon!$B$2:$O$283,14,FALSE),0),0)+_xlfn.IFNA(IF(VLOOKUP($Y12,[1]Weapon!$B$2:$O$283,13,FALSE)="Str",VLOOKUP($Y12,[1]Weapon!$B$2:$O$283,14,FALSE),0),0)+_xlfn.IFNA(IF(VLOOKUP($AB12,[1]Weapon!$B$2:$O$283,13,FALSE)="Str",VLOOKUP($AB12,[1]Weapon!$B$2:$O$283,14,FALSE),0),0)+_xlfn.IFNA(IF(VLOOKUP($AE12,[1]Weapon!$B$2:$O$283,13,FALSE)="Str",VLOOKUP($AE12,[1]Weapon!$B$2:$O$283,14,FALSE),0),0)+_xlfn.IFNA(IF(VLOOKUP($AH12,[1]Weapon!$B$2:$O$283,13,FALSE)="Str",VLOOKUP($AH12,[1]Weapon!$B$2:$O$283,14,FALSE),0),0)+_xlfn.IFNA(IF(VLOOKUP($AK12,[1]Weapon!$B$2:$O$283,13,FALSE)="Str",VLOOKUP($AK12,[1]Weapon!$B$2:$O$283,14,FALSE),0),0)</f>
        <v>8</v>
      </c>
      <c r="J12" s="4">
        <v>6</v>
      </c>
      <c r="K12" s="2">
        <f>J12+_xlfn.IFNA(IF(VLOOKUP($P12,[1]Weapon!$B$2:$O$283,13,FALSE)="Def",VLOOKUP($P12,[1]Weapon!$B$2:$O$283,14,FALSE),0),0)+_xlfn.IFNA(IF(VLOOKUP($S12,[1]Weapon!$B$2:$O$283,13,FALSE)="Def",VLOOKUP($S12,[1]Weapon!$B$2:$O$283,14,FALSE),0),0)+_xlfn.IFNA(IF(VLOOKUP($V12,[1]Weapon!$B$2:$O$283,13,FALSE)="Def",VLOOKUP($V12,[1]Weapon!$B$2:$O$283,14,FALSE),0),0)+_xlfn.IFNA(IF(VLOOKUP($Y12,[1]Weapon!$B$2:$O$283,13,FALSE)="Def",VLOOKUP($Y12,[1]Weapon!$B$2:$O$283,14,FALSE),0),0)+_xlfn.IFNA(IF(VLOOKUP($AB12,[1]Weapon!$B$2:$O$283,13,FALSE)="Def",VLOOKUP($AB12,[1]Weapon!$B$2:$O$283,14,FALSE),0),0)+_xlfn.IFNA(IF(VLOOKUP($AE12,[1]Weapon!$B$2:$O$283,13,FALSE)="Def",VLOOKUP($AE12,[1]Weapon!$B$2:$O$283,14,FALSE),0),0)+_xlfn.IFNA(IF(VLOOKUP($AH12,[1]Weapon!$B$2:$O$283,13,FALSE)="Def",VLOOKUP($AH12,[1]Weapon!$B$2:$O$283,14,FALSE),0),0)+_xlfn.IFNA(IF(VLOOKUP($AK12,[1]Weapon!$B$2:$O$283,13,FALSE)="Def",VLOOKUP($AK12,[1]Weapon!$B$2:$O$283,14,FALSE),0),0)</f>
        <v>10</v>
      </c>
      <c r="L12" s="3">
        <v>5</v>
      </c>
      <c r="M12" s="5">
        <f>L12+_xlfn.IFNA(IF(VLOOKUP($P12,[1]Weapon!$B$2:$O$283,13,FALSE)="Agl",VLOOKUP($P12,[1]Weapon!$B$2:$O$283,14,FALSE),0),0)+_xlfn.IFNA(IF(VLOOKUP($S12,[1]Weapon!$B$2:$O$283,13,FALSE)="Agl",VLOOKUP($S12,[1]Weapon!$B$2:$O$283,14,FALSE),0),0)+_xlfn.IFNA(IF(VLOOKUP($V12,[1]Weapon!$B$2:$O$283,13,FALSE)="Agl",VLOOKUP($V12,[1]Weapon!$B$2:$O$283,14,FALSE),0),0)+_xlfn.IFNA(IF(VLOOKUP($Y12,[1]Weapon!$B$2:$O$283,13,FALSE)="Agl",VLOOKUP($Y12,[1]Weapon!$B$2:$O$283,14,FALSE),0),0)+_xlfn.IFNA(IF(VLOOKUP($AB12,[1]Weapon!$B$2:$O$283,13,FALSE)="Agl",VLOOKUP($AB12,[1]Weapon!$B$2:$O$283,14,FALSE),0),0)+_xlfn.IFNA(IF(VLOOKUP($AE12,[1]Weapon!$B$2:$O$283,13,FALSE)="Agl",VLOOKUP($AE12,[1]Weapon!$B$2:$O$283,14,FALSE),0),0)+_xlfn.IFNA(IF(VLOOKUP($AH12,[1]Weapon!$B$2:$O$283,13,FALSE)="Agl",VLOOKUP($AH12,[1]Weapon!$B$2:$O$283,14,FALSE),0),0)+_xlfn.IFNA(IF(VLOOKUP($AK12,[1]Weapon!$B$2:$O$283,13,FALSE)="Agl",VLOOKUP($AK12,[1]Weapon!$B$2:$O$283,14,FALSE),0),0)</f>
        <v>8</v>
      </c>
      <c r="N12" s="4">
        <v>0</v>
      </c>
      <c r="O12" s="2">
        <f t="shared" ref="O12" si="9">N12</f>
        <v>0</v>
      </c>
      <c r="P12" s="39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39" t="s">
        <v>116</v>
      </c>
      <c r="T12">
        <v>17</v>
      </c>
      <c r="U12" s="6">
        <f>_xlfn.IFNA(IF($E12="Robot",VLOOKUP(S12,[1]Weapon!$B$1:$G$351,6,FALSE)/2,VLOOKUP(S12,[1]Weapon!$B$1:$G$351,6,FALSE)),0)</f>
        <v>20</v>
      </c>
      <c r="V12" s="73" t="s">
        <v>111</v>
      </c>
      <c r="W12">
        <v>23</v>
      </c>
      <c r="X12" s="6">
        <f>_xlfn.IFNA(IF($E12="Robot",VLOOKUP(V12,[1]Weapon!$B$1:$G$351,6,FALSE)/2,VLOOKUP(V12,[1]Weapon!$B$1:$G$351,6,FALSE)),0)</f>
        <v>25</v>
      </c>
      <c r="Y12" s="75" t="s">
        <v>41</v>
      </c>
      <c r="Z12">
        <v>24</v>
      </c>
      <c r="AA12" s="6">
        <f>_xlfn.IFNA(IF($E12="Robot",VLOOKUP(Y12,[1]Weapon!$B$1:$G$351,6,FALSE)/2,VLOOKUP(Y12,[1]Weapon!$B$1:$G$351,6,FALSE)),0)</f>
        <v>25</v>
      </c>
      <c r="AB12" s="85" t="s">
        <v>156</v>
      </c>
      <c r="AC12">
        <v>-1</v>
      </c>
      <c r="AD12" s="6">
        <f>_xlfn.IFNA(IF($E12="Robot",VLOOKUP(AB12,[1]Weapon!$B$1:$G$351,6,FALSE)/2,VLOOKUP(AB12,[1]Weapon!$B$1:$G$351,6,FALSE)),0)</f>
        <v>-1</v>
      </c>
      <c r="AE12" s="85" t="s">
        <v>124</v>
      </c>
      <c r="AF12">
        <v>24</v>
      </c>
      <c r="AG12" s="6">
        <f>_xlfn.IFNA(IF($E12="Robot",VLOOKUP(AE12,[1]Weapon!$B$1:$G$351,6,FALSE)/2,VLOOKUP(AE12,[1]Weapon!$B$1:$G$351,6,FALSE)),0)</f>
        <v>25</v>
      </c>
      <c r="AH12" s="85" t="s">
        <v>111</v>
      </c>
      <c r="AI12">
        <v>25</v>
      </c>
      <c r="AJ12" s="6">
        <f>_xlfn.IFNA(IF($E12="Robot",VLOOKUP(AH12,[1]Weapon!$B$1:$G$351,6,FALSE)/2,VLOOKUP(AH12,[1]Weapon!$B$1:$G$351,6,FALSE)),0)</f>
        <v>25</v>
      </c>
      <c r="AL12">
        <v>0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R12" s="95" t="s">
        <v>174</v>
      </c>
      <c r="AS12">
        <f>VLOOKUP(B12,Toolkit!$Q$3:$U$22,2,FALSE)</f>
        <v>329</v>
      </c>
    </row>
    <row r="13" spans="1:46" x14ac:dyDescent="0.25">
      <c r="A13" s="62" t="str">
        <f t="shared" ref="A13:A20" si="10">B13</f>
        <v>Tankbot</v>
      </c>
      <c r="B13" s="37" t="s">
        <v>117</v>
      </c>
      <c r="C13" s="84"/>
      <c r="D13" s="37" t="s">
        <v>118</v>
      </c>
      <c r="E13" s="38" t="s">
        <v>90</v>
      </c>
      <c r="F13">
        <v>51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96</v>
      </c>
      <c r="H13" s="86">
        <v>0</v>
      </c>
      <c r="I13" s="42">
        <f>H13+_xlfn.IFNA(IF(VLOOKUP($P13,[1]Weapon!$B$2:$O$283,13,FALSE)="Str",VLOOKUP($P13,[1]Weapon!$B$2:$O$283,14,FALSE),0),0)+_xlfn.IFNA(IF(VLOOKUP($S13,[1]Weapon!$B$2:$O$283,13,FALSE)="Str",VLOOKUP($S13,[1]Weapon!$B$2:$O$283,14,FALSE),0),0)+_xlfn.IFNA(IF(VLOOKUP($V13,[1]Weapon!$B$2:$O$283,13,FALSE)="Str",VLOOKUP($V13,[1]Weapon!$B$2:$O$283,14,FALSE),0),0)+_xlfn.IFNA(IF(VLOOKUP($Y13,[1]Weapon!$B$2:$O$283,13,FALSE)="Str",VLOOKUP($Y13,[1]Weapon!$B$2:$O$283,14,FALSE),0),0)+_xlfn.IFNA(IF(VLOOKUP($AB13,[1]Weapon!$B$2:$O$283,13,FALSE)="Str",VLOOKUP($AB13,[1]Weapon!$B$2:$O$283,14,FALSE),0),0)+_xlfn.IFNA(IF(VLOOKUP($AE13,[1]Weapon!$B$2:$O$283,13,FALSE)="Str",VLOOKUP($AE13,[1]Weapon!$B$2:$O$283,14,FALSE),0),0)+_xlfn.IFNA(IF(VLOOKUP($AH13,[1]Weapon!$B$2:$O$283,13,FALSE)="Str",VLOOKUP($AH13,[1]Weapon!$B$2:$O$283,14,FALSE),0),0)+_xlfn.IFNA(IF(VLOOKUP($AK13,[1]Weapon!$B$2:$O$283,13,FALSE)="Str",VLOOKUP($AK13,[1]Weapon!$B$2:$O$283,14,FALSE),0),0)</f>
        <v>0</v>
      </c>
      <c r="J13" s="4">
        <v>6</v>
      </c>
      <c r="K13" s="2">
        <f>J13+_xlfn.IFNA(IF(VLOOKUP($P13,[1]Weapon!$B$2:$O$283,13,FALSE)="Def",VLOOKUP($P13,[1]Weapon!$B$2:$O$283,14,FALSE),0),0)+_xlfn.IFNA(IF(VLOOKUP($S13,[1]Weapon!$B$2:$O$283,13,FALSE)="Def",VLOOKUP($S13,[1]Weapon!$B$2:$O$283,14,FALSE),0),0)+_xlfn.IFNA(IF(VLOOKUP($V13,[1]Weapon!$B$2:$O$283,13,FALSE)="Def",VLOOKUP($V13,[1]Weapon!$B$2:$O$283,14,FALSE),0),0)+_xlfn.IFNA(IF(VLOOKUP($Y13,[1]Weapon!$B$2:$O$283,13,FALSE)="Def",VLOOKUP($Y13,[1]Weapon!$B$2:$O$283,14,FALSE),0),0)+_xlfn.IFNA(IF(VLOOKUP($AB13,[1]Weapon!$B$2:$O$283,13,FALSE)="Def",VLOOKUP($AB13,[1]Weapon!$B$2:$O$283,14,FALSE),0),0)+_xlfn.IFNA(IF(VLOOKUP($AE13,[1]Weapon!$B$2:$O$283,13,FALSE)="Def",VLOOKUP($AE13,[1]Weapon!$B$2:$O$283,14,FALSE),0),0)+_xlfn.IFNA(IF(VLOOKUP($AH13,[1]Weapon!$B$2:$O$283,13,FALSE)="Def",VLOOKUP($AH13,[1]Weapon!$B$2:$O$283,14,FALSE),0),0)+_xlfn.IFNA(IF(VLOOKUP($AK13,[1]Weapon!$B$2:$O$283,13,FALSE)="Def",VLOOKUP($AK13,[1]Weapon!$B$2:$O$283,14,FALSE),0),0)</f>
        <v>16</v>
      </c>
      <c r="L13" s="3">
        <v>5</v>
      </c>
      <c r="M13" s="5">
        <f>L13+_xlfn.IFNA(IF(VLOOKUP($P13,[1]Weapon!$B$2:$O$283,13,FALSE)="Agl",VLOOKUP($P13,[1]Weapon!$B$2:$O$283,14,FALSE),0),0)+_xlfn.IFNA(IF(VLOOKUP($S13,[1]Weapon!$B$2:$O$283,13,FALSE)="Agl",VLOOKUP($S13,[1]Weapon!$B$2:$O$283,14,FALSE),0),0)+_xlfn.IFNA(IF(VLOOKUP($V13,[1]Weapon!$B$2:$O$283,13,FALSE)="Agl",VLOOKUP($V13,[1]Weapon!$B$2:$O$283,14,FALSE),0),0)+_xlfn.IFNA(IF(VLOOKUP($Y13,[1]Weapon!$B$2:$O$283,13,FALSE)="Agl",VLOOKUP($Y13,[1]Weapon!$B$2:$O$283,14,FALSE),0),0)+_xlfn.IFNA(IF(VLOOKUP($AB13,[1]Weapon!$B$2:$O$283,13,FALSE)="Agl",VLOOKUP($AB13,[1]Weapon!$B$2:$O$283,14,FALSE),0),0)+_xlfn.IFNA(IF(VLOOKUP($AE13,[1]Weapon!$B$2:$O$283,13,FALSE)="Agl",VLOOKUP($AE13,[1]Weapon!$B$2:$O$283,14,FALSE),0),0)+_xlfn.IFNA(IF(VLOOKUP($AH13,[1]Weapon!$B$2:$O$283,13,FALSE)="Agl",VLOOKUP($AH13,[1]Weapon!$B$2:$O$283,14,FALSE),0),0)+_xlfn.IFNA(IF(VLOOKUP($AK13,[1]Weapon!$B$2:$O$283,13,FALSE)="Agl",VLOOKUP($AK13,[1]Weapon!$B$2:$O$283,14,FALSE),0),0)</f>
        <v>5</v>
      </c>
      <c r="N13" s="4">
        <v>0</v>
      </c>
      <c r="O13" s="2">
        <f t="shared" ref="O13" si="11">N13</f>
        <v>0</v>
      </c>
      <c r="P13" s="39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40" t="s">
        <v>124</v>
      </c>
      <c r="T13">
        <v>20</v>
      </c>
      <c r="U13" s="6">
        <f>_xlfn.IFNA(IF($E13="Robot",VLOOKUP(S13,[1]Weapon!$B$1:$G$351,6,FALSE)/2,VLOOKUP(S13,[1]Weapon!$B$1:$G$351,6,FALSE)),0)</f>
        <v>25</v>
      </c>
      <c r="V13" s="65" t="s">
        <v>142</v>
      </c>
      <c r="W13">
        <v>-1</v>
      </c>
      <c r="X13" s="6">
        <f>_xlfn.IFNA(IF($E13="Robot",VLOOKUP(V13,[1]Weapon!$B$1:$G$351,6,FALSE)/2,VLOOKUP(V13,[1]Weapon!$B$1:$G$351,6,FALSE)),0)</f>
        <v>-1</v>
      </c>
      <c r="Y13" s="90" t="s">
        <v>124</v>
      </c>
      <c r="Z13">
        <v>25</v>
      </c>
      <c r="AA13" s="6">
        <f>_xlfn.IFNA(IF($E13="Robot",VLOOKUP(Y13,[1]Weapon!$B$1:$G$351,6,FALSE)/2,VLOOKUP(Y13,[1]Weapon!$B$1:$G$351,6,FALSE)),0)</f>
        <v>25</v>
      </c>
      <c r="AB13" s="90" t="s">
        <v>156</v>
      </c>
      <c r="AC13">
        <v>0</v>
      </c>
      <c r="AD13" s="6">
        <f>_xlfn.IFNA(IF($E13="Robot",VLOOKUP(AB13,[1]Weapon!$B$1:$G$351,6,FALSE)/2,VLOOKUP(AB13,[1]Weapon!$B$1:$G$351,6,FALSE)),0)</f>
        <v>-1</v>
      </c>
      <c r="AE13" s="90" t="s">
        <v>156</v>
      </c>
      <c r="AF13">
        <v>0</v>
      </c>
      <c r="AG13" s="6">
        <f>_xlfn.IFNA(IF($E13="Robot",VLOOKUP(AE13,[1]Weapon!$B$1:$G$351,6,FALSE)/2,VLOOKUP(AE13,[1]Weapon!$B$1:$G$351,6,FALSE)),0)</f>
        <v>-1</v>
      </c>
      <c r="AH13" s="90" t="s">
        <v>145</v>
      </c>
      <c r="AI13">
        <v>1</v>
      </c>
      <c r="AJ13" s="6">
        <f>_xlfn.IFNA(IF($E13="Robot",VLOOKUP(AH13,[1]Weapon!$B$1:$G$351,6,FALSE)/2,VLOOKUP(AH13,[1]Weapon!$B$1:$G$351,6,FALSE)),0)</f>
        <v>2</v>
      </c>
      <c r="AK13" s="90" t="s">
        <v>145</v>
      </c>
      <c r="AL13">
        <v>2</v>
      </c>
      <c r="AM13" s="6">
        <f>_xlfn.IFNA(IF($E13="Robot",VLOOKUP(AK13,[1]Weapon!$B$1:$G$351,6,FALSE)/2,VLOOKUP(AK13,[1]Weapon!$B$1:$G$351,6,FALSE)),0)</f>
        <v>2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89" t="s">
        <v>143</v>
      </c>
      <c r="AS13">
        <f>VLOOKUP(B13,Toolkit!$Q$3:$U$22,2,FALSE)</f>
        <v>214</v>
      </c>
    </row>
    <row r="14" spans="1:46" x14ac:dyDescent="0.25">
      <c r="A14" s="62" t="str">
        <f t="shared" si="10"/>
        <v>DM</v>
      </c>
      <c r="B14" s="37" t="s">
        <v>119</v>
      </c>
      <c r="C14" s="84"/>
      <c r="D14" s="37" t="s">
        <v>120</v>
      </c>
      <c r="E14" s="83" t="s">
        <v>155</v>
      </c>
      <c r="F14">
        <v>126</v>
      </c>
      <c r="G14" s="2">
        <f>IF(ISBLANK(VLOOKUP($E14,[1]Monster!$A$2:$X$257,10,FALSE)),"",VLOOKUP($E14,[1]Monster!$A$2:$X$257,10,FALSE))</f>
        <v>126</v>
      </c>
      <c r="H14" s="3">
        <v>0</v>
      </c>
      <c r="I14" s="5">
        <f>IF(ISBLANK(VLOOKUP($E14,[1]Monster!$A$2:$X$257,11,FALSE)),"",VLOOKUP($E14,[1]Monster!$A$2:$X$257,11,FALSE))+H14</f>
        <v>14</v>
      </c>
      <c r="J14" s="4">
        <v>0</v>
      </c>
      <c r="K14" s="2">
        <f>IF(ISBLANK(VLOOKUP($E14,[1]Monster!$A$2:$X$257,14,FALSE)),"",VLOOKUP($E14,[1]Monster!$A$2:$X$257,14,FALSE))+J14</f>
        <v>13</v>
      </c>
      <c r="L14" s="3">
        <v>0</v>
      </c>
      <c r="M14" s="5">
        <f>IF(ISBLANK(VLOOKUP($E14,[1]Monster!$A$2:$X$257,12,FALSE)),"",VLOOKUP($E14,[1]Monster!$A$2:$X$257,12,FALSE))+L14</f>
        <v>14</v>
      </c>
      <c r="N14" s="4">
        <v>0</v>
      </c>
      <c r="O14" s="2">
        <f>IF(ISBLANK(VLOOKUP($E14,[1]Monster!$A$2:$X$257,13,FALSE)),"",VLOOKUP($E14,[1]Monster!$A$2:$X$257,13,FALSE))+N14</f>
        <v>10</v>
      </c>
      <c r="P14" s="31" t="str">
        <f>IF(ISBLANK(VLOOKUP($E14,[1]Monster!$A$2:$X$257,16,FALSE)),"",VLOOKUP($E14,[1]Monster!$A$2:$X$257,16,FALSE))</f>
        <v>Kick</v>
      </c>
      <c r="Q14">
        <v>12</v>
      </c>
      <c r="R14" s="6">
        <f>_xlfn.IFNA(IF($E14="Robot",VLOOKUP(P14,[1]Weapon!$B$1:$G$351,6,FALSE)/2,VLOOKUP(P14,[1]Weapon!$B$1:$G$351,6,FALSE)),0)</f>
        <v>15</v>
      </c>
      <c r="S14" s="31" t="str">
        <f>IF(ISBLANK(VLOOKUP($E14,[1]Monster!$A$2:$X$257,17,FALSE)),"",VLOOKUP($E14,[1]Monster!$A$2:$X$257,17,FALSE))</f>
        <v>Breath</v>
      </c>
      <c r="T14">
        <v>19</v>
      </c>
      <c r="U14" s="6">
        <f>_xlfn.IFNA(IF($E14="Robot",VLOOKUP(S14,[1]Weapon!$B$1:$G$351,6,FALSE)/2,VLOOKUP(S14,[1]Weapon!$B$1:$G$351,6,FALSE)),0)</f>
        <v>20</v>
      </c>
      <c r="V14" s="32" t="str">
        <f>IF(ISBLANK(VLOOKUP($E14,[1]Monster!$A$2:$X$257,18,FALSE)),"",VLOOKUP($E14,[1]Monster!$A$2:$X$257,18,FALSE))</f>
        <v/>
      </c>
      <c r="W14">
        <v>0</v>
      </c>
      <c r="X14" s="6">
        <f>_xlfn.IFNA(IF($E14="Robot",VLOOKUP(V14,[1]Weapon!$B$1:$G$351,6,FALSE)/2,VLOOKUP(V14,[1]Weapon!$B$1:$G$351,6,FALSE)),0)</f>
        <v>0</v>
      </c>
      <c r="Y14" s="32"/>
      <c r="Z14">
        <v>0</v>
      </c>
      <c r="AA14" s="6">
        <f>_xlfn.IFNA(IF($E14="Robot",VLOOKUP(Y14,[1]Weapon!$B$1:$G$351,6,FALSE)/2,VLOOKUP(Y14,[1]Weapon!$B$1:$G$351,6,FALSE)),0)</f>
        <v>0</v>
      </c>
      <c r="AB14" s="31" t="str">
        <f>IF(ISBLANK(VLOOKUP($E14,[1]Monster!$A$2:$X$257,20,FALSE)),"",VLOOKUP($E14,[1]Monster!$A$2:$X$257,20,FALSE))</f>
        <v/>
      </c>
      <c r="AC14">
        <v>0</v>
      </c>
      <c r="AD14" s="6">
        <f>_xlfn.IFNA(IF($E14="Robot",VLOOKUP(AB14,[1]Weapon!$B$1:$G$351,6,FALSE)/2,VLOOKUP(AB14,[1]Weapon!$B$1:$G$351,6,FALSE)),0)</f>
        <v>0</v>
      </c>
      <c r="AE14" s="31" t="str">
        <f>IF(ISBLANK(VLOOKUP($E14,[1]Monster!$A$2:$X$257,21,FALSE)),"",VLOOKUP($E14,[1]Monster!$A$2:$X$257,21,FALSE))</f>
        <v/>
      </c>
      <c r="AF14">
        <v>0</v>
      </c>
      <c r="AG14" s="6">
        <f>_xlfn.IFNA(IF($E14="Robot",VLOOKUP(AE14,[1]Weapon!$B$1:$G$351,6,FALSE)/2,VLOOKUP(AE14,[1]Weapon!$B$1:$G$351,6,FALSE)),0)</f>
        <v>0</v>
      </c>
      <c r="AH14" s="32" t="str">
        <f>IF(ISBLANK(VLOOKUP($E14,[1]Monster!$A$2:$X$257,22,FALSE)),"",VLOOKUP($E14,[1]Monster!$A$2:$X$257,22,FALSE))</f>
        <v/>
      </c>
      <c r="AI14">
        <v>0</v>
      </c>
      <c r="AJ14" s="6">
        <f>_xlfn.IFNA(IF($E14="Robot",VLOOKUP(AH14,[1]Weapon!$B$1:$G$351,6,FALSE)/2,VLOOKUP(AH14,[1]Weapon!$B$1:$G$351,6,FALSE)),0)</f>
        <v>0</v>
      </c>
      <c r="AK14" s="23" t="str">
        <f>IF(ISBLANK(VLOOKUP($E14,[1]Monster!$A$2:$X$257,23,FALSE)),"",VLOOKUP($E14,[1]Monster!$A$2:$X$257,23,FALSE))</f>
        <v/>
      </c>
      <c r="AL14">
        <v>0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89" t="s">
        <v>159</v>
      </c>
      <c r="AS14">
        <f>VLOOKUP(B14,Toolkit!$Q$3:$U$22,2,FALSE)</f>
        <v>57</v>
      </c>
    </row>
    <row r="15" spans="1:46" x14ac:dyDescent="0.25">
      <c r="A15" s="62" t="str">
        <f t="shared" si="10"/>
        <v>Lictus</v>
      </c>
      <c r="B15" s="43" t="s">
        <v>127</v>
      </c>
      <c r="C15" s="84"/>
      <c r="D15" s="41" t="s">
        <v>122</v>
      </c>
      <c r="E15" s="70" t="s">
        <v>60</v>
      </c>
      <c r="F15">
        <v>54</v>
      </c>
      <c r="G15" s="2">
        <v>67</v>
      </c>
      <c r="H15" s="3">
        <v>5</v>
      </c>
      <c r="I15" s="5">
        <f t="shared" ref="I15" si="12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6</v>
      </c>
      <c r="L15" s="3">
        <v>8</v>
      </c>
      <c r="M15" s="5">
        <f t="shared" ref="M15" si="13">L15</f>
        <v>8</v>
      </c>
      <c r="N15" s="4">
        <v>4</v>
      </c>
      <c r="O15" s="2">
        <f t="shared" si="7"/>
        <v>4</v>
      </c>
      <c r="P15" s="40" t="s">
        <v>123</v>
      </c>
      <c r="Q15">
        <v>30</v>
      </c>
      <c r="R15" s="6">
        <f>_xlfn.IFNA(IF($E15="Robot",VLOOKUP(P15,[1]Weapon!$B$1:$G$351,6,FALSE)/2,VLOOKUP(P15,[1]Weapon!$B$1:$G$351,6,FALSE)),0)</f>
        <v>50</v>
      </c>
      <c r="S15" s="40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81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85" t="s">
        <v>142</v>
      </c>
      <c r="Z15">
        <v>-1</v>
      </c>
      <c r="AA15" s="6">
        <f>_xlfn.IFNA(IF($E15="Robot",VLOOKUP(Y15,[1]Weapon!$B$1:$G$351,6,FALSE)/2,VLOOKUP(Y15,[1]Weapon!$B$1:$G$351,6,FALSE)),0)</f>
        <v>-2</v>
      </c>
      <c r="AB15" s="85" t="s">
        <v>156</v>
      </c>
      <c r="AC15">
        <v>-1</v>
      </c>
      <c r="AD15" s="6">
        <f>_xlfn.IFNA(IF($E15="Robot",VLOOKUP(AB15,[1]Weapon!$B$1:$G$351,6,FALSE)/2,VLOOKUP(AB15,[1]Weapon!$B$1:$G$351,6,FALSE)),0)</f>
        <v>-2</v>
      </c>
      <c r="AE15" s="31"/>
      <c r="AF15">
        <v>-1</v>
      </c>
      <c r="AG15" s="6">
        <f>_xlfn.IFNA(IF($E15="Robot",VLOOKUP(AE15,[1]Weapon!$B$1:$G$351,6,FALSE)/2,VLOOKUP(AE15,[1]Weapon!$B$1:$G$351,6,FALSE)),0)</f>
        <v>0</v>
      </c>
      <c r="AH15" s="31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95" t="s">
        <v>167</v>
      </c>
      <c r="AS15">
        <f>VLOOKUP(B15,Toolkit!$Q$3:$U$22,2,FALSE)</f>
        <v>284</v>
      </c>
    </row>
    <row r="16" spans="1:46" x14ac:dyDescent="0.25">
      <c r="A16" s="62" t="str">
        <f t="shared" si="10"/>
        <v>BYTE</v>
      </c>
      <c r="B16" s="43" t="s">
        <v>125</v>
      </c>
      <c r="C16" s="84"/>
      <c r="D16" s="43" t="s">
        <v>126</v>
      </c>
      <c r="E16" s="38" t="s">
        <v>90</v>
      </c>
      <c r="F16">
        <v>21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132</v>
      </c>
      <c r="H16" s="86">
        <v>0</v>
      </c>
      <c r="I16" s="42">
        <f>H16+_xlfn.IFNA(IF(VLOOKUP($P16,[1]Weapon!$B$2:$O$283,13,FALSE)="Str",VLOOKUP($P16,[1]Weapon!$B$2:$O$283,14,FALSE),0),0)+_xlfn.IFNA(IF(VLOOKUP($S16,[1]Weapon!$B$2:$O$283,13,FALSE)="Str",VLOOKUP($S16,[1]Weapon!$B$2:$O$283,14,FALSE),0),0)+_xlfn.IFNA(IF(VLOOKUP($V16,[1]Weapon!$B$2:$O$283,13,FALSE)="Str",VLOOKUP($V16,[1]Weapon!$B$2:$O$283,14,FALSE),0),0)+_xlfn.IFNA(IF(VLOOKUP($Y16,[1]Weapon!$B$2:$O$283,13,FALSE)="Str",VLOOKUP($Y16,[1]Weapon!$B$2:$O$283,14,FALSE),0),0)+_xlfn.IFNA(IF(VLOOKUP($AB16,[1]Weapon!$B$2:$O$283,13,FALSE)="Str",VLOOKUP($AB16,[1]Weapon!$B$2:$O$283,14,FALSE),0),0)+_xlfn.IFNA(IF(VLOOKUP($AE16,[1]Weapon!$B$2:$O$283,13,FALSE)="Str",VLOOKUP($AE16,[1]Weapon!$B$2:$O$283,14,FALSE),0),0)+_xlfn.IFNA(IF(VLOOKUP($AH16,[1]Weapon!$B$2:$O$283,13,FALSE)="Str",VLOOKUP($AH16,[1]Weapon!$B$2:$O$283,14,FALSE),0),0)+_xlfn.IFNA(IF(VLOOKUP($AK16,[1]Weapon!$B$2:$O$283,13,FALSE)="Str",VLOOKUP($AK16,[1]Weapon!$B$2:$O$283,14,FALSE),0),0)</f>
        <v>22</v>
      </c>
      <c r="J16" s="4">
        <v>6</v>
      </c>
      <c r="K16" s="2">
        <f>J16+_xlfn.IFNA(IF(VLOOKUP($P16,[1]Weapon!$B$2:$O$283,13,FALSE)="Def",VLOOKUP($P16,[1]Weapon!$B$2:$O$283,14,FALSE),0),0)+_xlfn.IFNA(IF(VLOOKUP($S16,[1]Weapon!$B$2:$O$283,13,FALSE)="Def",VLOOKUP($S16,[1]Weapon!$B$2:$O$283,14,FALSE),0),0)+_xlfn.IFNA(IF(VLOOKUP($V16,[1]Weapon!$B$2:$O$283,13,FALSE)="Def",VLOOKUP($V16,[1]Weapon!$B$2:$O$283,14,FALSE),0),0)+_xlfn.IFNA(IF(VLOOKUP($Y16,[1]Weapon!$B$2:$O$283,13,FALSE)="Def",VLOOKUP($Y16,[1]Weapon!$B$2:$O$283,14,FALSE),0),0)+_xlfn.IFNA(IF(VLOOKUP($AB16,[1]Weapon!$B$2:$O$283,13,FALSE)="Def",VLOOKUP($AB16,[1]Weapon!$B$2:$O$283,14,FALSE),0),0)+_xlfn.IFNA(IF(VLOOKUP($AE16,[1]Weapon!$B$2:$O$283,13,FALSE)="Def",VLOOKUP($AE16,[1]Weapon!$B$2:$O$283,14,FALSE),0),0)+_xlfn.IFNA(IF(VLOOKUP($AH16,[1]Weapon!$B$2:$O$283,13,FALSE)="Def",VLOOKUP($AH16,[1]Weapon!$B$2:$O$283,14,FALSE),0),0)+_xlfn.IFNA(IF(VLOOKUP($AK16,[1]Weapon!$B$2:$O$283,13,FALSE)="Def",VLOOKUP($AK16,[1]Weapon!$B$2:$O$283,14,FALSE),0),0)</f>
        <v>6</v>
      </c>
      <c r="L16" s="3">
        <v>5</v>
      </c>
      <c r="M16" s="5">
        <f>L16+_xlfn.IFNA(IF(VLOOKUP($P16,[1]Weapon!$B$2:$O$283,13,FALSE)="Agl",VLOOKUP($P16,[1]Weapon!$B$2:$O$283,14,FALSE),0),0)+_xlfn.IFNA(IF(VLOOKUP($S16,[1]Weapon!$B$2:$O$283,13,FALSE)="Agl",VLOOKUP($S16,[1]Weapon!$B$2:$O$283,14,FALSE),0),0)+_xlfn.IFNA(IF(VLOOKUP($V16,[1]Weapon!$B$2:$O$283,13,FALSE)="Agl",VLOOKUP($V16,[1]Weapon!$B$2:$O$283,14,FALSE),0),0)+_xlfn.IFNA(IF(VLOOKUP($Y16,[1]Weapon!$B$2:$O$283,13,FALSE)="Agl",VLOOKUP($Y16,[1]Weapon!$B$2:$O$283,14,FALSE),0),0)+_xlfn.IFNA(IF(VLOOKUP($AB16,[1]Weapon!$B$2:$O$283,13,FALSE)="Agl",VLOOKUP($AB16,[1]Weapon!$B$2:$O$283,14,FALSE),0),0)+_xlfn.IFNA(IF(VLOOKUP($AE16,[1]Weapon!$B$2:$O$283,13,FALSE)="Agl",VLOOKUP($AE16,[1]Weapon!$B$2:$O$283,14,FALSE),0),0)+_xlfn.IFNA(IF(VLOOKUP($AH16,[1]Weapon!$B$2:$O$283,13,FALSE)="Agl",VLOOKUP($AH16,[1]Weapon!$B$2:$O$283,14,FALSE),0),0)+_xlfn.IFNA(IF(VLOOKUP($AK16,[1]Weapon!$B$2:$O$283,13,FALSE)="Agl",VLOOKUP($AK16,[1]Weapon!$B$2:$O$283,14,FALSE),0),0)</f>
        <v>5</v>
      </c>
      <c r="N16" s="4">
        <v>0</v>
      </c>
      <c r="O16" s="2">
        <f t="shared" si="7"/>
        <v>0</v>
      </c>
      <c r="P16" s="39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39" t="s">
        <v>104</v>
      </c>
      <c r="T16">
        <v>25</v>
      </c>
      <c r="U16" s="6">
        <f>_xlfn.IFNA(IF($E16="Robot",VLOOKUP(S16,[1]Weapon!$B$1:$G$351,6,FALSE)/2,VLOOKUP(S16,[1]Weapon!$B$1:$G$351,6,FALSE)),0)</f>
        <v>25</v>
      </c>
      <c r="V16" s="81" t="s">
        <v>111</v>
      </c>
      <c r="W16">
        <v>23</v>
      </c>
      <c r="X16" s="6">
        <f>_xlfn.IFNA(IF($E16="Robot",VLOOKUP(V16,[1]Weapon!$B$1:$G$351,6,FALSE)/2,VLOOKUP(V16,[1]Weapon!$B$1:$G$351,6,FALSE)),0)</f>
        <v>25</v>
      </c>
      <c r="Y16" s="85" t="s">
        <v>111</v>
      </c>
      <c r="Z16">
        <v>25</v>
      </c>
      <c r="AA16" s="6">
        <f>_xlfn.IFNA(IF($E16="Robot",VLOOKUP(Y16,[1]Weapon!$B$1:$G$351,6,FALSE)/2,VLOOKUP(Y16,[1]Weapon!$B$1:$G$351,6,FALSE)),0)</f>
        <v>25</v>
      </c>
      <c r="AB16" s="85" t="s">
        <v>111</v>
      </c>
      <c r="AC16">
        <v>25</v>
      </c>
      <c r="AD16" s="6">
        <f>_xlfn.IFNA(IF($E16="Robot",VLOOKUP(AB16,[1]Weapon!$B$1:$G$351,6,FALSE)/2,VLOOKUP(AB16,[1]Weapon!$B$1:$G$351,6,FALSE)),0)</f>
        <v>25</v>
      </c>
      <c r="AE16" s="85" t="s">
        <v>111</v>
      </c>
      <c r="AF16">
        <v>25</v>
      </c>
      <c r="AG16" s="6">
        <f>_xlfn.IFNA(IF($E16="Robot",VLOOKUP(AE16,[1]Weapon!$B$1:$G$351,6,FALSE)/2,VLOOKUP(AE16,[1]Weapon!$B$1:$G$351,6,FALSE)),0)</f>
        <v>25</v>
      </c>
      <c r="AH16" s="85" t="s">
        <v>41</v>
      </c>
      <c r="AI16">
        <v>22</v>
      </c>
      <c r="AJ16" s="6">
        <f>_xlfn.IFNA(IF($E16="Robot",VLOOKUP(AH16,[1]Weapon!$B$1:$G$351,6,FALSE)/2,VLOOKUP(AH16,[1]Weapon!$B$1:$G$351,6,FALSE)),0)</f>
        <v>25</v>
      </c>
      <c r="AK16" s="90" t="s">
        <v>41</v>
      </c>
      <c r="AL16">
        <v>25</v>
      </c>
      <c r="AM16" s="6">
        <f>_xlfn.IFNA(IF($E16="Robot",VLOOKUP(AK16,[1]Weapon!$B$1:$G$351,6,FALSE)/2,VLOOKUP(AK16,[1]Weapon!$B$1:$G$351,6,FALSE)),0)</f>
        <v>25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89" t="s">
        <v>143</v>
      </c>
      <c r="AS16">
        <f>VLOOKUP(B16,Toolkit!$Q$3:$U$22,2,FALSE)</f>
        <v>148</v>
      </c>
    </row>
    <row r="17" spans="1:45" x14ac:dyDescent="0.25">
      <c r="A17" s="62" t="str">
        <f t="shared" si="10"/>
        <v>Mr. S</v>
      </c>
      <c r="B17" s="60" t="s">
        <v>133</v>
      </c>
      <c r="C17" s="7"/>
      <c r="D17" s="60" t="s">
        <v>134</v>
      </c>
      <c r="E17" s="71" t="s">
        <v>135</v>
      </c>
      <c r="F17">
        <v>185</v>
      </c>
      <c r="G17" s="2">
        <f>IF(ISBLANK(VLOOKUP($E17,[1]Monster!$A$2:$X$257,10,FALSE)),"",VLOOKUP($E17,[1]Monster!$A$2:$X$257,10,FALSE))</f>
        <v>185</v>
      </c>
      <c r="H17" s="3">
        <v>0</v>
      </c>
      <c r="I17" s="5">
        <f>IF(ISBLANK(VLOOKUP($E17,[1]Monster!$A$2:$X$257,11,FALSE)),"",VLOOKUP($E17,[1]Monster!$A$2:$X$257,11,FALSE))+H17</f>
        <v>18</v>
      </c>
      <c r="J17" s="4">
        <v>0</v>
      </c>
      <c r="K17" s="2">
        <f>IF(ISBLANK(VLOOKUP($E17,[1]Monster!$A$2:$X$257,14,FALSE)),"",VLOOKUP($E17,[1]Monster!$A$2:$X$257,14,FALSE))+J17</f>
        <v>18</v>
      </c>
      <c r="L17" s="3">
        <v>0</v>
      </c>
      <c r="M17" s="5">
        <f>IF(ISBLANK(VLOOKUP($E17,[1]Monster!$A$2:$X$257,12,FALSE)),"",VLOOKUP($E17,[1]Monster!$A$2:$X$257,12,FALSE))+L17</f>
        <v>15</v>
      </c>
      <c r="N17" s="4">
        <v>0</v>
      </c>
      <c r="O17" s="2">
        <f>IF(ISBLANK(VLOOKUP($E17,[1]Monster!$A$2:$X$257,13,FALSE)),"",VLOOKUP($E17,[1]Monster!$A$2:$X$257,13,FALSE))+N17</f>
        <v>19</v>
      </c>
      <c r="P17" s="31" t="str">
        <f>IF(ISBLANK(VLOOKUP($E17,[1]Monster!$A$2:$X$257,16,FALSE)),"",VLOOKUP($E17,[1]Monster!$A$2:$X$257,16,FALSE))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1" t="str">
        <f>IF(ISBLANK(VLOOKUP($E17,[1]Monster!$A$2:$X$257,17,FALSE)),"",VLOOKUP($E17,[1]Monster!$A$2:$X$257,17,FALSE))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2" t="str">
        <f>IF(ISBLANK(VLOOKUP($E17,[1]Monster!$A$2:$X$257,18,FALSE)),"",VLOOKUP($E17,[1]Monster!$A$2:$X$257,18,FALSE))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2"/>
      <c r="Z17">
        <v>-1</v>
      </c>
      <c r="AA17" s="6">
        <f>_xlfn.IFNA(IF($E17="Robot",VLOOKUP(Y17,[1]Weapon!$B$1:$G$351,6,FALSE)/2,VLOOKUP(Y17,[1]Weapon!$B$1:$G$351,6,FALSE)),0)</f>
        <v>0</v>
      </c>
      <c r="AB17" s="31" t="str">
        <f>IF(ISBLANK(VLOOKUP($E17,[1]Monster!$A$2:$X$257,20,FALSE)),"",VLOOKUP($E17,[1]Monster!$A$2:$X$257,20,FALSE))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1" t="str">
        <f>IF(ISBLANK(VLOOKUP($E17,[1]Monster!$A$2:$X$257,21,FALSE)),"",VLOOKUP($E17,[1]Monster!$A$2:$X$257,21,FALSE))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2" t="str">
        <f>IF(ISBLANK(VLOOKUP($E17,[1]Monster!$A$2:$X$257,22,FALSE)),"",VLOOKUP($E17,[1]Monster!$A$2:$X$257,22,FALSE))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3" t="str">
        <f>IF(ISBLANK(VLOOKUP($E17,[1]Monster!$A$2:$X$257,23,FALSE)),"",VLOOKUP($E17,[1]Monster!$A$2:$X$257,23,FALSE))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9"/>
      <c r="AS17">
        <v>0</v>
      </c>
    </row>
    <row r="18" spans="1:45" x14ac:dyDescent="0.25">
      <c r="A18" s="1" t="str">
        <f t="shared" si="10"/>
        <v>Doma</v>
      </c>
      <c r="B18" s="87" t="s">
        <v>157</v>
      </c>
      <c r="C18" s="7"/>
      <c r="D18" s="87" t="s">
        <v>158</v>
      </c>
      <c r="E18" s="88" t="s">
        <v>91</v>
      </c>
      <c r="F18">
        <v>52</v>
      </c>
      <c r="G18" s="2">
        <v>52</v>
      </c>
      <c r="H18" s="3">
        <v>6</v>
      </c>
      <c r="I18" s="5">
        <f t="shared" ref="I18:I20" si="14">H18</f>
        <v>6</v>
      </c>
      <c r="J18" s="4">
        <v>0</v>
      </c>
      <c r="K18" s="2">
        <f>J18+_xlfn.IFNA(VLOOKUP($P18,[1]Weapon!$A$1:$M$274,9,FALSE),0)+_xlfn.IFNA(VLOOKUP($S18,[1]Weapon!$A$1:$M$274,9,FALSE),0)+_xlfn.IFNA(VLOOKUP($V18,[1]Weapon!$A$1:$M$274,9,FALSE),0)+_xlfn.IFNA(VLOOKUP($Y18,[1]Weapon!$A$1:$M$274,9,FALSE),0)+_xlfn.IFNA(VLOOKUP($AB18,[1]Weapon!$A$1:$M$274,9,FALSE),0)+_xlfn.IFNA(VLOOKUP($AE18,[1]Weapon!$A$1:$M$274,9,FALSE),0)+_xlfn.IFNA(VLOOKUP($AH18,[1]Weapon!$A$1:$M$274,9,FALSE),0)+_xlfn.IFNA(VLOOKUP($AK18,[1]Weapon!$A$1:$M$274,9,FALSE),0)</f>
        <v>6</v>
      </c>
      <c r="L18" s="86">
        <v>4</v>
      </c>
      <c r="M18" s="42">
        <f>L18</f>
        <v>4</v>
      </c>
      <c r="N18" s="4">
        <v>6</v>
      </c>
      <c r="O18" s="2">
        <f t="shared" ref="O18:O20" si="15">N18</f>
        <v>6</v>
      </c>
      <c r="P18" s="107" t="s">
        <v>88</v>
      </c>
      <c r="Q18">
        <v>13</v>
      </c>
      <c r="R18" s="6">
        <f>_xlfn.IFNA(IF($E18="Robot",VLOOKUP(P18,[1]Weapon!$B$1:$G$351,6,FALSE)/2,VLOOKUP(P18,[1]Weapon!$B$1:$G$351,6,FALSE)),0)</f>
        <v>15</v>
      </c>
      <c r="S18" s="105"/>
      <c r="T18">
        <v>-1</v>
      </c>
      <c r="U18" s="6">
        <f>_xlfn.IFNA(IF($E18="Robot",VLOOKUP(S18,[1]Weapon!$B$1:$G$351,6,FALSE)/2,VLOOKUP(S18,[1]Weapon!$B$1:$G$351,6,FALSE)),0)</f>
        <v>0</v>
      </c>
      <c r="V18" s="104"/>
      <c r="W18">
        <v>-1</v>
      </c>
      <c r="X18" s="6">
        <f>_xlfn.IFNA(IF($E18="Robot",VLOOKUP(V18,[1]Weapon!$B$1:$G$351,6,FALSE)/2,VLOOKUP(V18,[1]Weapon!$B$1:$G$351,6,FALSE)),0)</f>
        <v>0</v>
      </c>
      <c r="Y18" s="100"/>
      <c r="Z18">
        <v>0</v>
      </c>
      <c r="AA18" s="6">
        <f>_xlfn.IFNA(IF($E18="Robot",VLOOKUP(Y18,[1]Weapon!$B$1:$G$351,6,FALSE)/2,VLOOKUP(Y18,[1]Weapon!$B$1:$G$351,6,FALSE)),0)</f>
        <v>0</v>
      </c>
      <c r="AB18" s="39" t="s">
        <v>111</v>
      </c>
      <c r="AC18">
        <v>50</v>
      </c>
      <c r="AD18" s="6">
        <f>_xlfn.IFNA(IF($E18="Robot",VLOOKUP(AB18,[1]Weapon!$B$1:$G$351,6,FALSE)/2,VLOOKUP(AB18,[1]Weapon!$B$1:$G$351,6,FALSE)),0)</f>
        <v>50</v>
      </c>
      <c r="AE18" s="90" t="s">
        <v>96</v>
      </c>
      <c r="AF18">
        <v>-1</v>
      </c>
      <c r="AG18" s="6">
        <f>_xlfn.IFNA(IF($E18="Robot",VLOOKUP(AE18,[1]Weapon!$B$1:$G$351,6,FALSE)/2,VLOOKUP(AE18,[1]Weapon!$B$1:$G$351,6,FALSE)),0)</f>
        <v>-2</v>
      </c>
      <c r="AH18" s="90" t="s">
        <v>142</v>
      </c>
      <c r="AI18">
        <v>0</v>
      </c>
      <c r="AJ18" s="6">
        <f>_xlfn.IFNA(IF($E18="Robot",VLOOKUP(AH18,[1]Weapon!$B$1:$G$351,6,FALSE)/2,VLOOKUP(AH18,[1]Weapon!$B$1:$G$351,6,FALSE)),0)</f>
        <v>-2</v>
      </c>
      <c r="AK18" s="90" t="s">
        <v>156</v>
      </c>
      <c r="AL18">
        <v>-1</v>
      </c>
      <c r="AM18" s="6">
        <f>_xlfn.IFNA(IF($E18="Robot",VLOOKUP(AK18,[1]Weapon!$B$1:$G$351,6,FALSE)/2,VLOOKUP(AK18,[1]Weapon!$B$1:$G$351,6,FALSE)),0)</f>
        <v>-2</v>
      </c>
      <c r="AO18">
        <v>0</v>
      </c>
      <c r="AP18" s="6">
        <f>_xlfn.IFNA(IF($E18="Robot",VLOOKUP(AN18,[1]Weapon!$B$1:$G$351,6,FALSE)/2,VLOOKUP(AN18,[1]Weapon!$B$1:$G$351,6,FALSE)),0)</f>
        <v>0</v>
      </c>
      <c r="AQ18" s="3"/>
      <c r="AR18" s="82"/>
      <c r="AS18">
        <f>VLOOKUP(B18,Toolkit!$Q$3:$U$22,2,FALSE)</f>
        <v>123</v>
      </c>
    </row>
    <row r="19" spans="1:45" x14ac:dyDescent="0.25">
      <c r="A19" s="1" t="str">
        <f t="shared" si="10"/>
        <v>Ella</v>
      </c>
      <c r="B19" s="92" t="s">
        <v>164</v>
      </c>
      <c r="C19" s="7"/>
      <c r="D19" s="92" t="s">
        <v>134</v>
      </c>
      <c r="E19" s="89" t="s">
        <v>60</v>
      </c>
      <c r="F19">
        <v>52</v>
      </c>
      <c r="G19" s="2">
        <v>52</v>
      </c>
      <c r="H19" s="3">
        <v>5</v>
      </c>
      <c r="I19" s="5">
        <f t="shared" si="14"/>
        <v>5</v>
      </c>
      <c r="J19" s="4">
        <v>0</v>
      </c>
      <c r="K19" s="2">
        <f>J19+_xlfn.IFNA(VLOOKUP($P19,[1]Weapon!$A$1:$M$274,9,FALSE),0)+_xlfn.IFNA(VLOOKUP($S19,[1]Weapon!$A$1:$M$274,9,FALSE),0)+_xlfn.IFNA(VLOOKUP($V19,[1]Weapon!$A$1:$M$274,9,FALSE),0)+_xlfn.IFNA(VLOOKUP($Y19,[1]Weapon!$A$1:$M$274,9,FALSE),0)+_xlfn.IFNA(VLOOKUP($AB19,[1]Weapon!$A$1:$M$274,9,FALSE),0)+_xlfn.IFNA(VLOOKUP($AE19,[1]Weapon!$A$1:$M$274,9,FALSE),0)+_xlfn.IFNA(VLOOKUP($AH19,[1]Weapon!$A$1:$M$274,9,FALSE),0)+_xlfn.IFNA(VLOOKUP($AK19,[1]Weapon!$A$1:$M$274,9,FALSE),0)</f>
        <v>3</v>
      </c>
      <c r="L19" s="3">
        <v>6</v>
      </c>
      <c r="M19" s="42">
        <f t="shared" ref="M19:M20" si="16">L19</f>
        <v>6</v>
      </c>
      <c r="N19" s="4">
        <v>4</v>
      </c>
      <c r="O19" s="2">
        <f t="shared" si="15"/>
        <v>4</v>
      </c>
      <c r="P19" s="90" t="s">
        <v>123</v>
      </c>
      <c r="Q19">
        <v>46</v>
      </c>
      <c r="R19" s="6">
        <f>_xlfn.IFNA(IF($E19="Robot",VLOOKUP(P19,[1]Weapon!$B$1:$G$351,6,FALSE)/2,VLOOKUP(P19,[1]Weapon!$B$1:$G$351,6,FALSE)),0)</f>
        <v>50</v>
      </c>
      <c r="S19" s="90" t="s">
        <v>96</v>
      </c>
      <c r="T19">
        <v>-1</v>
      </c>
      <c r="U19" s="6">
        <f>_xlfn.IFNA(IF($E19="Robot",VLOOKUP(S19,[1]Weapon!$B$1:$G$351,6,FALSE)/2,VLOOKUP(S19,[1]Weapon!$B$1:$G$351,6,FALSE)),0)</f>
        <v>-2</v>
      </c>
      <c r="V19" s="32"/>
      <c r="W19">
        <v>-1</v>
      </c>
      <c r="Y19" s="32"/>
      <c r="Z19">
        <v>-1</v>
      </c>
      <c r="AB19" s="32"/>
      <c r="AC19">
        <v>-1</v>
      </c>
      <c r="AF19">
        <v>-1</v>
      </c>
      <c r="AI19">
        <v>-1</v>
      </c>
      <c r="AL19">
        <v>-1</v>
      </c>
      <c r="AO19">
        <v>0</v>
      </c>
      <c r="AP19" s="28">
        <v>0</v>
      </c>
      <c r="AR19" s="9"/>
    </row>
    <row r="20" spans="1:45" x14ac:dyDescent="0.25">
      <c r="A20" s="1" t="str">
        <f t="shared" si="10"/>
        <v>Vince</v>
      </c>
      <c r="B20" s="89" t="s">
        <v>165</v>
      </c>
      <c r="D20" s="89" t="s">
        <v>134</v>
      </c>
      <c r="E20" s="89" t="s">
        <v>60</v>
      </c>
      <c r="F20">
        <v>59</v>
      </c>
      <c r="G20" s="2">
        <v>59</v>
      </c>
      <c r="H20" s="3">
        <v>6</v>
      </c>
      <c r="I20" s="5">
        <f t="shared" si="14"/>
        <v>6</v>
      </c>
      <c r="J20" s="1">
        <v>0</v>
      </c>
      <c r="K20" s="2">
        <f>J20+_xlfn.IFNA(VLOOKUP($P20,[1]Weapon!$A$1:$M$274,9,FALSE),0)+_xlfn.IFNA(VLOOKUP($S20,[1]Weapon!$A$1:$M$274,9,FALSE),0)+_xlfn.IFNA(VLOOKUP($V20,[1]Weapon!$A$1:$M$274,9,FALSE),0)+_xlfn.IFNA(VLOOKUP($Y20,[1]Weapon!$A$1:$M$274,9,FALSE),0)+_xlfn.IFNA(VLOOKUP($AB20,[1]Weapon!$A$1:$M$274,9,FALSE),0)+_xlfn.IFNA(VLOOKUP($AE20,[1]Weapon!$A$1:$M$274,9,FALSE),0)+_xlfn.IFNA(VLOOKUP($AH20,[1]Weapon!$A$1:$M$274,9,FALSE),0)+_xlfn.IFNA(VLOOKUP($AK20,[1]Weapon!$A$1:$M$274,9,FALSE),0)</f>
        <v>3</v>
      </c>
      <c r="L20" s="3">
        <v>5</v>
      </c>
      <c r="M20" s="42">
        <f t="shared" si="16"/>
        <v>5</v>
      </c>
      <c r="N20" s="1">
        <v>3</v>
      </c>
      <c r="O20" s="2">
        <f t="shared" si="15"/>
        <v>3</v>
      </c>
      <c r="P20" s="90" t="s">
        <v>41</v>
      </c>
      <c r="Q20">
        <v>46</v>
      </c>
      <c r="R20" s="6">
        <f>_xlfn.IFNA(IF($E20="Robot",VLOOKUP(P20,[1]Weapon!$B$1:$G$351,6,FALSE)/2,VLOOKUP(P20,[1]Weapon!$B$1:$G$351,6,FALSE)),0)</f>
        <v>50</v>
      </c>
      <c r="S20" s="90" t="s">
        <v>96</v>
      </c>
      <c r="T20">
        <v>-1</v>
      </c>
      <c r="U20" s="6">
        <f>_xlfn.IFNA(IF($E20="Robot",VLOOKUP(S20,[1]Weapon!$B$1:$G$351,6,FALSE)/2,VLOOKUP(S20,[1]Weapon!$B$1:$G$351,6,FALSE)),0)</f>
        <v>-2</v>
      </c>
      <c r="V20" s="33"/>
      <c r="W20">
        <v>-1</v>
      </c>
      <c r="Y20" s="33"/>
      <c r="Z20">
        <v>-1</v>
      </c>
      <c r="AB20" s="33"/>
      <c r="AC20">
        <v>-1</v>
      </c>
      <c r="AF20">
        <v>-1</v>
      </c>
      <c r="AH20" s="24"/>
      <c r="AI20">
        <v>-1</v>
      </c>
      <c r="AK20" s="24"/>
      <c r="AL20">
        <v>-1</v>
      </c>
      <c r="AO20">
        <v>0</v>
      </c>
      <c r="AP20" s="28">
        <v>0</v>
      </c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4" priority="24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3" priority="22" operator="lessThan">
      <formula>0</formula>
    </cfRule>
  </conditionalFormatting>
  <conditionalFormatting sqref="A13:A19">
    <cfRule type="notContainsBlanks" dxfId="12" priority="13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1" priority="12" operator="lessThan">
      <formula>0</formula>
    </cfRule>
  </conditionalFormatting>
  <conditionalFormatting sqref="AH9">
    <cfRule type="cellIs" dxfId="10" priority="11" operator="lessThan">
      <formula>0</formula>
    </cfRule>
  </conditionalFormatting>
  <conditionalFormatting sqref="AH6">
    <cfRule type="cellIs" dxfId="9" priority="10" operator="lessThan">
      <formula>0</formula>
    </cfRule>
  </conditionalFormatting>
  <conditionalFormatting sqref="AH3">
    <cfRule type="cellIs" dxfId="8" priority="9" operator="lessThan">
      <formula>0</formula>
    </cfRule>
  </conditionalFormatting>
  <conditionalFormatting sqref="Y9">
    <cfRule type="cellIs" dxfId="7" priority="8" operator="lessThan">
      <formula>0</formula>
    </cfRule>
  </conditionalFormatting>
  <conditionalFormatting sqref="Y2">
    <cfRule type="cellIs" dxfId="6" priority="7" operator="lessThan">
      <formula>0</formula>
    </cfRule>
  </conditionalFormatting>
  <conditionalFormatting sqref="Q5 Z5 S5:T5 V5:W5 AB5:AC5 AE5:AF5 AH5:AI5 AK5:AL5">
    <cfRule type="cellIs" dxfId="5" priority="6" operator="lessThan">
      <formula>0</formula>
    </cfRule>
  </conditionalFormatting>
  <conditionalFormatting sqref="Y5">
    <cfRule type="cellIs" dxfId="4" priority="5" operator="lessThan">
      <formula>0</formula>
    </cfRule>
  </conditionalFormatting>
  <conditionalFormatting sqref="Q14 S14:T14 V14:W14 Y14:Z14 AB14:AC14 AE14:AF14 AH14:AI14 AK14:AL14">
    <cfRule type="cellIs" dxfId="3" priority="4" operator="lessThan">
      <formula>0</formula>
    </cfRule>
  </conditionalFormatting>
  <conditionalFormatting sqref="Q16 S16:T16">
    <cfRule type="cellIs" dxfId="2" priority="3" operator="lessThan">
      <formula>0</formula>
    </cfRule>
  </conditionalFormatting>
  <conditionalFormatting sqref="Q17 S17:T17 V17:W17 Y17:Z17 AB17:AC17 AE17:AF17 AH17:AI17 AK17:AL17">
    <cfRule type="cellIs" dxfId="1" priority="2" operator="lessThan">
      <formula>0</formula>
    </cfRule>
  </conditionalFormatting>
  <conditionalFormatting sqref="Q18:AP18 R19:R20 U19:U20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O11" sqref="O11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111" t="s">
        <v>131</v>
      </c>
      <c r="B1" s="112"/>
      <c r="C1" s="112"/>
      <c r="D1" s="112"/>
      <c r="E1" s="112"/>
      <c r="F1" s="112"/>
      <c r="G1" s="112"/>
      <c r="H1" s="112"/>
      <c r="I1" s="113"/>
      <c r="K1" s="114" t="s">
        <v>132</v>
      </c>
      <c r="L1" s="115"/>
      <c r="M1" s="115"/>
      <c r="N1" s="115"/>
      <c r="O1" s="116"/>
      <c r="Q1" s="114" t="s">
        <v>150</v>
      </c>
      <c r="R1" s="115"/>
      <c r="S1" s="115"/>
      <c r="T1" s="115"/>
      <c r="U1" s="116"/>
    </row>
    <row r="2" spans="1:21" x14ac:dyDescent="0.2">
      <c r="A2" s="56" t="s">
        <v>40</v>
      </c>
      <c r="B2" s="57" t="s">
        <v>8</v>
      </c>
      <c r="C2" s="57" t="s">
        <v>85</v>
      </c>
      <c r="D2" s="57" t="s">
        <v>82</v>
      </c>
      <c r="E2" s="58" t="s">
        <v>79</v>
      </c>
      <c r="F2" s="58" t="s">
        <v>80</v>
      </c>
      <c r="G2" s="57" t="s">
        <v>83</v>
      </c>
      <c r="H2" s="57" t="s">
        <v>81</v>
      </c>
      <c r="I2" s="59" t="s">
        <v>86</v>
      </c>
      <c r="K2" s="49" t="s">
        <v>128</v>
      </c>
      <c r="L2" s="50" t="s">
        <v>141</v>
      </c>
      <c r="M2" s="50" t="s">
        <v>69</v>
      </c>
      <c r="N2" s="50" t="s">
        <v>129</v>
      </c>
      <c r="O2" s="51" t="s">
        <v>130</v>
      </c>
      <c r="Q2" s="49" t="s">
        <v>128</v>
      </c>
      <c r="R2" s="50" t="s">
        <v>136</v>
      </c>
      <c r="S2" s="50" t="s">
        <v>137</v>
      </c>
      <c r="T2" s="50" t="s">
        <v>151</v>
      </c>
      <c r="U2" s="51" t="s">
        <v>138</v>
      </c>
    </row>
    <row r="3" spans="1:21" ht="15" x14ac:dyDescent="0.25">
      <c r="A3" s="45" t="s">
        <v>105</v>
      </c>
      <c r="B3" s="52">
        <f>VLOOKUP(A3,Players!$B$2:$O$20,5,FALSE)</f>
        <v>11</v>
      </c>
      <c r="C3" s="52">
        <f>VLOOKUP(A3,Players!$B$2:$O$20,6,FALSE)</f>
        <v>69</v>
      </c>
      <c r="D3" s="52">
        <f>VLOOKUP(A3,Players!$B$2:$O$20,14,FALSE)</f>
        <v>3</v>
      </c>
      <c r="E3" s="52" t="s">
        <v>145</v>
      </c>
      <c r="F3" s="52" t="s">
        <v>105</v>
      </c>
      <c r="G3" s="52">
        <f>VLOOKUP(F3,Players!$B$2:$O$20,14,FALSE)</f>
        <v>3</v>
      </c>
      <c r="H3" s="52">
        <f>IF(E3="Cure Potion",40,IF(E3="Spell",PRODUCT(4,D3+G3),0))</f>
        <v>40</v>
      </c>
      <c r="I3" s="53">
        <f>IF(SUM(H3+B3)&lt;C3,SUM(H3+B3),C3)</f>
        <v>51</v>
      </c>
      <c r="K3" s="46" t="s">
        <v>92</v>
      </c>
      <c r="L3" s="91" t="s">
        <v>161</v>
      </c>
      <c r="M3" s="66">
        <f ca="1">VLOOKUP($K3,INDIRECT("'"&amp;L3&amp;"'!$A$2:$F$10"),6,FALSE)</f>
        <v>99</v>
      </c>
      <c r="N3" s="52" t="s">
        <v>177</v>
      </c>
      <c r="O3" s="53" t="s">
        <v>172</v>
      </c>
      <c r="Q3" s="46" t="s">
        <v>92</v>
      </c>
      <c r="R3">
        <v>420</v>
      </c>
      <c r="S3" s="52">
        <f t="shared" ref="S3:S17" si="0">VLOOKUP(L3,R$26:S$34,2,FALSE)</f>
        <v>0</v>
      </c>
      <c r="T3" s="52"/>
      <c r="U3" s="53">
        <f t="shared" ref="U3:U17" si="1">S3+R3-T3</f>
        <v>420</v>
      </c>
    </row>
    <row r="4" spans="1:21" ht="15" x14ac:dyDescent="0.25">
      <c r="A4" s="45" t="s">
        <v>74</v>
      </c>
      <c r="B4" s="52">
        <f>VLOOKUP(A4,Players!$B$2:$O$20,5,FALSE)</f>
        <v>16</v>
      </c>
      <c r="C4" s="52">
        <f>VLOOKUP(A4,Players!$B$2:$O$20,6,FALSE)</f>
        <v>62</v>
      </c>
      <c r="D4" s="52">
        <f>VLOOKUP(A4,Players!$B$2:$O$20,14,FALSE)</f>
        <v>10</v>
      </c>
      <c r="E4" s="52" t="s">
        <v>84</v>
      </c>
      <c r="F4" s="52" t="s">
        <v>74</v>
      </c>
      <c r="G4" s="52">
        <f>VLOOKUP(F4,Players!$B$2:$O$20,14,FALSE)</f>
        <v>10</v>
      </c>
      <c r="H4" s="52">
        <f t="shared" ref="H4:H10" si="2">IF(E4="Cure Potion",40,IF(E4="Spell",PRODUCT(4,D4+G4),0))</f>
        <v>80</v>
      </c>
      <c r="I4" s="53">
        <f>IF(SUM(H4+B4)&lt;C4,SUM(H4+B4),C4)</f>
        <v>62</v>
      </c>
      <c r="K4" s="46" t="s">
        <v>93</v>
      </c>
      <c r="L4" s="91" t="s">
        <v>160</v>
      </c>
      <c r="M4" s="66" t="e">
        <f t="shared" ref="M4:M17" ca="1" si="3">VLOOKUP($K4,INDIRECT("'"&amp;L4&amp;"'!$A$2:$F$10"),6,FALSE)</f>
        <v>#N/A</v>
      </c>
      <c r="N4" s="52"/>
      <c r="O4" s="53"/>
      <c r="Q4" s="46" t="s">
        <v>93</v>
      </c>
      <c r="R4">
        <v>326</v>
      </c>
      <c r="S4" s="52">
        <f t="shared" si="0"/>
        <v>0</v>
      </c>
      <c r="T4" s="52"/>
      <c r="U4" s="53">
        <f t="shared" si="1"/>
        <v>326</v>
      </c>
    </row>
    <row r="5" spans="1:21" ht="15" x14ac:dyDescent="0.25">
      <c r="A5" s="45"/>
      <c r="B5" s="52" t="e">
        <f>VLOOKUP(A5,Players!$B$2:$O$20,5,FALSE)</f>
        <v>#N/A</v>
      </c>
      <c r="C5" s="52" t="e">
        <f>VLOOKUP(A5,Players!$B$2:$O$20,6,FALSE)</f>
        <v>#N/A</v>
      </c>
      <c r="D5" s="52" t="e">
        <f>VLOOKUP(A5,Players!$B$2:$O$20,14,FALSE)</f>
        <v>#N/A</v>
      </c>
      <c r="E5" s="52" t="s">
        <v>84</v>
      </c>
      <c r="F5" s="52" t="s">
        <v>133</v>
      </c>
      <c r="G5" s="52">
        <f>VLOOKUP(F5,Players!$B$2:$O$20,14,FALSE)</f>
        <v>19</v>
      </c>
      <c r="H5" s="52" t="e">
        <f t="shared" si="2"/>
        <v>#N/A</v>
      </c>
      <c r="I5" s="53" t="e">
        <f t="shared" ref="I5:I10" si="4">IF(SUM(H5+B5)&lt;C5,SUM(H5+B5),C5)</f>
        <v>#N/A</v>
      </c>
      <c r="K5" s="46" t="s">
        <v>97</v>
      </c>
      <c r="L5" s="108" t="s">
        <v>162</v>
      </c>
      <c r="M5" s="66" t="e">
        <f t="shared" ca="1" si="3"/>
        <v>#REF!</v>
      </c>
      <c r="N5" s="52"/>
      <c r="O5" s="53"/>
      <c r="Q5" s="46" t="s">
        <v>97</v>
      </c>
      <c r="R5">
        <v>318</v>
      </c>
      <c r="S5" s="52">
        <f t="shared" si="0"/>
        <v>0</v>
      </c>
      <c r="T5" s="52"/>
      <c r="U5" s="53">
        <f t="shared" si="1"/>
        <v>318</v>
      </c>
    </row>
    <row r="6" spans="1:21" ht="15" x14ac:dyDescent="0.25">
      <c r="A6" s="45"/>
      <c r="B6" s="52" t="e">
        <f>VLOOKUP(A6,Players!$B$2:$O$20,5,FALSE)</f>
        <v>#N/A</v>
      </c>
      <c r="C6" s="52" t="e">
        <f>VLOOKUP(A6,Players!$B$2:$O$20,6,FALSE)</f>
        <v>#N/A</v>
      </c>
      <c r="D6" s="52" t="e">
        <f>VLOOKUP(A6,Players!$B$2:$O$20,14,FALSE)</f>
        <v>#N/A</v>
      </c>
      <c r="E6" s="52" t="s">
        <v>84</v>
      </c>
      <c r="F6" s="52" t="s">
        <v>133</v>
      </c>
      <c r="G6" s="52">
        <f>VLOOKUP(F6,Players!$B$2:$O$20,14,FALSE)</f>
        <v>19</v>
      </c>
      <c r="H6" s="52" t="e">
        <f t="shared" si="2"/>
        <v>#N/A</v>
      </c>
      <c r="I6" s="53" t="e">
        <f t="shared" si="4"/>
        <v>#N/A</v>
      </c>
      <c r="K6" s="46" t="s">
        <v>98</v>
      </c>
      <c r="L6" s="93" t="s">
        <v>168</v>
      </c>
      <c r="M6" s="66">
        <f t="shared" ca="1" si="3"/>
        <v>81</v>
      </c>
      <c r="N6" s="52" t="s">
        <v>185</v>
      </c>
      <c r="O6" s="53" t="s">
        <v>186</v>
      </c>
      <c r="Q6" s="46" t="s">
        <v>98</v>
      </c>
      <c r="R6">
        <v>413</v>
      </c>
      <c r="S6" s="52">
        <f t="shared" si="0"/>
        <v>0</v>
      </c>
      <c r="T6" s="52"/>
      <c r="U6" s="53">
        <f t="shared" si="1"/>
        <v>413</v>
      </c>
    </row>
    <row r="7" spans="1:21" ht="15" x14ac:dyDescent="0.25">
      <c r="A7" s="45"/>
      <c r="B7" s="52" t="e">
        <f>VLOOKUP(A7,Players!$B$2:$O$20,5,FALSE)</f>
        <v>#N/A</v>
      </c>
      <c r="C7" s="52" t="e">
        <f>VLOOKUP(A7,Players!$B$2:$O$20,6,FALSE)</f>
        <v>#N/A</v>
      </c>
      <c r="D7" s="52" t="e">
        <f>VLOOKUP(A7,Players!$B$2:$O$20,14,FALSE)</f>
        <v>#N/A</v>
      </c>
      <c r="E7" s="52" t="s">
        <v>84</v>
      </c>
      <c r="F7" s="52" t="s">
        <v>74</v>
      </c>
      <c r="G7" s="52">
        <f>VLOOKUP(F7,Players!$B$2:$O$20,14,FALSE)</f>
        <v>10</v>
      </c>
      <c r="H7" s="52" t="e">
        <f t="shared" si="2"/>
        <v>#N/A</v>
      </c>
      <c r="I7" s="53" t="e">
        <f t="shared" si="4"/>
        <v>#N/A</v>
      </c>
      <c r="K7" s="46" t="s">
        <v>76</v>
      </c>
      <c r="L7" s="91" t="s">
        <v>161</v>
      </c>
      <c r="M7" s="66">
        <f t="shared" ca="1" si="3"/>
        <v>52</v>
      </c>
      <c r="N7" s="52" t="s">
        <v>41</v>
      </c>
      <c r="O7" s="53" t="s">
        <v>172</v>
      </c>
      <c r="Q7" s="46" t="s">
        <v>76</v>
      </c>
      <c r="R7">
        <v>473</v>
      </c>
      <c r="S7" s="52">
        <f t="shared" si="0"/>
        <v>0</v>
      </c>
      <c r="T7" s="52"/>
      <c r="U7" s="53">
        <f t="shared" si="1"/>
        <v>473</v>
      </c>
    </row>
    <row r="8" spans="1:21" ht="15" x14ac:dyDescent="0.25">
      <c r="A8" s="45"/>
      <c r="B8" s="52" t="e">
        <f>VLOOKUP(A8,Players!$B$2:$O$20,5,FALSE)</f>
        <v>#N/A</v>
      </c>
      <c r="C8" s="52" t="e">
        <f>VLOOKUP(A8,Players!$B$2:$O$20,6,FALSE)</f>
        <v>#N/A</v>
      </c>
      <c r="D8" s="52" t="e">
        <f>VLOOKUP(A8,Players!$B$2:$O$20,14,FALSE)</f>
        <v>#N/A</v>
      </c>
      <c r="E8" s="52" t="s">
        <v>84</v>
      </c>
      <c r="F8" s="52" t="s">
        <v>133</v>
      </c>
      <c r="G8" s="52">
        <f>VLOOKUP(F8,Players!$B$2:$O$20,14,FALSE)</f>
        <v>19</v>
      </c>
      <c r="H8" s="52" t="e">
        <f t="shared" si="2"/>
        <v>#N/A</v>
      </c>
      <c r="I8" s="53" t="e">
        <f t="shared" si="4"/>
        <v>#N/A</v>
      </c>
      <c r="K8" s="47" t="s">
        <v>101</v>
      </c>
      <c r="L8" s="91" t="s">
        <v>160</v>
      </c>
      <c r="M8" s="66">
        <f t="shared" ca="1" si="3"/>
        <v>89</v>
      </c>
      <c r="N8" s="52"/>
      <c r="O8" s="53"/>
      <c r="Q8" s="47" t="s">
        <v>101</v>
      </c>
      <c r="R8">
        <v>279</v>
      </c>
      <c r="S8" s="52">
        <f t="shared" si="0"/>
        <v>0</v>
      </c>
      <c r="T8" s="52"/>
      <c r="U8" s="53">
        <f t="shared" si="1"/>
        <v>279</v>
      </c>
    </row>
    <row r="9" spans="1:21" ht="15" x14ac:dyDescent="0.25">
      <c r="A9" s="45"/>
      <c r="B9" s="52" t="e">
        <f>VLOOKUP(A9,Players!$B$2:$O$20,5,FALSE)</f>
        <v>#N/A</v>
      </c>
      <c r="C9" s="52" t="e">
        <f>VLOOKUP(A9,Players!$B$2:$O$20,6,FALSE)</f>
        <v>#N/A</v>
      </c>
      <c r="D9" s="52" t="e">
        <f>VLOOKUP(A9,Players!$B$2:$O$20,14,FALSE)</f>
        <v>#N/A</v>
      </c>
      <c r="E9" s="52" t="s">
        <v>84</v>
      </c>
      <c r="F9" s="52" t="s">
        <v>133</v>
      </c>
      <c r="G9" s="52">
        <f>VLOOKUP(F9,Players!$B$2:$O$20,14,FALSE)</f>
        <v>19</v>
      </c>
      <c r="H9" s="52" t="e">
        <f t="shared" si="2"/>
        <v>#N/A</v>
      </c>
      <c r="I9" s="53" t="e">
        <f t="shared" si="4"/>
        <v>#N/A</v>
      </c>
      <c r="K9" s="47" t="s">
        <v>105</v>
      </c>
      <c r="L9" s="96" t="s">
        <v>175</v>
      </c>
      <c r="M9" s="66">
        <f t="shared" ca="1" si="3"/>
        <v>11</v>
      </c>
      <c r="N9" s="52" t="s">
        <v>41</v>
      </c>
      <c r="O9" s="53" t="s">
        <v>171</v>
      </c>
      <c r="Q9" s="47" t="s">
        <v>105</v>
      </c>
      <c r="R9">
        <v>431</v>
      </c>
      <c r="S9" s="52">
        <f t="shared" si="0"/>
        <v>33</v>
      </c>
      <c r="T9" s="52"/>
      <c r="U9" s="53">
        <f t="shared" si="1"/>
        <v>464</v>
      </c>
    </row>
    <row r="10" spans="1:21" ht="15" x14ac:dyDescent="0.25">
      <c r="A10" s="45"/>
      <c r="B10" s="52" t="e">
        <f>VLOOKUP(A10,Players!$B$2:$O$20,5,FALSE)</f>
        <v>#N/A</v>
      </c>
      <c r="C10" s="52" t="e">
        <f>VLOOKUP(A10,Players!$B$2:$O$20,6,FALSE)</f>
        <v>#N/A</v>
      </c>
      <c r="D10" s="52" t="e">
        <f>VLOOKUP(A10,Players!$B$2:$O$20,14,FALSE)</f>
        <v>#N/A</v>
      </c>
      <c r="E10" s="52" t="s">
        <v>84</v>
      </c>
      <c r="F10" s="52" t="s">
        <v>133</v>
      </c>
      <c r="G10" s="52">
        <f>VLOOKUP(F10,Players!$B$2:$O$20,14,FALSE)</f>
        <v>19</v>
      </c>
      <c r="H10" s="52" t="e">
        <f t="shared" si="2"/>
        <v>#N/A</v>
      </c>
      <c r="I10" s="53" t="e">
        <f t="shared" si="4"/>
        <v>#N/A</v>
      </c>
      <c r="K10" s="47" t="s">
        <v>107</v>
      </c>
      <c r="L10" s="93" t="s">
        <v>168</v>
      </c>
      <c r="M10" s="66">
        <f t="shared" ca="1" si="3"/>
        <v>59</v>
      </c>
      <c r="N10" s="52" t="s">
        <v>100</v>
      </c>
      <c r="O10" s="53" t="s">
        <v>187</v>
      </c>
      <c r="Q10" s="47" t="s">
        <v>107</v>
      </c>
      <c r="R10">
        <v>304</v>
      </c>
      <c r="S10" s="52">
        <f t="shared" si="0"/>
        <v>0</v>
      </c>
      <c r="T10" s="52"/>
      <c r="U10" s="53">
        <f t="shared" si="1"/>
        <v>304</v>
      </c>
    </row>
    <row r="11" spans="1:21" ht="15.75" thickBot="1" x14ac:dyDescent="0.3">
      <c r="A11" s="44"/>
      <c r="B11" s="54"/>
      <c r="C11" s="54"/>
      <c r="D11" s="54"/>
      <c r="E11" s="54"/>
      <c r="F11" s="54"/>
      <c r="G11" s="54"/>
      <c r="H11" s="54"/>
      <c r="I11" s="55"/>
      <c r="K11" s="47" t="s">
        <v>109</v>
      </c>
      <c r="L11" s="91" t="s">
        <v>161</v>
      </c>
      <c r="M11" s="66">
        <f t="shared" ca="1" si="3"/>
        <v>21</v>
      </c>
      <c r="N11" s="52" t="s">
        <v>95</v>
      </c>
      <c r="O11" s="53" t="s">
        <v>172</v>
      </c>
      <c r="Q11" s="47" t="s">
        <v>109</v>
      </c>
      <c r="R11">
        <v>571</v>
      </c>
      <c r="S11" s="52">
        <f t="shared" si="0"/>
        <v>0</v>
      </c>
      <c r="T11" s="52"/>
      <c r="U11" s="53">
        <f t="shared" si="1"/>
        <v>571</v>
      </c>
    </row>
    <row r="12" spans="1:21" ht="15" x14ac:dyDescent="0.25">
      <c r="K12" s="47" t="s">
        <v>74</v>
      </c>
      <c r="L12" s="93" t="s">
        <v>169</v>
      </c>
      <c r="M12" s="66">
        <f t="shared" ca="1" si="3"/>
        <v>16</v>
      </c>
      <c r="N12" s="52"/>
      <c r="O12" s="53"/>
      <c r="Q12" s="47" t="s">
        <v>74</v>
      </c>
      <c r="R12">
        <v>379</v>
      </c>
      <c r="S12" s="52">
        <f t="shared" si="0"/>
        <v>112</v>
      </c>
      <c r="T12" s="52"/>
      <c r="U12" s="53">
        <f t="shared" si="1"/>
        <v>491</v>
      </c>
    </row>
    <row r="13" spans="1:21" ht="15" x14ac:dyDescent="0.25">
      <c r="A13" t="s">
        <v>154</v>
      </c>
      <c r="K13" s="47" t="s">
        <v>114</v>
      </c>
      <c r="L13" s="91" t="s">
        <v>161</v>
      </c>
      <c r="M13" s="66">
        <f t="shared" ca="1" si="3"/>
        <v>94</v>
      </c>
      <c r="N13" s="52" t="s">
        <v>124</v>
      </c>
      <c r="O13" s="53"/>
      <c r="Q13" s="47" t="s">
        <v>114</v>
      </c>
      <c r="R13">
        <v>329</v>
      </c>
      <c r="S13" s="52">
        <f t="shared" si="0"/>
        <v>0</v>
      </c>
      <c r="T13" s="52"/>
      <c r="U13" s="53">
        <f t="shared" si="1"/>
        <v>329</v>
      </c>
    </row>
    <row r="14" spans="1:21" ht="15" x14ac:dyDescent="0.25">
      <c r="A14" t="s">
        <v>74</v>
      </c>
      <c r="B14" t="s">
        <v>88</v>
      </c>
      <c r="C14">
        <v>1</v>
      </c>
      <c r="K14" s="47" t="s">
        <v>117</v>
      </c>
      <c r="L14" s="91" t="s">
        <v>117</v>
      </c>
      <c r="M14" s="66">
        <f t="shared" ca="1" si="3"/>
        <v>51</v>
      </c>
      <c r="N14" s="52" t="s">
        <v>184</v>
      </c>
      <c r="O14" s="53"/>
      <c r="Q14" s="47" t="s">
        <v>117</v>
      </c>
      <c r="R14">
        <v>214</v>
      </c>
      <c r="S14" s="52">
        <f t="shared" si="0"/>
        <v>0</v>
      </c>
      <c r="T14" s="52"/>
      <c r="U14" s="53">
        <f t="shared" si="1"/>
        <v>214</v>
      </c>
    </row>
    <row r="15" spans="1:21" ht="15" x14ac:dyDescent="0.25">
      <c r="K15" s="47" t="s">
        <v>119</v>
      </c>
      <c r="L15" s="93" t="s">
        <v>169</v>
      </c>
      <c r="M15" s="66">
        <f t="shared" ca="1" si="3"/>
        <v>126</v>
      </c>
      <c r="N15" s="52"/>
      <c r="O15" s="53"/>
      <c r="Q15" s="47" t="s">
        <v>119</v>
      </c>
      <c r="R15">
        <v>57</v>
      </c>
      <c r="S15" s="52">
        <f t="shared" si="0"/>
        <v>112</v>
      </c>
      <c r="T15" s="52"/>
      <c r="U15" s="53">
        <f>S15+R15-T15</f>
        <v>169</v>
      </c>
    </row>
    <row r="16" spans="1:21" ht="15" x14ac:dyDescent="0.25">
      <c r="K16" s="48" t="s">
        <v>127</v>
      </c>
      <c r="L16" s="91" t="s">
        <v>161</v>
      </c>
      <c r="M16" s="66">
        <f t="shared" ca="1" si="3"/>
        <v>54</v>
      </c>
      <c r="N16" s="52" t="s">
        <v>123</v>
      </c>
      <c r="O16" s="53" t="s">
        <v>172</v>
      </c>
      <c r="Q16" s="48" t="s">
        <v>127</v>
      </c>
      <c r="R16">
        <v>284</v>
      </c>
      <c r="S16" s="52">
        <f t="shared" si="0"/>
        <v>0</v>
      </c>
      <c r="T16" s="52"/>
      <c r="U16" s="53">
        <f t="shared" si="1"/>
        <v>284</v>
      </c>
    </row>
    <row r="17" spans="11:21" ht="15" x14ac:dyDescent="0.25">
      <c r="K17" s="48" t="s">
        <v>125</v>
      </c>
      <c r="L17" s="91" t="s">
        <v>161</v>
      </c>
      <c r="M17" s="66" t="e">
        <f t="shared" ca="1" si="3"/>
        <v>#N/A</v>
      </c>
      <c r="N17" s="52" t="s">
        <v>111</v>
      </c>
      <c r="O17" s="53" t="s">
        <v>172</v>
      </c>
      <c r="Q17" s="48" t="s">
        <v>125</v>
      </c>
      <c r="R17">
        <v>148</v>
      </c>
      <c r="S17" s="52">
        <f t="shared" si="0"/>
        <v>0</v>
      </c>
      <c r="T17" s="52"/>
      <c r="U17" s="53">
        <f t="shared" si="1"/>
        <v>148</v>
      </c>
    </row>
    <row r="18" spans="11:21" ht="15" x14ac:dyDescent="0.25">
      <c r="K18" s="45" t="s">
        <v>157</v>
      </c>
      <c r="L18" s="93" t="s">
        <v>168</v>
      </c>
      <c r="M18" s="63"/>
      <c r="N18" s="52" t="s">
        <v>88</v>
      </c>
      <c r="O18" s="53"/>
      <c r="Q18" s="45" t="s">
        <v>157</v>
      </c>
      <c r="R18">
        <v>123</v>
      </c>
      <c r="S18" s="52">
        <f t="shared" ref="S18" si="5">VLOOKUP(L18,R$26:S$34,2,FALSE)</f>
        <v>0</v>
      </c>
      <c r="T18" s="52"/>
      <c r="U18" s="53">
        <f t="shared" ref="U18" si="6">S18+R18-T18</f>
        <v>123</v>
      </c>
    </row>
    <row r="19" spans="11:21" x14ac:dyDescent="0.2">
      <c r="K19" s="45"/>
      <c r="L19" s="63"/>
      <c r="M19" s="63"/>
      <c r="N19" s="52"/>
      <c r="O19" s="53"/>
      <c r="Q19" s="45"/>
      <c r="R19" s="52"/>
      <c r="S19" s="52"/>
      <c r="T19" s="52"/>
      <c r="U19" s="53"/>
    </row>
    <row r="20" spans="11:21" x14ac:dyDescent="0.2">
      <c r="K20" s="45"/>
      <c r="L20" s="63"/>
      <c r="M20" s="63"/>
      <c r="N20" s="52"/>
      <c r="O20" s="53"/>
      <c r="Q20" s="45"/>
      <c r="R20" s="52"/>
      <c r="S20" s="52"/>
      <c r="T20" s="52"/>
      <c r="U20" s="53"/>
    </row>
    <row r="21" spans="11:21" x14ac:dyDescent="0.2">
      <c r="K21" s="45"/>
      <c r="L21" s="63"/>
      <c r="M21" s="63"/>
      <c r="N21" s="52"/>
      <c r="O21" s="53"/>
      <c r="Q21" s="45"/>
      <c r="R21" s="52"/>
      <c r="S21" s="52"/>
      <c r="T21" s="52"/>
      <c r="U21" s="53"/>
    </row>
    <row r="22" spans="11:21" ht="13.5" thickBot="1" x14ac:dyDescent="0.25">
      <c r="K22" s="44"/>
      <c r="L22" s="64"/>
      <c r="M22" s="64"/>
      <c r="N22" s="54"/>
      <c r="O22" s="55"/>
      <c r="Q22" s="44"/>
      <c r="R22" s="54"/>
      <c r="S22" s="54"/>
      <c r="T22" s="54"/>
      <c r="U22" s="55"/>
    </row>
    <row r="23" spans="11:21" ht="13.5" thickBot="1" x14ac:dyDescent="0.25"/>
    <row r="24" spans="11:21" ht="18.75" thickBot="1" x14ac:dyDescent="0.3">
      <c r="Q24" s="114" t="s">
        <v>153</v>
      </c>
      <c r="R24" s="115"/>
      <c r="S24" s="116"/>
    </row>
    <row r="25" spans="11:21" x14ac:dyDescent="0.2">
      <c r="Q25" s="78" t="s">
        <v>149</v>
      </c>
      <c r="R25" s="79" t="s">
        <v>148</v>
      </c>
      <c r="S25" s="80" t="s">
        <v>147</v>
      </c>
    </row>
    <row r="26" spans="11:21" x14ac:dyDescent="0.2">
      <c r="Q26" s="45">
        <v>4</v>
      </c>
      <c r="R26" s="63" t="str">
        <f>INDEX(SheetNames,Q26)</f>
        <v>Below the Law</v>
      </c>
      <c r="S26" s="76"/>
    </row>
    <row r="27" spans="11:21" x14ac:dyDescent="0.2">
      <c r="Q27" s="45">
        <v>5</v>
      </c>
      <c r="R27" s="63" t="str">
        <f>INDEX(SheetNames,Q27)</f>
        <v>Below the Law - Ambush</v>
      </c>
      <c r="S27" s="76">
        <v>33</v>
      </c>
    </row>
    <row r="28" spans="11:21" x14ac:dyDescent="0.2">
      <c r="Q28" s="45">
        <v>6</v>
      </c>
      <c r="R28" s="63" t="str">
        <f>INDEX(SheetNames,Q28)</f>
        <v>On Deadl-E Ground 1</v>
      </c>
      <c r="S28" s="76">
        <v>112</v>
      </c>
    </row>
    <row r="29" spans="11:21" x14ac:dyDescent="0.2">
      <c r="Q29" s="45">
        <v>7</v>
      </c>
      <c r="R29" s="63" t="str">
        <f>INDEX(SheetNames,Q29)</f>
        <v>On Deadl-E Ground 2</v>
      </c>
      <c r="S29" s="76"/>
    </row>
    <row r="30" spans="11:21" x14ac:dyDescent="0.2">
      <c r="Q30" s="45">
        <v>8</v>
      </c>
      <c r="R30" s="63" t="str">
        <f>INDEX(SheetNames,Q30)</f>
        <v>Dark Territory</v>
      </c>
      <c r="S30" s="76"/>
    </row>
    <row r="31" spans="11:21" x14ac:dyDescent="0.2">
      <c r="Q31" s="45">
        <v>9</v>
      </c>
      <c r="R31" s="63" t="str">
        <f t="shared" ref="R31:R33" si="7">INDEX(SheetNames,Q31)</f>
        <v>Tankbot</v>
      </c>
      <c r="S31" s="76"/>
    </row>
    <row r="32" spans="11:21" x14ac:dyDescent="0.2">
      <c r="Q32" s="45">
        <v>10</v>
      </c>
      <c r="R32" s="63" t="e">
        <f t="shared" si="7"/>
        <v>#REF!</v>
      </c>
      <c r="S32" s="76"/>
    </row>
    <row r="33" spans="17:19" x14ac:dyDescent="0.2">
      <c r="Q33" s="45">
        <v>11</v>
      </c>
      <c r="R33" s="63" t="e">
        <f t="shared" si="7"/>
        <v>#REF!</v>
      </c>
      <c r="S33" s="76"/>
    </row>
    <row r="34" spans="17:19" ht="13.5" thickBot="1" x14ac:dyDescent="0.25">
      <c r="Q34" s="44">
        <v>12</v>
      </c>
      <c r="R34" s="64" t="s">
        <v>162</v>
      </c>
      <c r="S34" s="77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5"/>
  <sheetViews>
    <sheetView workbookViewId="0">
      <selection activeCell="C6" sqref="C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101</v>
      </c>
      <c r="B2" t="s">
        <v>16</v>
      </c>
      <c r="C2">
        <v>1</v>
      </c>
      <c r="D2">
        <v>1</v>
      </c>
      <c r="F2">
        <f>VLOOKUP(A2,Players!$B$2:$F$30,5,FALSE)</f>
        <v>89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171</v>
      </c>
      <c r="B3" t="s">
        <v>17</v>
      </c>
      <c r="C3">
        <v>1</v>
      </c>
    </row>
    <row r="4" spans="1:22" x14ac:dyDescent="0.2">
      <c r="A4" t="s">
        <v>170</v>
      </c>
      <c r="B4" t="s">
        <v>17</v>
      </c>
      <c r="C4">
        <v>1</v>
      </c>
    </row>
    <row r="5" spans="1:22" x14ac:dyDescent="0.2">
      <c r="A5" t="s">
        <v>3</v>
      </c>
      <c r="B5" t="s">
        <v>17</v>
      </c>
      <c r="C5">
        <v>2</v>
      </c>
    </row>
  </sheetData>
  <dataValidations count="1">
    <dataValidation type="list" allowBlank="1" showInputMessage="1" showErrorMessage="1" sqref="L3:L19" xr:uid="{CD0C094A-3DD5-4259-8BD1-591C43C3DE05}">
      <formula1>$A$2:$A$19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C662B-6A10-4392-912C-147DE21E84D3}">
  <sheetPr codeName="Sheet9"/>
  <dimension ref="A1:V2"/>
  <sheetViews>
    <sheetView workbookViewId="0">
      <selection activeCell="D10" sqref="D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105</v>
      </c>
      <c r="B2" t="s">
        <v>16</v>
      </c>
      <c r="C2">
        <v>1</v>
      </c>
      <c r="D2">
        <v>1</v>
      </c>
      <c r="F2">
        <f>VLOOKUP(A2,Players!$B$2:$F$30,5,FALSE)</f>
        <v>11</v>
      </c>
      <c r="K2" t="str">
        <f>IF(NOT($B2="Enemy"),VLOOKUP($A2,Toolkit!$K$2:$O$37,4,FALSE),"")</f>
        <v>Long Sword</v>
      </c>
      <c r="L2" t="str">
        <f>IF(NOT($B2="Enemy"),VLOOKUP($A2,Toolkit!$K$2:$O$37,5,FALSE),"")</f>
        <v>Spider</v>
      </c>
    </row>
  </sheetData>
  <dataValidations count="1">
    <dataValidation type="list" allowBlank="1" showInputMessage="1" showErrorMessage="1" sqref="L3:L19" xr:uid="{E2062D79-ACEF-44DE-8A89-3F349CB35822}">
      <formula1>$A$2:$A$19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3"/>
  <sheetViews>
    <sheetView workbookViewId="0">
      <selection activeCell="A4" sqref="A4:C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F2">
        <f>VLOOKUP(A2,Players!$B$2:$F$30,5,FALSE)</f>
        <v>126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74</v>
      </c>
      <c r="B3" t="s">
        <v>16</v>
      </c>
      <c r="C3">
        <v>1</v>
      </c>
      <c r="D3">
        <v>2</v>
      </c>
      <c r="F3">
        <f>VLOOKUP(A3,Players!$B$2:$F$30,5,FALSE)</f>
        <v>16</v>
      </c>
      <c r="K3">
        <f>IF(NOT($B3="Enemy"),VLOOKUP($A3,Toolkit!$K$2:$O$37,4,FALSE),"")</f>
        <v>0</v>
      </c>
      <c r="L3">
        <f>IF(NOT($B3="Enemy"),VLOOKUP($A3,Toolkit!$K$2:$O$37,5,FALSE),"")</f>
        <v>0</v>
      </c>
    </row>
  </sheetData>
  <dataValidations count="1">
    <dataValidation type="list" allowBlank="1" showInputMessage="1" showErrorMessage="1" sqref="L5:L21" xr:uid="{92B02EC9-250A-4C6F-84C0-38DB0791A413}">
      <formula1>$A$2:$A$21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D2F7-744D-461A-ACA4-1B5DBA358F4F}">
  <sheetPr codeName="Sheet8"/>
  <dimension ref="A1:V6"/>
  <sheetViews>
    <sheetView workbookViewId="0">
      <selection activeCell="K5" sqref="K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98</v>
      </c>
      <c r="B2" t="s">
        <v>16</v>
      </c>
      <c r="C2">
        <v>1</v>
      </c>
      <c r="D2">
        <v>1</v>
      </c>
      <c r="F2">
        <f>VLOOKUP(A2,Players!$B$2:$F$30,5,FALSE)</f>
        <v>81</v>
      </c>
      <c r="K2" t="str">
        <f>IF(NOT($B2="Enemy"),VLOOKUP($A2,Toolkit!$K$2:$O$37,4,FALSE),"")</f>
        <v>Beak</v>
      </c>
      <c r="L2" t="str">
        <f>IF(NOT($B2="Enemy"),VLOOKUP($A2,Toolkit!$K$2:$O$37,5,FALSE),"")</f>
        <v>Odd Eye</v>
      </c>
    </row>
    <row r="3" spans="1:22" x14ac:dyDescent="0.2">
      <c r="A3" t="s">
        <v>107</v>
      </c>
      <c r="B3" t="s">
        <v>16</v>
      </c>
      <c r="C3">
        <v>1</v>
      </c>
      <c r="D3">
        <v>2</v>
      </c>
      <c r="F3">
        <f>VLOOKUP(A3,Players!$B$2:$F$30,5,FALSE)</f>
        <v>59</v>
      </c>
      <c r="K3" t="str">
        <f>IF(NOT($B3="Enemy"),VLOOKUP($A3,Toolkit!$K$2:$O$37,4,FALSE),"")</f>
        <v>MM Book</v>
      </c>
      <c r="L3" t="str">
        <f>IF(NOT($B3="Enemy"),VLOOKUP($A3,Toolkit!$K$2:$O$37,5,FALSE),"")</f>
        <v>Ooze</v>
      </c>
    </row>
    <row r="4" spans="1:22" x14ac:dyDescent="0.2">
      <c r="A4" t="s">
        <v>157</v>
      </c>
      <c r="B4" t="s">
        <v>16</v>
      </c>
      <c r="C4">
        <v>1</v>
      </c>
      <c r="D4">
        <v>3</v>
      </c>
      <c r="F4">
        <f>VLOOKUP(A4,Players!$B$2:$F$30,5,FALSE)</f>
        <v>52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187</v>
      </c>
      <c r="B5" t="s">
        <v>17</v>
      </c>
      <c r="C5">
        <v>3</v>
      </c>
    </row>
    <row r="6" spans="1:22" x14ac:dyDescent="0.2">
      <c r="A6" t="s">
        <v>186</v>
      </c>
      <c r="B6" t="s">
        <v>17</v>
      </c>
      <c r="C6">
        <v>1</v>
      </c>
    </row>
  </sheetData>
  <dataValidations count="1">
    <dataValidation type="list" allowBlank="1" showInputMessage="1" showErrorMessage="1" sqref="L6:L22" xr:uid="{9E198A22-BFFD-4773-BB4A-110DC94C80AD}">
      <formula1>$A$2:$A$22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14"/>
  <sheetViews>
    <sheetView workbookViewId="0">
      <selection activeCell="K16" sqref="K1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109</v>
      </c>
      <c r="B2" t="s">
        <v>16</v>
      </c>
      <c r="C2">
        <v>1</v>
      </c>
      <c r="D2">
        <v>6</v>
      </c>
      <c r="E2">
        <v>9.76</v>
      </c>
      <c r="F2">
        <v>21</v>
      </c>
      <c r="G2">
        <v>6</v>
      </c>
      <c r="H2">
        <v>4</v>
      </c>
      <c r="I2">
        <v>6</v>
      </c>
      <c r="J2">
        <v>3</v>
      </c>
      <c r="K2" t="str">
        <f>IF(NOT($B2="Enemy"),VLOOKUP($A2,Toolkit!$K$2:$O$37,4,FALSE),"")</f>
        <v>Bow</v>
      </c>
      <c r="L2" t="str">
        <f>IF(NOT($B2="Enemy"),VLOOKUP($A2,Toolkit!$K$2:$O$37,5,FALSE),"")</f>
        <v>Jaguar</v>
      </c>
      <c r="U2" t="s">
        <v>89</v>
      </c>
      <c r="V2" t="s">
        <v>178</v>
      </c>
    </row>
    <row r="3" spans="1:22" x14ac:dyDescent="0.2">
      <c r="A3" t="s">
        <v>173</v>
      </c>
      <c r="B3" t="s">
        <v>17</v>
      </c>
      <c r="C3">
        <v>0</v>
      </c>
      <c r="D3">
        <v>2</v>
      </c>
      <c r="E3">
        <v>7.98</v>
      </c>
      <c r="F3">
        <v>0</v>
      </c>
      <c r="G3">
        <v>5</v>
      </c>
      <c r="H3">
        <v>7</v>
      </c>
      <c r="I3">
        <v>3</v>
      </c>
      <c r="J3">
        <v>4</v>
      </c>
      <c r="K3" t="str">
        <f>IF(NOT($B3="Enemy"),VLOOKUP($A3,Toolkit!$K$2:$O$37,4,FALSE),"")</f>
        <v/>
      </c>
      <c r="L3" t="str">
        <f>IF(NOT($B3="Enemy"),VLOOKUP($A3,Toolkit!$K$2:$O$37,5,FALSE),"")</f>
        <v/>
      </c>
      <c r="N3" t="s">
        <v>179</v>
      </c>
      <c r="O3" t="s">
        <v>179</v>
      </c>
      <c r="P3" t="s">
        <v>179</v>
      </c>
      <c r="Q3" t="s">
        <v>179</v>
      </c>
      <c r="R3" t="s">
        <v>179</v>
      </c>
      <c r="S3" t="s">
        <v>179</v>
      </c>
      <c r="U3" t="s">
        <v>121</v>
      </c>
      <c r="V3" t="s">
        <v>180</v>
      </c>
    </row>
    <row r="4" spans="1:22" x14ac:dyDescent="0.2">
      <c r="A4" t="s">
        <v>173</v>
      </c>
      <c r="B4" t="s">
        <v>17</v>
      </c>
      <c r="C4">
        <v>0</v>
      </c>
      <c r="D4">
        <v>3</v>
      </c>
      <c r="E4">
        <v>7.98</v>
      </c>
      <c r="F4">
        <v>0</v>
      </c>
      <c r="G4">
        <v>5</v>
      </c>
      <c r="H4">
        <v>7</v>
      </c>
      <c r="I4">
        <v>3</v>
      </c>
      <c r="J4">
        <v>4</v>
      </c>
      <c r="K4" t="str">
        <f>IF(NOT($B4="Enemy"),VLOOKUP($A4,Toolkit!$K$2:$O$37,4,FALSE),"")</f>
        <v/>
      </c>
      <c r="L4" t="str">
        <f>IF(NOT($B4="Enemy"),VLOOKUP($A4,Toolkit!$K$2:$O$37,5,FALSE),"")</f>
        <v/>
      </c>
      <c r="N4" t="s">
        <v>179</v>
      </c>
      <c r="O4" t="s">
        <v>179</v>
      </c>
      <c r="P4" t="s">
        <v>179</v>
      </c>
      <c r="Q4" t="s">
        <v>179</v>
      </c>
      <c r="R4" t="s">
        <v>179</v>
      </c>
      <c r="S4" t="s">
        <v>179</v>
      </c>
      <c r="U4" t="s">
        <v>121</v>
      </c>
      <c r="V4" t="s">
        <v>180</v>
      </c>
    </row>
    <row r="5" spans="1:22" x14ac:dyDescent="0.2">
      <c r="A5" t="s">
        <v>173</v>
      </c>
      <c r="B5" t="s">
        <v>17</v>
      </c>
      <c r="C5">
        <v>0</v>
      </c>
      <c r="D5">
        <v>1</v>
      </c>
      <c r="E5">
        <v>7.8400000000000007</v>
      </c>
      <c r="F5">
        <v>0</v>
      </c>
      <c r="G5">
        <v>5</v>
      </c>
      <c r="H5">
        <v>7</v>
      </c>
      <c r="I5">
        <v>3</v>
      </c>
      <c r="J5">
        <v>4</v>
      </c>
      <c r="K5" t="str">
        <f>IF(NOT($B5="Enemy"),VLOOKUP($A5,Toolkit!$K$2:$O$37,4,FALSE),"")</f>
        <v/>
      </c>
      <c r="L5" t="str">
        <f>IF(NOT($B5="Enemy"),VLOOKUP($A5,Toolkit!$K$2:$O$37,5,FALSE),"")</f>
        <v/>
      </c>
      <c r="N5" t="s">
        <v>179</v>
      </c>
      <c r="O5" t="s">
        <v>179</v>
      </c>
      <c r="P5" t="s">
        <v>179</v>
      </c>
      <c r="Q5" t="s">
        <v>179</v>
      </c>
      <c r="R5" t="s">
        <v>179</v>
      </c>
      <c r="S5" t="s">
        <v>179</v>
      </c>
      <c r="U5" t="s">
        <v>121</v>
      </c>
      <c r="V5" t="s">
        <v>180</v>
      </c>
    </row>
    <row r="6" spans="1:22" x14ac:dyDescent="0.2">
      <c r="A6" t="s">
        <v>127</v>
      </c>
      <c r="B6" t="s">
        <v>16</v>
      </c>
      <c r="C6">
        <v>1</v>
      </c>
      <c r="D6">
        <v>3</v>
      </c>
      <c r="E6">
        <v>7.77</v>
      </c>
      <c r="F6">
        <v>54</v>
      </c>
      <c r="G6">
        <v>5</v>
      </c>
      <c r="H6">
        <v>8</v>
      </c>
      <c r="I6">
        <v>4</v>
      </c>
      <c r="J6">
        <v>6</v>
      </c>
      <c r="K6" t="str">
        <f>IF(NOT($B6="Enemy"),VLOOKUP($A6,Toolkit!$K$2:$O$37,4,FALSE),"")</f>
        <v>Rapier</v>
      </c>
      <c r="L6" t="str">
        <f>IF(NOT($B6="Enemy"),VLOOKUP($A6,Toolkit!$K$2:$O$37,5,FALSE),"")</f>
        <v>Jaguar</v>
      </c>
      <c r="U6" t="s">
        <v>123</v>
      </c>
      <c r="V6" t="s">
        <v>181</v>
      </c>
    </row>
    <row r="7" spans="1:22" x14ac:dyDescent="0.2">
      <c r="A7" t="s">
        <v>92</v>
      </c>
      <c r="B7" t="s">
        <v>16</v>
      </c>
      <c r="C7">
        <v>1</v>
      </c>
      <c r="D7">
        <v>4</v>
      </c>
      <c r="E7">
        <v>7.21</v>
      </c>
      <c r="F7">
        <v>99</v>
      </c>
      <c r="G7">
        <v>10</v>
      </c>
      <c r="H7">
        <v>7</v>
      </c>
      <c r="I7">
        <v>8</v>
      </c>
      <c r="J7">
        <v>5</v>
      </c>
      <c r="K7" t="str">
        <f>IF(NOT($B7="Enemy"),VLOOKUP($A7,Toolkit!$K$2:$O$37,4,FALSE),"")</f>
        <v>8-Legs</v>
      </c>
      <c r="L7" t="str">
        <f>IF(NOT($B7="Enemy"),VLOOKUP($A7,Toolkit!$K$2:$O$37,5,FALSE),"")</f>
        <v>Jaguar</v>
      </c>
      <c r="U7" t="s">
        <v>177</v>
      </c>
      <c r="V7" t="s">
        <v>182</v>
      </c>
    </row>
    <row r="8" spans="1:22" x14ac:dyDescent="0.2">
      <c r="A8" t="s">
        <v>76</v>
      </c>
      <c r="B8" t="s">
        <v>16</v>
      </c>
      <c r="C8">
        <v>1</v>
      </c>
      <c r="D8">
        <v>5</v>
      </c>
      <c r="E8">
        <v>7.14</v>
      </c>
      <c r="F8">
        <v>52</v>
      </c>
      <c r="G8">
        <v>6</v>
      </c>
      <c r="H8">
        <v>6</v>
      </c>
      <c r="I8">
        <v>6</v>
      </c>
      <c r="J8">
        <v>6</v>
      </c>
      <c r="K8" t="str">
        <f>IF(NOT($B8="Enemy"),VLOOKUP($A8,Toolkit!$K$2:$O$37,4,FALSE),"")</f>
        <v>Long Sword</v>
      </c>
      <c r="L8" t="str">
        <f>IF(NOT($B8="Enemy"),VLOOKUP($A8,Toolkit!$K$2:$O$37,5,FALSE),"")</f>
        <v>Jaguar</v>
      </c>
      <c r="U8" t="s">
        <v>121</v>
      </c>
      <c r="V8" t="s">
        <v>180</v>
      </c>
    </row>
    <row r="9" spans="1:22" x14ac:dyDescent="0.2">
      <c r="A9" t="s">
        <v>114</v>
      </c>
      <c r="B9" t="s">
        <v>16</v>
      </c>
      <c r="C9">
        <v>1</v>
      </c>
      <c r="D9">
        <v>1</v>
      </c>
      <c r="E9">
        <v>6.12</v>
      </c>
      <c r="F9">
        <v>94</v>
      </c>
      <c r="G9">
        <v>8</v>
      </c>
      <c r="H9">
        <v>8</v>
      </c>
      <c r="I9">
        <v>0</v>
      </c>
      <c r="J9">
        <v>10</v>
      </c>
      <c r="K9" t="str">
        <f>IF(NOT($B9="Enemy"),VLOOKUP($A9,Toolkit!$K$2:$O$37,4,FALSE),"")</f>
        <v>Bronze Shield</v>
      </c>
      <c r="L9">
        <f>IF(NOT($B9="Enemy"),VLOOKUP($A9,Toolkit!$K$2:$O$37,5,FALSE),"")</f>
        <v>0</v>
      </c>
      <c r="U9" t="s">
        <v>111</v>
      </c>
      <c r="V9" t="s">
        <v>182</v>
      </c>
    </row>
    <row r="10" spans="1:22" x14ac:dyDescent="0.2">
      <c r="A10" t="s">
        <v>172</v>
      </c>
      <c r="B10" t="s">
        <v>17</v>
      </c>
      <c r="C10">
        <v>1</v>
      </c>
      <c r="D10">
        <v>4</v>
      </c>
      <c r="E10">
        <v>5.9499999999999993</v>
      </c>
      <c r="F10">
        <v>13</v>
      </c>
      <c r="G10">
        <v>6</v>
      </c>
      <c r="H10">
        <v>5</v>
      </c>
      <c r="I10">
        <v>3</v>
      </c>
      <c r="J10">
        <v>5</v>
      </c>
      <c r="U10" t="s">
        <v>183</v>
      </c>
      <c r="V10" t="s">
        <v>182</v>
      </c>
    </row>
    <row r="11" spans="1:22" x14ac:dyDescent="0.2">
      <c r="A11" t="s">
        <v>172</v>
      </c>
      <c r="B11" t="s">
        <v>17</v>
      </c>
      <c r="C11">
        <v>1</v>
      </c>
      <c r="D11">
        <v>2</v>
      </c>
      <c r="E11">
        <v>5.8999999999999986</v>
      </c>
      <c r="F11">
        <v>13</v>
      </c>
      <c r="G11">
        <v>6</v>
      </c>
      <c r="H11">
        <v>5</v>
      </c>
      <c r="I11">
        <v>3</v>
      </c>
      <c r="J11">
        <v>5</v>
      </c>
      <c r="U11" t="s">
        <v>183</v>
      </c>
      <c r="V11" t="s">
        <v>182</v>
      </c>
    </row>
    <row r="12" spans="1:22" x14ac:dyDescent="0.2">
      <c r="A12" t="s">
        <v>125</v>
      </c>
      <c r="B12" t="s">
        <v>16</v>
      </c>
      <c r="C12">
        <v>1</v>
      </c>
      <c r="D12">
        <v>2</v>
      </c>
      <c r="E12">
        <v>5.4</v>
      </c>
      <c r="F12">
        <v>21</v>
      </c>
      <c r="G12">
        <v>22</v>
      </c>
      <c r="H12">
        <v>5</v>
      </c>
      <c r="I12">
        <v>0</v>
      </c>
      <c r="J12">
        <v>6</v>
      </c>
      <c r="K12" t="str">
        <f>IF(NOT($B12="Enemy"),VLOOKUP($A12,Toolkit!$K$2:$O$37,4,FALSE),"")</f>
        <v>Hammer</v>
      </c>
      <c r="L12" t="str">
        <f>IF(NOT($B12="Enemy"),VLOOKUP($A12,Toolkit!$K$2:$O$37,5,FALSE),"")</f>
        <v>Jaguar</v>
      </c>
      <c r="U12" t="s">
        <v>111</v>
      </c>
      <c r="V12" t="s">
        <v>182</v>
      </c>
    </row>
    <row r="13" spans="1:22" x14ac:dyDescent="0.2">
      <c r="A13" t="s">
        <v>172</v>
      </c>
      <c r="B13" t="s">
        <v>17</v>
      </c>
      <c r="C13">
        <v>0</v>
      </c>
      <c r="D13">
        <v>1</v>
      </c>
      <c r="E13">
        <v>5.15</v>
      </c>
      <c r="F13">
        <v>0</v>
      </c>
      <c r="G13">
        <v>6</v>
      </c>
      <c r="H13">
        <v>5</v>
      </c>
      <c r="I13">
        <v>3</v>
      </c>
      <c r="J13">
        <v>5</v>
      </c>
      <c r="N13" t="s">
        <v>179</v>
      </c>
      <c r="O13" t="s">
        <v>179</v>
      </c>
      <c r="P13" t="s">
        <v>179</v>
      </c>
      <c r="Q13" t="s">
        <v>179</v>
      </c>
      <c r="R13" t="s">
        <v>179</v>
      </c>
      <c r="S13" t="s">
        <v>179</v>
      </c>
    </row>
    <row r="14" spans="1:22" x14ac:dyDescent="0.2">
      <c r="A14" t="s">
        <v>172</v>
      </c>
      <c r="B14" t="s">
        <v>17</v>
      </c>
      <c r="C14">
        <v>1</v>
      </c>
      <c r="D14">
        <v>3</v>
      </c>
      <c r="E14">
        <v>5.0999999999999996</v>
      </c>
      <c r="F14">
        <v>13</v>
      </c>
      <c r="G14">
        <v>6</v>
      </c>
      <c r="H14">
        <v>5</v>
      </c>
      <c r="I14">
        <v>3</v>
      </c>
      <c r="J14">
        <v>5</v>
      </c>
      <c r="U14" t="s">
        <v>183</v>
      </c>
      <c r="V14" t="s">
        <v>182</v>
      </c>
    </row>
  </sheetData>
  <dataValidations count="1">
    <dataValidation type="list" allowBlank="1" showInputMessage="1" showErrorMessage="1" sqref="L13:L21 L10:L11" xr:uid="{EBB04A11-21ED-4407-A460-0F9206DD93AC}">
      <formula1>$A$2:$A$21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9D423-1E3F-402F-9D91-AB3059C06149}">
  <sheetPr codeName="Sheet6"/>
  <dimension ref="A1:V4"/>
  <sheetViews>
    <sheetView workbookViewId="0">
      <selection activeCell="F4" sqref="F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117</v>
      </c>
      <c r="B2" t="s">
        <v>16</v>
      </c>
      <c r="C2">
        <v>1</v>
      </c>
      <c r="D2">
        <v>1</v>
      </c>
      <c r="F2">
        <f>VLOOKUP(A2,Players!$B$2:$F$30,5,FALSE)</f>
        <v>51</v>
      </c>
      <c r="K2" t="str">
        <f>IF(NOT($B2="Enemy"),VLOOKUP($A2,Toolkit!$K$2:$O$37,4,FALSE),"")</f>
        <v>Run</v>
      </c>
      <c r="L2">
        <f>IF(NOT($B2="Enemy"),VLOOKUP($A2,Toolkit!$K$2:$O$37,5,FALSE),"")</f>
        <v>0</v>
      </c>
    </row>
    <row r="3" spans="1:22" x14ac:dyDescent="0.2">
      <c r="A3" t="s">
        <v>172</v>
      </c>
      <c r="B3" t="s">
        <v>17</v>
      </c>
      <c r="C3">
        <v>4</v>
      </c>
      <c r="K3" t="str">
        <f>IF(NOT($B3="Enemy"),VLOOKUP($A3,Toolkit!$K$2:$O$37,4,FALSE),"")</f>
        <v/>
      </c>
      <c r="L3" t="str">
        <f>IF(NOT($B3="Enemy"),VLOOKUP($A3,Toolkit!$K$2:$O$37,5,FALSE),"")</f>
        <v/>
      </c>
    </row>
    <row r="4" spans="1:22" x14ac:dyDescent="0.2">
      <c r="A4" t="s">
        <v>188</v>
      </c>
      <c r="B4" t="s">
        <v>17</v>
      </c>
      <c r="C4">
        <v>1</v>
      </c>
    </row>
  </sheetData>
  <dataValidations count="1">
    <dataValidation type="list" allowBlank="1" showInputMessage="1" showErrorMessage="1" sqref="L4:L20" xr:uid="{C97A8CB5-EA55-4755-8030-79B0E7E12A38}">
      <formula1>$A$2:$A$20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Players</vt:lpstr>
      <vt:lpstr>Toolkit</vt:lpstr>
      <vt:lpstr>Template</vt:lpstr>
      <vt:lpstr>Below the Law</vt:lpstr>
      <vt:lpstr>Below the Law - Ambush</vt:lpstr>
      <vt:lpstr>On Deadl-E Ground 1</vt:lpstr>
      <vt:lpstr>On Deadl-E Ground 2</vt:lpstr>
      <vt:lpstr>Dark Territory</vt:lpstr>
      <vt:lpstr>Tankbot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2020-02-26T03:27:17Z</dcterms:modified>
</cp:coreProperties>
</file>