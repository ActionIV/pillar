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2B78CD44-3863-4A5C-9841-FD85C31B2CF3}" xr6:coauthVersionLast="45" xr6:coauthVersionMax="46" xr10:uidLastSave="{00000000-0000-0000-0000-000000000000}"/>
  <bookViews>
    <workbookView xWindow="-108" yWindow="-108" windowWidth="23256" windowHeight="12576" tabRatio="567" activeTab="1" xr2:uid="{00000000-000D-0000-FFFF-FFFF00000000}"/>
  </bookViews>
  <sheets>
    <sheet name="Players" sheetId="16" r:id="rId1"/>
    <sheet name="Toolkit" sheetId="30" r:id="rId2"/>
    <sheet name="Template" sheetId="1" r:id="rId3"/>
    <sheet name="One Civilization's Trash" sheetId="39" r:id="rId4"/>
    <sheet name="Vall-E of Bones" sheetId="37" r:id="rId5"/>
    <sheet name="Rockers" sheetId="41" r:id="rId6"/>
    <sheet name="Team Pragmatic" sheetId="42" r:id="rId7"/>
  </sheets>
  <externalReferences>
    <externalReference r:id="rId8"/>
  </externalReferences>
  <definedNames>
    <definedName name="_xlnm._FilterDatabase" localSheetId="6" hidden="1">'Team Pragmatic'!$A$2:$D$3</definedName>
    <definedName name="_xlnm._FilterDatabase" localSheetId="4" hidden="1">'Vall-E of Bones'!$A$2:$D$2</definedName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37" l="1"/>
  <c r="F4" i="37"/>
  <c r="F5" i="37"/>
  <c r="F2" i="37"/>
  <c r="K5" i="42" l="1"/>
  <c r="L5" i="42"/>
  <c r="K6" i="42"/>
  <c r="L6" i="42"/>
  <c r="K2" i="41"/>
  <c r="L2" i="41"/>
  <c r="K3" i="41"/>
  <c r="L3" i="41"/>
  <c r="K4" i="41"/>
  <c r="L4" i="41"/>
  <c r="K5" i="41"/>
  <c r="L5" i="41"/>
  <c r="K8" i="41"/>
  <c r="L8" i="41"/>
  <c r="K9" i="41"/>
  <c r="L9" i="41"/>
  <c r="K10" i="41"/>
  <c r="L10" i="41"/>
  <c r="G14" i="16" l="1"/>
  <c r="K5" i="37" l="1"/>
  <c r="L5" i="37"/>
  <c r="K3" i="37" l="1"/>
  <c r="L3" i="37"/>
  <c r="K4" i="37"/>
  <c r="L4" i="37"/>
  <c r="C19" i="30" l="1"/>
  <c r="K3" i="42" l="1"/>
  <c r="L3" i="42"/>
  <c r="K4" i="42"/>
  <c r="L4" i="42"/>
  <c r="H9" i="30" l="1"/>
  <c r="H10" i="30"/>
  <c r="K5" i="39"/>
  <c r="L5" i="39"/>
  <c r="K6" i="39"/>
  <c r="L6" i="39"/>
  <c r="F5" i="39"/>
  <c r="F6" i="39"/>
  <c r="K2" i="37" l="1"/>
  <c r="L2" i="37"/>
  <c r="K3" i="39" l="1"/>
  <c r="L3" i="39"/>
  <c r="F3" i="39"/>
  <c r="B4" i="30" l="1"/>
  <c r="B5" i="30"/>
  <c r="B6" i="30"/>
  <c r="B7" i="30"/>
  <c r="B8" i="30"/>
  <c r="C8" i="30"/>
  <c r="D8" i="30"/>
  <c r="B9" i="30"/>
  <c r="C9" i="30"/>
  <c r="D9" i="30"/>
  <c r="B10" i="30"/>
  <c r="C10" i="30"/>
  <c r="D10" i="30"/>
  <c r="B3" i="30"/>
  <c r="AP25" i="16"/>
  <c r="A25" i="16"/>
  <c r="AP24" i="16"/>
  <c r="A24" i="16"/>
  <c r="AM19" i="16" l="1"/>
  <c r="AM20" i="16"/>
  <c r="AJ19" i="16"/>
  <c r="AJ20" i="16"/>
  <c r="AG19" i="16"/>
  <c r="AG20" i="16"/>
  <c r="AD19" i="16"/>
  <c r="AD20" i="16"/>
  <c r="AP4" i="16" l="1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" i="16"/>
  <c r="AP3" i="16"/>
  <c r="K4" i="39" l="1"/>
  <c r="L4" i="39"/>
  <c r="F4" i="39"/>
  <c r="AD23" i="16" l="1"/>
  <c r="AM23" i="16"/>
  <c r="AJ23" i="16"/>
  <c r="AG23" i="16"/>
  <c r="AA23" i="16"/>
  <c r="X23" i="16"/>
  <c r="U23" i="16"/>
  <c r="O23" i="16"/>
  <c r="M23" i="16"/>
  <c r="K23" i="16"/>
  <c r="I23" i="16"/>
  <c r="A23" i="16"/>
  <c r="K2" i="39" l="1"/>
  <c r="AM22" i="16" l="1"/>
  <c r="AJ22" i="16"/>
  <c r="AG22" i="16"/>
  <c r="AD22" i="16"/>
  <c r="AA22" i="16"/>
  <c r="X22" i="16"/>
  <c r="U22" i="16"/>
  <c r="R22" i="16"/>
  <c r="O22" i="16"/>
  <c r="M22" i="16"/>
  <c r="K22" i="16"/>
  <c r="I22" i="16"/>
  <c r="G22" i="16"/>
  <c r="A22" i="16"/>
  <c r="F2" i="39" l="1"/>
  <c r="L2" i="39"/>
  <c r="X7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29" i="30"/>
  <c r="R27" i="30"/>
  <c r="R31" i="30"/>
  <c r="R30" i="30"/>
  <c r="R26" i="30"/>
  <c r="A20" i="16" l="1"/>
  <c r="A19" i="16"/>
  <c r="O18" i="16" l="1"/>
  <c r="M18" i="16"/>
  <c r="I18" i="16"/>
  <c r="A18" i="16" l="1"/>
  <c r="M3" i="30"/>
  <c r="M16" i="30"/>
  <c r="M6" i="30"/>
  <c r="M5" i="30"/>
  <c r="M7" i="30"/>
  <c r="M15" i="30"/>
  <c r="M4" i="30"/>
  <c r="M17" i="30"/>
  <c r="M13" i="30"/>
  <c r="M11" i="30"/>
  <c r="M14" i="30"/>
  <c r="M9" i="30"/>
  <c r="M12" i="30"/>
  <c r="M10" i="30"/>
  <c r="M8" i="30"/>
  <c r="M11" i="16" l="1"/>
  <c r="R32" i="30"/>
  <c r="R33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G8" i="30" l="1"/>
  <c r="H8" i="30" s="1"/>
  <c r="O6" i="16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8" i="30" l="1"/>
  <c r="I10" i="30" l="1"/>
  <c r="AD4" i="16" l="1"/>
  <c r="AD8" i="16"/>
  <c r="AM4" i="16"/>
  <c r="AA8" i="16"/>
  <c r="AG21" i="16"/>
  <c r="AA6" i="16"/>
  <c r="AD21" i="16"/>
  <c r="AA9" i="16"/>
  <c r="AJ7" i="16"/>
  <c r="X12" i="16"/>
  <c r="AG8" i="16"/>
  <c r="AD16" i="16"/>
  <c r="AA20" i="16"/>
  <c r="U15" i="16"/>
  <c r="X13" i="16"/>
  <c r="AA19" i="16"/>
  <c r="AG3" i="16"/>
  <c r="AA12" i="16"/>
  <c r="AJ8" i="16"/>
  <c r="AJ4" i="16"/>
  <c r="U8" i="16"/>
  <c r="U16" i="16"/>
  <c r="AM18" i="16"/>
  <c r="U7" i="16"/>
  <c r="X9" i="16"/>
  <c r="X19" i="16"/>
  <c r="U13" i="16"/>
  <c r="AJ18" i="16"/>
  <c r="U9" i="16"/>
  <c r="AJ10" i="16"/>
  <c r="AG16" i="16"/>
  <c r="AA13" i="16"/>
  <c r="R8" i="16"/>
  <c r="X6" i="16"/>
  <c r="AM3" i="16"/>
  <c r="AM8" i="16"/>
  <c r="R6" i="16"/>
  <c r="AD15" i="16"/>
  <c r="AG18" i="16"/>
  <c r="AD3" i="16"/>
  <c r="AD12" i="16"/>
  <c r="AD9" i="16"/>
  <c r="AA15" i="16"/>
  <c r="AJ16" i="16"/>
  <c r="AM16" i="16"/>
  <c r="AG13" i="16"/>
  <c r="AD6" i="16"/>
  <c r="X16" i="16"/>
  <c r="U20" i="16"/>
  <c r="AJ13" i="16"/>
  <c r="U19" i="16"/>
  <c r="AD11" i="16"/>
  <c r="U12" i="16"/>
  <c r="R19" i="16"/>
  <c r="AM11" i="16"/>
  <c r="AM13" i="16"/>
  <c r="AG12" i="16"/>
  <c r="AG4" i="16"/>
  <c r="AJ3" i="16"/>
  <c r="AD10" i="16"/>
  <c r="AG10" i="16"/>
  <c r="X8" i="16"/>
  <c r="AM9" i="16"/>
  <c r="R15" i="16"/>
  <c r="R20" i="16"/>
  <c r="U6" i="16"/>
  <c r="AG7" i="16"/>
  <c r="AJ11" i="16"/>
  <c r="AG6" i="16"/>
  <c r="X15" i="16"/>
  <c r="X20" i="16"/>
  <c r="AA16" i="16"/>
  <c r="AJ12" i="16"/>
  <c r="AD18" i="16"/>
  <c r="AD7" i="16"/>
  <c r="AJ9" i="16"/>
  <c r="AJ6" i="16"/>
  <c r="AG9" i="16"/>
  <c r="K8" i="16" l="1"/>
  <c r="K13" i="16" l="1"/>
  <c r="I7" i="16"/>
  <c r="U10" i="16"/>
  <c r="R9" i="16"/>
  <c r="AM21" i="16"/>
  <c r="AA10" i="16"/>
  <c r="AD13" i="16"/>
  <c r="AA21" i="16"/>
  <c r="M13" i="16"/>
  <c r="U4" i="16"/>
  <c r="R16" i="16"/>
  <c r="X4" i="16"/>
  <c r="AG15" i="16"/>
  <c r="I16" i="16"/>
  <c r="R13" i="16"/>
  <c r="K16" i="16"/>
  <c r="K7" i="16"/>
  <c r="O16" i="16"/>
  <c r="G5" i="30" s="1"/>
  <c r="AJ15" i="16"/>
  <c r="R18" i="16"/>
  <c r="AM10" i="16"/>
  <c r="AM7" i="16"/>
  <c r="R11" i="16"/>
  <c r="R10" i="16"/>
  <c r="AA4" i="16"/>
  <c r="X21" i="16"/>
  <c r="AG11" i="16"/>
  <c r="AA18" i="16"/>
  <c r="AM6" i="16"/>
  <c r="AJ21" i="16"/>
  <c r="X3" i="16"/>
  <c r="U11" i="16"/>
  <c r="M12" i="16"/>
  <c r="O7" i="16"/>
  <c r="AA7" i="16"/>
  <c r="R3" i="16"/>
  <c r="AM15" i="16"/>
  <c r="M16" i="16"/>
  <c r="R7" i="16"/>
  <c r="K12" i="16"/>
  <c r="AA11" i="16"/>
  <c r="X10" i="16"/>
  <c r="X18" i="16"/>
  <c r="I13" i="16"/>
  <c r="X11" i="16"/>
  <c r="O12" i="16"/>
  <c r="U3" i="16"/>
  <c r="R12" i="16"/>
  <c r="I12" i="16"/>
  <c r="O13" i="16"/>
  <c r="R21" i="16"/>
  <c r="AM12" i="16"/>
  <c r="R4" i="16"/>
  <c r="M7" i="16"/>
  <c r="AA3" i="16"/>
  <c r="G6" i="30" l="1"/>
  <c r="D3" i="30"/>
  <c r="G7" i="30"/>
  <c r="D5" i="30"/>
  <c r="H5" i="30" s="1"/>
  <c r="D6" i="30"/>
  <c r="H6" i="30" s="1"/>
  <c r="K21" i="16"/>
  <c r="K11" i="16"/>
  <c r="K18" i="16"/>
  <c r="K19" i="16"/>
  <c r="G7" i="16"/>
  <c r="K4" i="16"/>
  <c r="G13" i="16"/>
  <c r="K10" i="16"/>
  <c r="K9" i="16"/>
  <c r="G16" i="16"/>
  <c r="K6" i="16"/>
  <c r="K3" i="16"/>
  <c r="K20" i="16"/>
  <c r="G12" i="16"/>
  <c r="K15" i="16"/>
  <c r="C3" i="30" l="1"/>
  <c r="C5" i="30"/>
  <c r="I5" i="30" s="1"/>
  <c r="C6" i="30"/>
  <c r="I6" i="30" s="1"/>
  <c r="I24" i="16" l="1"/>
  <c r="AE24" i="16"/>
  <c r="AG24" i="16" s="1"/>
  <c r="G24" i="16"/>
  <c r="S17" i="16"/>
  <c r="AH14" i="16"/>
  <c r="AB17" i="16"/>
  <c r="I2" i="16"/>
  <c r="AB14" i="16"/>
  <c r="P5" i="16"/>
  <c r="G5" i="16"/>
  <c r="AK2" i="16"/>
  <c r="V24" i="16"/>
  <c r="X24" i="16" s="1"/>
  <c r="V25" i="16"/>
  <c r="X25" i="16" s="1"/>
  <c r="Y24" i="16"/>
  <c r="AA24" i="16" s="1"/>
  <c r="K5" i="16"/>
  <c r="O2" i="16"/>
  <c r="Y5" i="16"/>
  <c r="S2" i="16"/>
  <c r="P2" i="16"/>
  <c r="G17" i="16"/>
  <c r="M14" i="16"/>
  <c r="Y2" i="16"/>
  <c r="O14" i="16"/>
  <c r="AE2" i="16"/>
  <c r="AB2" i="16"/>
  <c r="AH25" i="16"/>
  <c r="AJ25" i="16" s="1"/>
  <c r="S24" i="16"/>
  <c r="U24" i="16" s="1"/>
  <c r="Y17" i="16"/>
  <c r="O24" i="16"/>
  <c r="V14" i="16"/>
  <c r="V2" i="16"/>
  <c r="O5" i="16"/>
  <c r="AE14" i="16"/>
  <c r="K2" i="16"/>
  <c r="S5" i="16"/>
  <c r="K17" i="16"/>
  <c r="AB24" i="16"/>
  <c r="AD24" i="16" s="1"/>
  <c r="M25" i="16"/>
  <c r="P24" i="16"/>
  <c r="R24" i="16" s="1"/>
  <c r="AK25" i="16"/>
  <c r="AM25" i="16" s="1"/>
  <c r="S25" i="16"/>
  <c r="U25" i="16" s="1"/>
  <c r="I5" i="16"/>
  <c r="P14" i="16"/>
  <c r="AB5" i="16"/>
  <c r="V5" i="16"/>
  <c r="P17" i="16"/>
  <c r="M2" i="16"/>
  <c r="AK24" i="16"/>
  <c r="AM24" i="16" s="1"/>
  <c r="O25" i="16"/>
  <c r="AB25" i="16"/>
  <c r="AD25" i="16" s="1"/>
  <c r="P25" i="16"/>
  <c r="R25" i="16" s="1"/>
  <c r="AE5" i="16"/>
  <c r="Y14" i="16"/>
  <c r="M24" i="16"/>
  <c r="AE25" i="16"/>
  <c r="AG25" i="16" s="1"/>
  <c r="Y25" i="16"/>
  <c r="AA25" i="16" s="1"/>
  <c r="G2" i="16"/>
  <c r="AE17" i="16"/>
  <c r="I14" i="16"/>
  <c r="AH2" i="16"/>
  <c r="AK17" i="16"/>
  <c r="M5" i="16"/>
  <c r="M17" i="16"/>
  <c r="I25" i="16"/>
  <c r="AH5" i="16"/>
  <c r="AH24" i="16"/>
  <c r="AJ24" i="16" s="1"/>
  <c r="K25" i="16"/>
  <c r="G25" i="16"/>
  <c r="AK5" i="16"/>
  <c r="V17" i="16"/>
  <c r="S14" i="16"/>
  <c r="AH17" i="16"/>
  <c r="I17" i="16"/>
  <c r="K14" i="16"/>
  <c r="K24" i="16"/>
  <c r="O17" i="16"/>
  <c r="G10" i="30" s="1"/>
  <c r="G3" i="30" l="1"/>
  <c r="H3" i="30" s="1"/>
  <c r="I3" i="30" s="1"/>
  <c r="G4" i="30"/>
  <c r="C7" i="30"/>
  <c r="C4" i="30"/>
  <c r="D7" i="30"/>
  <c r="H7" i="30" s="1"/>
  <c r="D4" i="30"/>
  <c r="D41" i="30"/>
  <c r="X17" i="16"/>
  <c r="B41" i="30"/>
  <c r="R17" i="16"/>
  <c r="D38" i="30"/>
  <c r="X14" i="16"/>
  <c r="E26" i="30"/>
  <c r="AA2" i="16"/>
  <c r="F41" i="30"/>
  <c r="AD17" i="16"/>
  <c r="I41" i="30"/>
  <c r="AM17" i="16"/>
  <c r="D29" i="30"/>
  <c r="X5" i="16"/>
  <c r="H38" i="30"/>
  <c r="AJ14" i="16"/>
  <c r="H41" i="30"/>
  <c r="AJ17" i="16"/>
  <c r="C38" i="30"/>
  <c r="U14" i="16"/>
  <c r="I29" i="30"/>
  <c r="AM5" i="16"/>
  <c r="E38" i="30"/>
  <c r="AA14" i="16"/>
  <c r="H26" i="30"/>
  <c r="AJ2" i="16"/>
  <c r="G29" i="30"/>
  <c r="AG5" i="16"/>
  <c r="F29" i="30"/>
  <c r="AD5" i="16"/>
  <c r="E41" i="30"/>
  <c r="AA17" i="16"/>
  <c r="B38" i="30"/>
  <c r="R14" i="16"/>
  <c r="C29" i="30"/>
  <c r="U5" i="16"/>
  <c r="B26" i="30"/>
  <c r="R2" i="16"/>
  <c r="I26" i="30"/>
  <c r="AM2" i="16"/>
  <c r="C41" i="30"/>
  <c r="U17" i="16"/>
  <c r="G41" i="30"/>
  <c r="AG17" i="16"/>
  <c r="C26" i="30"/>
  <c r="U2" i="16"/>
  <c r="H29" i="30"/>
  <c r="AJ5" i="16"/>
  <c r="G38" i="30"/>
  <c r="AG14" i="16"/>
  <c r="F26" i="30"/>
  <c r="AD2" i="16"/>
  <c r="E29" i="30"/>
  <c r="AA5" i="16"/>
  <c r="B29" i="30"/>
  <c r="R5" i="16"/>
  <c r="G26" i="30"/>
  <c r="AG2" i="16"/>
  <c r="F38" i="30"/>
  <c r="AD14" i="16"/>
  <c r="D26" i="30"/>
  <c r="X2" i="16"/>
  <c r="I38" i="30"/>
  <c r="AM14" i="16"/>
  <c r="H4" i="30" l="1"/>
  <c r="I4" i="30" s="1"/>
  <c r="I7" i="30"/>
</calcChain>
</file>

<file path=xl/sharedStrings.xml><?xml version="1.0" encoding="utf-8"?>
<sst xmlns="http://schemas.openxmlformats.org/spreadsheetml/2006/main" count="601" uniqueCount="250">
  <si>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</si>
  <si>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</si>
  <si>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</si>
  <si>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</si>
  <si>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</si>
  <si>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</si>
  <si>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</si>
  <si>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</si>
  <si>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</si>
  <si>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</si>
  <si>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</si>
  <si>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</si>
  <si>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</si>
  <si>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</si>
  <si>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</si>
  <si>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</si>
  <si>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</si>
  <si>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</si>
  <si>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</si>
  <si>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</si>
  <si>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</si>
  <si>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</si>
  <si>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</si>
  <si>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</si>
  <si>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</si>
  <si>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</si>
  <si>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</si>
  <si>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</si>
  <si>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</si>
  <si>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</si>
  <si>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</si>
  <si>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</si>
  <si>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</si>
  <si>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</si>
  <si>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</si>
  <si>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</si>
  <si>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</si>
  <si>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</si>
  <si>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</si>
  <si>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</si>
  <si>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</si>
  <si>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</si>
  <si>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</si>
  <si>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</si>
  <si>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</si>
  <si>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</si>
  <si>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</si>
  <si>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</si>
  <si>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</si>
  <si>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</si>
  <si>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</si>
  <si>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</si>
  <si>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</si>
  <si>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</si>
  <si>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</si>
  <si>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</si>
  <si>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</si>
  <si>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</si>
  <si>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</si>
  <si>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</si>
  <si>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</si>
  <si>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</si>
  <si>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</si>
  <si>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</si>
  <si>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</si>
  <si>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</si>
  <si>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</si>
  <si>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</si>
  <si>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</si>
  <si>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</si>
  <si>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</si>
  <si>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</si>
  <si>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</si>
  <si>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</si>
  <si>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</si>
  <si>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</si>
  <si>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</si>
  <si>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</si>
  <si>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</si>
  <si>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</si>
  <si>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</si>
  <si>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</si>
  <si>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</si>
  <si>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</si>
  <si>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</si>
  <si>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</si>
  <si>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</si>
  <si>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</si>
  <si>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</si>
  <si>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</si>
  <si>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</si>
  <si>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</si>
  <si>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</si>
  <si>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</si>
  <si>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</si>
  <si>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</si>
  <si>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</si>
  <si>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</si>
  <si>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</si>
  <si>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</si>
  <si>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</si>
  <si>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</si>
  <si>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</si>
  <si>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</si>
  <si>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</si>
  <si>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</si>
  <si>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</si>
  <si>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</si>
  <si>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</si>
  <si>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</si>
  <si>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</si>
  <si>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</si>
  <si>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</si>
  <si>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</si>
  <si>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</si>
  <si>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</si>
  <si>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</si>
  <si>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</si>
  <si>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</si>
  <si>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</si>
  <si>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</si>
  <si>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</si>
  <si>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</si>
  <si>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</si>
  <si>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</si>
  <si>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</si>
  <si>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</si>
  <si>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</si>
  <si>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</si>
  <si>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</si>
  <si>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</si>
  <si>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</si>
  <si>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</si>
  <si>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</si>
  <si>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</si>
  <si>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</si>
  <si>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</si>
  <si>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</si>
  <si>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</si>
  <si>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</si>
  <si>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</si>
  <si>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</si>
  <si>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</si>
  <si>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</si>
  <si>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</si>
  <si>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</si>
  <si>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</si>
  <si>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</si>
  <si>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</si>
  <si>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</si>
  <si>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</si>
  <si>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</si>
  <si>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</si>
  <si>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</si>
  <si>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Hand Axe</t>
  </si>
  <si>
    <t>Cure Potion - 1, Cure Potion - 4</t>
  </si>
  <si>
    <t>Clipper</t>
  </si>
  <si>
    <t>Thunder</t>
  </si>
  <si>
    <t>Beretta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</si>
  <si>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</si>
  <si>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</si>
  <si>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</si>
  <si>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</si>
  <si>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</si>
  <si>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</si>
  <si>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</si>
  <si>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</si>
  <si>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</si>
  <si>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Enfeeble</t>
  </si>
  <si>
    <t>CLASS NOTES</t>
  </si>
  <si>
    <t>Electroshock</t>
  </si>
  <si>
    <t>Silver Helm</t>
  </si>
  <si>
    <t>One Civilization's Trash</t>
  </si>
  <si>
    <t>Cure Beam</t>
  </si>
  <si>
    <t>6,24,27,18,31,12,33,0,3,</t>
  </si>
  <si>
    <t>31,21,10,28,25,33,</t>
  </si>
  <si>
    <t>20,25,14,29,</t>
  </si>
  <si>
    <t>Colt</t>
  </si>
  <si>
    <t>Cannon</t>
  </si>
  <si>
    <t>Cure Potion - 4, Bow - 12, Bronze Shield - 12</t>
  </si>
  <si>
    <t>Long Bow</t>
  </si>
  <si>
    <t>W0LF</t>
  </si>
  <si>
    <t>Draz</t>
  </si>
  <si>
    <t>Tech, Name plate, Circuit board</t>
  </si>
  <si>
    <t>Power Magi-1</t>
  </si>
  <si>
    <t>Speed Magi-1</t>
  </si>
  <si>
    <t>Mana Magi-1</t>
  </si>
  <si>
    <t>Cure Potion - 4</t>
  </si>
  <si>
    <t>Potion A, Potion B, Hi-Cure Potion - 4, Hi-Cure Potion - 4</t>
  </si>
  <si>
    <t>Iron Spear</t>
  </si>
  <si>
    <t>Zealot</t>
  </si>
  <si>
    <t>Slag Chance</t>
  </si>
  <si>
    <t>Remaining</t>
  </si>
  <si>
    <t>Max</t>
  </si>
  <si>
    <t>Eye Drops - 3, Tech, Laser</t>
  </si>
  <si>
    <t>GOOD</t>
  </si>
  <si>
    <t>blank</t>
  </si>
  <si>
    <t>Tech, Black Glass, Robot Memory</t>
  </si>
  <si>
    <t>Cure Potion - 3, Bronze Glove, Tech</t>
  </si>
  <si>
    <t>Ki</t>
  </si>
  <si>
    <t>Cleric</t>
  </si>
  <si>
    <t>Styx</t>
  </si>
  <si>
    <t>Pixie</t>
  </si>
  <si>
    <t>BLND</t>
  </si>
  <si>
    <t>y</t>
  </si>
  <si>
    <t>Rockers</t>
  </si>
  <si>
    <t>O-Para</t>
  </si>
  <si>
    <t>Hi-Cure Potion</t>
  </si>
  <si>
    <t>Vall-E of Bones</t>
  </si>
  <si>
    <t>Team Pragmatic</t>
  </si>
  <si>
    <t>Silver</t>
  </si>
  <si>
    <t>Snake</t>
  </si>
  <si>
    <t>Jaguar Shot - 2, Seasoning - 3, Beretta - 50</t>
  </si>
  <si>
    <t>Jaguar Shot - 2, Cure Potion - 4, Seasoning - 2</t>
  </si>
  <si>
    <t>Cure Potion - 1, Cure Potion - 4, Cure Potion - 4, Hammer - 12</t>
  </si>
  <si>
    <t>Mana</t>
  </si>
  <si>
    <t>n</t>
  </si>
  <si>
    <t>Nemesis</t>
  </si>
  <si>
    <t>Ailian</t>
  </si>
  <si>
    <t>Fanatic</t>
  </si>
  <si>
    <t>Gang</t>
  </si>
  <si>
    <t>Tech, Multi-tool</t>
  </si>
  <si>
    <t>MM Book, MM Book</t>
  </si>
  <si>
    <t>Strike, Strike, Strike</t>
  </si>
  <si>
    <t>Strike, Strike, Long Bow</t>
  </si>
  <si>
    <t>Mix, Mix, Agl</t>
  </si>
  <si>
    <t>Bronze Shield, Cure Book, Hammer</t>
  </si>
  <si>
    <t>Def, Mana, Str</t>
  </si>
  <si>
    <t>Psi Smash, Psi Smash, PowerUp</t>
  </si>
  <si>
    <t>Stun Gun, Bronze Shield, Cure Beam</t>
  </si>
  <si>
    <t>Agl, Def, None</t>
  </si>
  <si>
    <t>Axe, Axe, Colt</t>
  </si>
  <si>
    <t>Str, Str, Str</t>
  </si>
  <si>
    <t>StoneG</t>
  </si>
  <si>
    <t>Tail</t>
  </si>
  <si>
    <t>Lillend</t>
  </si>
  <si>
    <t>Poison</t>
  </si>
  <si>
    <t>Cure Potion - 1, Hi-Cure Potion - 4, R-Kick - 60, Temptat - 14</t>
  </si>
  <si>
    <t>Sleep</t>
  </si>
  <si>
    <t>Agl</t>
  </si>
  <si>
    <t>Str</t>
  </si>
  <si>
    <t>Bash</t>
  </si>
  <si>
    <t>Hi-Cure Potion - 3, Hi-Cure Potion - 4</t>
  </si>
  <si>
    <t>White Glove</t>
  </si>
  <si>
    <t>Cure Potion - 2, Hi-Cure Potion - 3</t>
  </si>
  <si>
    <t>BabyWyrm</t>
  </si>
  <si>
    <t>Fly</t>
  </si>
  <si>
    <t>Long Sword - 50, Hi-Cure Potion - 4, Holy Water - 3, Body Potion</t>
  </si>
  <si>
    <t>Bite</t>
  </si>
  <si>
    <t>Kick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</si>
</sst>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7" fillId="0" borderId="0"/>
    <xf numFmtId="9" fontId="43" fillId="0" borderId="0" applyFont="0" applyFill="0" applyBorder="0" applyAlignment="0" applyProtection="0"/>
  </cellStyleXfs>
  <cellXfs count="157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0" fillId="3" borderId="0" xfId="0" applyFill="1"/>
    <xf numFmtId="0" fontId="28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0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29" fillId="5" borderId="1" xfId="1" applyFont="1" applyFill="1" applyBorder="1"/>
    <xf numFmtId="0" fontId="35" fillId="5" borderId="3" xfId="1" applyFont="1" applyFill="1" applyBorder="1" applyAlignment="1">
      <alignment horizontal="center" textRotation="90" wrapText="1"/>
    </xf>
    <xf numFmtId="0" fontId="32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27" fillId="5" borderId="3" xfId="1" applyFont="1" applyFill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7" fillId="5" borderId="1" xfId="1" applyFont="1" applyFill="1" applyBorder="1"/>
    <xf numFmtId="0" fontId="26" fillId="5" borderId="1" xfId="1" applyFont="1" applyFill="1" applyBorder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0" borderId="0" xfId="1" applyFont="1" applyFill="1"/>
    <xf numFmtId="0" fontId="23" fillId="5" borderId="1" xfId="1" applyFont="1" applyFill="1" applyBorder="1"/>
    <xf numFmtId="0" fontId="22" fillId="5" borderId="1" xfId="1" applyFont="1" applyFill="1" applyBorder="1"/>
    <xf numFmtId="0" fontId="22" fillId="0" borderId="0" xfId="1" applyFont="1" applyFill="1"/>
    <xf numFmtId="0" fontId="39" fillId="2" borderId="5" xfId="1" applyFont="1" applyFill="1" applyBorder="1"/>
    <xf numFmtId="0" fontId="21" fillId="0" borderId="0" xfId="1" applyFont="1" applyFill="1"/>
    <xf numFmtId="0" fontId="0" fillId="0" borderId="11" xfId="0" applyBorder="1"/>
    <xf numFmtId="0" fontId="0" fillId="0" borderId="9" xfId="0" applyBorder="1"/>
    <xf numFmtId="0" fontId="24" fillId="0" borderId="9" xfId="1" applyFont="1" applyFill="1" applyBorder="1"/>
    <xf numFmtId="0" fontId="23" fillId="0" borderId="9" xfId="1" applyFont="1" applyFill="1" applyBorder="1"/>
    <xf numFmtId="0" fontId="21" fillId="0" borderId="9" xfId="1" applyFont="1" applyFill="1" applyBorder="1"/>
    <xf numFmtId="0" fontId="41" fillId="0" borderId="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1" fillId="3" borderId="6" xfId="0" applyFont="1" applyFill="1" applyBorder="1"/>
    <xf numFmtId="0" fontId="41" fillId="0" borderId="7" xfId="0" applyFont="1" applyBorder="1"/>
    <xf numFmtId="0" fontId="41" fillId="3" borderId="7" xfId="0" applyFont="1" applyFill="1" applyBorder="1"/>
    <xf numFmtId="0" fontId="41" fillId="4" borderId="8" xfId="0" applyFont="1" applyFill="1" applyBorder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0" fillId="7" borderId="0" xfId="1" applyFont="1" applyFill="1"/>
    <xf numFmtId="0" fontId="17" fillId="5" borderId="1" xfId="1" applyFont="1" applyFill="1" applyBorder="1"/>
    <xf numFmtId="0" fontId="16" fillId="5" borderId="1" xfId="1" applyFont="1" applyFill="1" applyBorder="1"/>
    <xf numFmtId="0" fontId="14" fillId="5" borderId="1" xfId="1" applyFont="1" applyFill="1" applyBorder="1"/>
    <xf numFmtId="0" fontId="14" fillId="0" borderId="0" xfId="1" applyFont="1"/>
    <xf numFmtId="0" fontId="13" fillId="0" borderId="0" xfId="1" applyFont="1" applyAlignment="1">
      <alignment horizontal="center"/>
    </xf>
    <xf numFmtId="0" fontId="12" fillId="5" borderId="1" xfId="1" applyFont="1" applyFill="1" applyBorder="1"/>
    <xf numFmtId="0" fontId="12" fillId="0" borderId="0" xfId="1" applyFont="1" applyFill="1"/>
    <xf numFmtId="0" fontId="11" fillId="0" borderId="0" xfId="1" applyFont="1"/>
    <xf numFmtId="0" fontId="11" fillId="5" borderId="1" xfId="1" applyFont="1" applyFill="1" applyBorder="1"/>
    <xf numFmtId="0" fontId="24" fillId="8" borderId="1" xfId="1" applyFont="1" applyFill="1" applyBorder="1"/>
    <xf numFmtId="0" fontId="18" fillId="8" borderId="1" xfId="1" applyFont="1" applyFill="1" applyBorder="1"/>
    <xf numFmtId="0" fontId="23" fillId="8" borderId="1" xfId="1" applyFont="1" applyFill="1" applyBorder="1"/>
    <xf numFmtId="0" fontId="15" fillId="8" borderId="1" xfId="1" applyFont="1" applyFill="1" applyBorder="1"/>
    <xf numFmtId="0" fontId="11" fillId="8" borderId="1" xfId="1" applyFont="1" applyFill="1" applyBorder="1"/>
    <xf numFmtId="0" fontId="10" fillId="5" borderId="1" xfId="1" applyFont="1" applyFill="1" applyBorder="1"/>
    <xf numFmtId="0" fontId="21" fillId="7" borderId="0" xfId="1" applyFont="1" applyFill="1"/>
    <xf numFmtId="0" fontId="12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12" fillId="8" borderId="0" xfId="1" applyFont="1" applyFill="1"/>
    <xf numFmtId="0" fontId="23" fillId="10" borderId="0" xfId="1" applyFont="1" applyFill="1"/>
    <xf numFmtId="0" fontId="42" fillId="9" borderId="0" xfId="1" applyFont="1" applyFill="1"/>
    <xf numFmtId="0" fontId="20" fillId="11" borderId="0" xfId="1" applyFont="1" applyFill="1"/>
    <xf numFmtId="0" fontId="11" fillId="11" borderId="0" xfId="1" applyFont="1" applyFill="1"/>
    <xf numFmtId="0" fontId="24" fillId="12" borderId="0" xfId="1" applyFont="1" applyFill="1"/>
    <xf numFmtId="0" fontId="23" fillId="12" borderId="0" xfId="1" applyFont="1" applyFill="1"/>
    <xf numFmtId="0" fontId="39" fillId="13" borderId="0" xfId="1" applyFont="1" applyFill="1"/>
    <xf numFmtId="0" fontId="22" fillId="10" borderId="0" xfId="1" applyFont="1" applyFill="1"/>
    <xf numFmtId="0" fontId="24" fillId="10" borderId="0" xfId="1" applyFont="1" applyFill="1"/>
    <xf numFmtId="0" fontId="9" fillId="0" borderId="0" xfId="1" applyFont="1"/>
    <xf numFmtId="0" fontId="9" fillId="5" borderId="1" xfId="1" applyFont="1" applyFill="1" applyBorder="1"/>
    <xf numFmtId="0" fontId="8" fillId="5" borderId="1" xfId="1" applyFont="1" applyFill="1" applyBorder="1"/>
    <xf numFmtId="0" fontId="7" fillId="8" borderId="1" xfId="1" applyFont="1" applyFill="1" applyBorder="1"/>
    <xf numFmtId="0" fontId="6" fillId="0" borderId="0" xfId="1" applyFont="1" applyAlignment="1">
      <alignment horizontal="center"/>
    </xf>
    <xf numFmtId="0" fontId="5" fillId="5" borderId="1" xfId="1" applyFont="1" applyFill="1" applyBorder="1"/>
    <xf numFmtId="0" fontId="4" fillId="8" borderId="1" xfId="1" applyFont="1" applyFill="1" applyBorder="1"/>
    <xf numFmtId="0" fontId="11" fillId="12" borderId="0" xfId="1" applyFont="1" applyFill="1"/>
    <xf numFmtId="0" fontId="11" fillId="7" borderId="0" xfId="1" applyFont="1" applyFill="1"/>
    <xf numFmtId="0" fontId="3" fillId="5" borderId="1" xfId="1" applyFont="1" applyFill="1" applyBorder="1"/>
    <xf numFmtId="0" fontId="3" fillId="0" borderId="0" xfId="1" applyFont="1" applyAlignment="1">
      <alignment horizontal="center"/>
    </xf>
    <xf numFmtId="0" fontId="2" fillId="0" borderId="0" xfId="1" applyFont="1"/>
    <xf numFmtId="0" fontId="2" fillId="0" borderId="0" xfId="1" applyFont="1" applyAlignment="1">
      <alignment horizontal="center"/>
    </xf>
    <xf numFmtId="0" fontId="2" fillId="12" borderId="0" xfId="1" applyFont="1" applyFill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2" fillId="8" borderId="1" xfId="1" applyFont="1" applyFill="1" applyBorder="1"/>
    <xf numFmtId="0" fontId="2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1" fillId="15" borderId="9" xfId="0" applyFont="1" applyFill="1" applyBorder="1" applyAlignment="1">
      <alignment horizontal="center"/>
    </xf>
    <xf numFmtId="0" fontId="41" fillId="15" borderId="0" xfId="0" applyFont="1" applyFill="1" applyBorder="1" applyAlignment="1">
      <alignment horizontal="center"/>
    </xf>
    <xf numFmtId="0" fontId="41" fillId="15" borderId="10" xfId="0" applyFont="1" applyFill="1" applyBorder="1" applyAlignment="1">
      <alignment horizontal="center"/>
    </xf>
    <xf numFmtId="0" fontId="24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3" fillId="15" borderId="9" xfId="1" applyFont="1" applyFill="1" applyBorder="1"/>
    <xf numFmtId="0" fontId="21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1" fillId="15" borderId="9" xfId="0" applyFont="1" applyFill="1" applyBorder="1"/>
    <xf numFmtId="0" fontId="41" fillId="15" borderId="0" xfId="0" applyFont="1" applyFill="1" applyBorder="1"/>
    <xf numFmtId="0" fontId="41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2" fillId="0" borderId="0" xfId="1" applyFont="1" applyAlignment="1">
      <alignment horizontal="center" textRotation="90" wrapText="1"/>
    </xf>
    <xf numFmtId="0" fontId="0" fillId="0" borderId="9" xfId="0" applyFill="1" applyBorder="1"/>
    <xf numFmtId="0" fontId="39" fillId="0" borderId="0" xfId="1" applyFont="1" applyFill="1"/>
    <xf numFmtId="0" fontId="2" fillId="16" borderId="0" xfId="1" applyFont="1" applyFill="1"/>
    <xf numFmtId="0" fontId="39" fillId="2" borderId="18" xfId="1" applyFont="1" applyFill="1" applyBorder="1"/>
    <xf numFmtId="0" fontId="37" fillId="0" borderId="0" xfId="1" applyBorder="1"/>
    <xf numFmtId="0" fontId="2" fillId="0" borderId="17" xfId="1" applyFont="1" applyBorder="1"/>
    <xf numFmtId="0" fontId="2" fillId="0" borderId="1" xfId="1" applyFont="1" applyBorder="1"/>
    <xf numFmtId="9" fontId="0" fillId="0" borderId="0" xfId="2" applyFont="1"/>
    <xf numFmtId="0" fontId="2" fillId="7" borderId="0" xfId="1" applyFont="1" applyFill="1"/>
    <xf numFmtId="0" fontId="1" fillId="0" borderId="0" xfId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5" borderId="1" xfId="1" applyFont="1" applyFill="1" applyBorder="1"/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0" fontId="40" fillId="15" borderId="14" xfId="0" applyFont="1" applyFill="1" applyBorder="1" applyAlignment="1">
      <alignment horizontal="center"/>
    </xf>
    <xf numFmtId="0" fontId="40" fillId="15" borderId="15" xfId="0" applyFont="1" applyFill="1" applyBorder="1" applyAlignment="1">
      <alignment horizontal="center"/>
    </xf>
    <xf numFmtId="0" fontId="40" fillId="15" borderId="16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42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2"/>
      <sheetName val="Sheet1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>
            <v>1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1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Absorb</v>
          </cell>
          <cell r="Q60" t="str">
            <v>Poison</v>
          </cell>
          <cell r="R60" t="str">
            <v>O-Quake</v>
          </cell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Absorb</v>
          </cell>
          <cell r="Q61" t="str">
            <v>Poison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Poison</v>
          </cell>
          <cell r="R62" t="str">
            <v>Powder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Powder</v>
          </cell>
          <cell r="Q63" t="str">
            <v>Flame</v>
          </cell>
          <cell r="R63" t="str">
            <v>Poison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Beam</v>
          </cell>
          <cell r="R64" t="str">
            <v>Powder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Beam</v>
          </cell>
          <cell r="R65" t="str">
            <v>Powder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O-Fire</v>
          </cell>
          <cell r="S66" t="str">
            <v>X-Thunder</v>
          </cell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>
            <v>1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Squirt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>
            <v>1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Bite</v>
          </cell>
          <cell r="Q86" t="str">
            <v>Venom</v>
          </cell>
          <cell r="R86" t="str">
            <v>O-Poison</v>
          </cell>
          <cell r="S86" t="str">
            <v>X-Ice</v>
          </cell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Bite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Bite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Bite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Bite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Poison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Poison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Poison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Poison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Ice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O-Weapon</v>
          </cell>
          <cell r="U192" t="str">
            <v>O-Change</v>
          </cell>
          <cell r="V192" t="str">
            <v>O-Quake</v>
          </cell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O-Weapon</v>
          </cell>
          <cell r="V193" t="str">
            <v>O-Change</v>
          </cell>
          <cell r="W193" t="str">
            <v>O-Quake</v>
          </cell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Bandit</v>
          </cell>
          <cell r="B195" t="str">
            <v>Bandit</v>
          </cell>
          <cell r="C195">
            <v>1</v>
          </cell>
          <cell r="D195" t="str">
            <v>3</v>
          </cell>
          <cell r="E195">
            <v>3</v>
          </cell>
          <cell r="F195" t="str">
            <v>13</v>
          </cell>
          <cell r="G195" t="str">
            <v>83</v>
          </cell>
          <cell r="H195" t="str">
            <v>0</v>
          </cell>
          <cell r="I195">
            <v>2</v>
          </cell>
          <cell r="J195">
            <v>320</v>
          </cell>
          <cell r="K195">
            <v>14</v>
          </cell>
          <cell r="L195">
            <v>14</v>
          </cell>
          <cell r="M195">
            <v>8</v>
          </cell>
          <cell r="N195">
            <v>15</v>
          </cell>
          <cell r="O195" t="str">
            <v>7d58</v>
          </cell>
          <cell r="P195" t="str">
            <v>Long Sword</v>
          </cell>
          <cell r="Q195" t="str">
            <v>Long Bow</v>
          </cell>
          <cell r="R195" t="str">
            <v>Silver Helm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Ronin</v>
          </cell>
          <cell r="B196" t="str">
            <v>Ronin</v>
          </cell>
          <cell r="C196">
            <v>1</v>
          </cell>
          <cell r="D196"/>
          <cell r="E196">
            <v>5</v>
          </cell>
          <cell r="F196"/>
          <cell r="G196"/>
          <cell r="H196">
            <v>0</v>
          </cell>
          <cell r="I196">
            <v>2</v>
          </cell>
          <cell r="J196">
            <v>500</v>
          </cell>
          <cell r="K196">
            <v>29</v>
          </cell>
          <cell r="L196">
            <v>25</v>
          </cell>
          <cell r="M196">
            <v>19</v>
          </cell>
          <cell r="N196">
            <v>26</v>
          </cell>
          <cell r="O196"/>
          <cell r="P196" t="str">
            <v>Katana</v>
          </cell>
          <cell r="Q196" t="str">
            <v>Gold Bow</v>
          </cell>
          <cell r="R196" t="str">
            <v>Gold Armor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Ninja</v>
          </cell>
          <cell r="B197" t="str">
            <v>Ninja</v>
          </cell>
          <cell r="C197" t="str">
            <v>3</v>
          </cell>
          <cell r="D197" t="str">
            <v>7</v>
          </cell>
          <cell r="E197">
            <v>7</v>
          </cell>
          <cell r="F197" t="str">
            <v>37</v>
          </cell>
          <cell r="G197" t="str">
            <v>83</v>
          </cell>
          <cell r="H197" t="str">
            <v>0</v>
          </cell>
          <cell r="I197">
            <v>4</v>
          </cell>
          <cell r="J197">
            <v>700</v>
          </cell>
          <cell r="K197">
            <v>43</v>
          </cell>
          <cell r="L197">
            <v>43</v>
          </cell>
          <cell r="M197">
            <v>33</v>
          </cell>
          <cell r="N197">
            <v>45</v>
          </cell>
          <cell r="O197" t="str">
            <v>7d5a</v>
          </cell>
          <cell r="P197" t="str">
            <v>Katana</v>
          </cell>
          <cell r="Q197" t="str">
            <v>Blind</v>
          </cell>
          <cell r="R197" t="str">
            <v>Haste</v>
          </cell>
          <cell r="S197" t="str">
            <v>Ice Sword</v>
          </cell>
          <cell r="T197" t="str">
            <v>Surprise</v>
          </cell>
          <cell r="U197" t="str">
            <v>Warning</v>
          </cell>
          <cell r="V197"/>
          <cell r="W197"/>
          <cell r="X197" t="str">
            <v>Human</v>
          </cell>
        </row>
        <row r="198">
          <cell r="A198" t="str">
            <v>Musashi</v>
          </cell>
          <cell r="B198" t="str">
            <v>Musashi</v>
          </cell>
          <cell r="C198" t="str">
            <v>5</v>
          </cell>
          <cell r="D198" t="str">
            <v>A</v>
          </cell>
          <cell r="E198">
            <v>10</v>
          </cell>
          <cell r="F198" t="str">
            <v>5A</v>
          </cell>
          <cell r="G198" t="str">
            <v>83</v>
          </cell>
          <cell r="H198" t="str">
            <v>0</v>
          </cell>
          <cell r="I198">
            <v>5</v>
          </cell>
          <cell r="J198">
            <v>2000</v>
          </cell>
          <cell r="K198">
            <v>76</v>
          </cell>
          <cell r="L198">
            <v>76</v>
          </cell>
          <cell r="M198">
            <v>63</v>
          </cell>
          <cell r="N198">
            <v>78</v>
          </cell>
          <cell r="O198" t="str">
            <v>7d60</v>
          </cell>
          <cell r="P198" t="str">
            <v>Stab</v>
          </cell>
          <cell r="Q198" t="str">
            <v>Defense</v>
          </cell>
          <cell r="R198" t="str">
            <v>Riposte</v>
          </cell>
          <cell r="S198" t="str">
            <v>2-Swords</v>
          </cell>
          <cell r="T198" t="str">
            <v>Critical</v>
          </cell>
          <cell r="U198" t="str">
            <v>Warning</v>
          </cell>
          <cell r="V198" t="str">
            <v>Elixier</v>
          </cell>
          <cell r="W198"/>
          <cell r="X198" t="str">
            <v>Human</v>
          </cell>
        </row>
        <row r="199">
          <cell r="A199" t="str">
            <v>Hatamoto</v>
          </cell>
          <cell r="B199" t="str">
            <v>Hatamoto</v>
          </cell>
          <cell r="C199" t="str">
            <v>3</v>
          </cell>
          <cell r="D199" t="str">
            <v>B</v>
          </cell>
          <cell r="E199">
            <v>11</v>
          </cell>
          <cell r="F199" t="str">
            <v>3B</v>
          </cell>
          <cell r="G199" t="str">
            <v>83</v>
          </cell>
          <cell r="H199" t="str">
            <v>0</v>
          </cell>
          <cell r="I199">
            <v>4</v>
          </cell>
          <cell r="J199">
            <v>400</v>
          </cell>
          <cell r="K199">
            <v>43</v>
          </cell>
          <cell r="L199">
            <v>43</v>
          </cell>
          <cell r="M199">
            <v>33</v>
          </cell>
          <cell r="N199">
            <v>44</v>
          </cell>
          <cell r="O199" t="str">
            <v>7d67</v>
          </cell>
          <cell r="P199" t="str">
            <v>Katana</v>
          </cell>
          <cell r="Q199" t="str">
            <v>Bazooka</v>
          </cell>
          <cell r="R199" t="str">
            <v>Hi-Cure Potion</v>
          </cell>
          <cell r="S199" t="str">
            <v>Magnum</v>
          </cell>
          <cell r="T199"/>
          <cell r="U199"/>
          <cell r="V199"/>
          <cell r="W199"/>
          <cell r="X199" t="str">
            <v>Human</v>
          </cell>
        </row>
        <row r="200">
          <cell r="A200" t="str">
            <v>Gang</v>
          </cell>
          <cell r="B200" t="str">
            <v>Gang</v>
          </cell>
          <cell r="C200" t="str">
            <v>0</v>
          </cell>
          <cell r="D200" t="str">
            <v>1</v>
          </cell>
          <cell r="E200">
            <v>1</v>
          </cell>
          <cell r="F200" t="str">
            <v>01</v>
          </cell>
          <cell r="G200" t="str">
            <v>1a</v>
          </cell>
          <cell r="H200" t="str">
            <v>0</v>
          </cell>
          <cell r="I200">
            <v>1</v>
          </cell>
          <cell r="J200">
            <v>45</v>
          </cell>
          <cell r="K200">
            <v>5</v>
          </cell>
          <cell r="L200">
            <v>7</v>
          </cell>
          <cell r="M200">
            <v>3</v>
          </cell>
          <cell r="N200">
            <v>4</v>
          </cell>
          <cell r="O200" t="str">
            <v>7d6b</v>
          </cell>
          <cell r="P200" t="str">
            <v>Strike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Axe Gang</v>
          </cell>
          <cell r="B201" t="str">
            <v>Axe Gang</v>
          </cell>
          <cell r="C201">
            <v>0</v>
          </cell>
          <cell r="D201"/>
          <cell r="E201">
            <v>1</v>
          </cell>
          <cell r="F201"/>
          <cell r="G201"/>
          <cell r="H201">
            <v>0</v>
          </cell>
          <cell r="I201">
            <v>1</v>
          </cell>
          <cell r="J201">
            <v>45</v>
          </cell>
          <cell r="K201">
            <v>7</v>
          </cell>
          <cell r="L201">
            <v>5</v>
          </cell>
          <cell r="M201">
            <v>3</v>
          </cell>
          <cell r="N201">
            <v>4</v>
          </cell>
          <cell r="O201"/>
          <cell r="P201" t="str">
            <v>Hand Axe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Wh. Belt</v>
          </cell>
          <cell r="B202" t="str">
            <v>Wh. Belt</v>
          </cell>
          <cell r="C202" t="str">
            <v>2</v>
          </cell>
          <cell r="D202" t="str">
            <v>5</v>
          </cell>
          <cell r="E202">
            <v>5</v>
          </cell>
          <cell r="F202" t="str">
            <v>25</v>
          </cell>
          <cell r="G202" t="str">
            <v>1a</v>
          </cell>
          <cell r="H202" t="str">
            <v>0</v>
          </cell>
          <cell r="I202">
            <v>3</v>
          </cell>
          <cell r="J202">
            <v>248</v>
          </cell>
          <cell r="K202">
            <v>25</v>
          </cell>
          <cell r="L202">
            <v>29</v>
          </cell>
          <cell r="M202">
            <v>22</v>
          </cell>
          <cell r="N202">
            <v>23</v>
          </cell>
          <cell r="O202" t="str">
            <v>7d6c</v>
          </cell>
          <cell r="P202" t="str">
            <v>Strike</v>
          </cell>
          <cell r="Q202" t="str">
            <v>R-Kick</v>
          </cell>
          <cell r="R202" t="str">
            <v>HeadButt</v>
          </cell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Killer</v>
          </cell>
          <cell r="B203" t="str">
            <v>Killer</v>
          </cell>
          <cell r="C203" t="str">
            <v>4</v>
          </cell>
          <cell r="D203" t="str">
            <v>8</v>
          </cell>
          <cell r="E203">
            <v>8</v>
          </cell>
          <cell r="F203" t="str">
            <v>48</v>
          </cell>
          <cell r="G203" t="str">
            <v>1a</v>
          </cell>
          <cell r="H203" t="str">
            <v>0</v>
          </cell>
          <cell r="I203">
            <v>5</v>
          </cell>
          <cell r="J203">
            <v>507</v>
          </cell>
          <cell r="K203">
            <v>51</v>
          </cell>
          <cell r="L203">
            <v>57</v>
          </cell>
          <cell r="M203">
            <v>47</v>
          </cell>
          <cell r="N203">
            <v>49</v>
          </cell>
          <cell r="O203" t="str">
            <v>7d6f</v>
          </cell>
          <cell r="P203" t="str">
            <v>Axe</v>
          </cell>
          <cell r="Q203" t="str">
            <v>ChainSaw</v>
          </cell>
          <cell r="R203" t="str">
            <v>StunGun</v>
          </cell>
          <cell r="S203" t="str">
            <v>Venom</v>
          </cell>
          <cell r="T203" t="str">
            <v>Blitz Whip</v>
          </cell>
          <cell r="U203" t="str">
            <v>Surprise</v>
          </cell>
          <cell r="V203"/>
          <cell r="W203"/>
          <cell r="X203" t="str">
            <v>Human</v>
          </cell>
        </row>
        <row r="204">
          <cell r="A204" t="str">
            <v>Bl. Belt</v>
          </cell>
          <cell r="B204" t="str">
            <v>Bl. Belt</v>
          </cell>
          <cell r="C204" t="str">
            <v>6</v>
          </cell>
          <cell r="D204" t="str">
            <v>A</v>
          </cell>
          <cell r="E204">
            <v>10</v>
          </cell>
          <cell r="F204" t="str">
            <v>6A</v>
          </cell>
          <cell r="G204" t="str">
            <v>1a</v>
          </cell>
          <cell r="H204" t="str">
            <v>0</v>
          </cell>
          <cell r="I204">
            <v>7</v>
          </cell>
          <cell r="J204">
            <v>731</v>
          </cell>
          <cell r="K204">
            <v>73</v>
          </cell>
          <cell r="L204">
            <v>81</v>
          </cell>
          <cell r="M204">
            <v>68</v>
          </cell>
          <cell r="N204">
            <v>71</v>
          </cell>
          <cell r="O204" t="str">
            <v>7d75</v>
          </cell>
          <cell r="P204" t="str">
            <v>Strike</v>
          </cell>
          <cell r="Q204" t="str">
            <v>R-Kick</v>
          </cell>
          <cell r="R204" t="str">
            <v>HeadButt</v>
          </cell>
          <cell r="S204" t="str">
            <v>JumpKick</v>
          </cell>
          <cell r="T204" t="str">
            <v>Jyudo</v>
          </cell>
          <cell r="U204" t="str">
            <v>Karate</v>
          </cell>
          <cell r="V204" t="str">
            <v>Samurai Shield</v>
          </cell>
          <cell r="W204"/>
          <cell r="X204" t="str">
            <v>Human</v>
          </cell>
        </row>
        <row r="205">
          <cell r="A205" t="str">
            <v>TianLung</v>
          </cell>
          <cell r="B205" t="str">
            <v>TianLung</v>
          </cell>
          <cell r="C205" t="str">
            <v>3</v>
          </cell>
          <cell r="D205" t="str">
            <v>B</v>
          </cell>
          <cell r="E205">
            <v>11</v>
          </cell>
          <cell r="F205" t="str">
            <v>3B</v>
          </cell>
          <cell r="G205" t="str">
            <v>29</v>
          </cell>
          <cell r="H205" t="str">
            <v>2</v>
          </cell>
          <cell r="I205" t="str">
            <v>4</v>
          </cell>
          <cell r="J205">
            <v>2000</v>
          </cell>
          <cell r="K205">
            <v>86</v>
          </cell>
          <cell r="L205">
            <v>94</v>
          </cell>
          <cell r="M205">
            <v>80</v>
          </cell>
          <cell r="N205">
            <v>83</v>
          </cell>
          <cell r="O205" t="str">
            <v>7d7c</v>
          </cell>
          <cell r="P205" t="str">
            <v>Tornado</v>
          </cell>
          <cell r="Q205" t="str">
            <v>Tusk</v>
          </cell>
          <cell r="R205" t="str">
            <v>Lightning</v>
          </cell>
          <cell r="S205" t="str">
            <v>Gas</v>
          </cell>
          <cell r="T205" t="str">
            <v>O-All</v>
          </cell>
          <cell r="U205"/>
          <cell r="V205"/>
          <cell r="W205"/>
          <cell r="X205" t="str">
            <v>Great Reptile</v>
          </cell>
        </row>
        <row r="206">
          <cell r="A206" t="str">
            <v>Trooper</v>
          </cell>
          <cell r="B206" t="str">
            <v>Trooper</v>
          </cell>
          <cell r="C206" t="str">
            <v>1</v>
          </cell>
          <cell r="D206" t="str">
            <v>2</v>
          </cell>
          <cell r="E206">
            <v>2</v>
          </cell>
          <cell r="F206" t="str">
            <v>12</v>
          </cell>
          <cell r="G206" t="str">
            <v>1b</v>
          </cell>
          <cell r="H206" t="str">
            <v>0</v>
          </cell>
          <cell r="I206">
            <v>2</v>
          </cell>
          <cell r="J206">
            <v>90</v>
          </cell>
          <cell r="K206">
            <v>8</v>
          </cell>
          <cell r="L206">
            <v>6</v>
          </cell>
          <cell r="M206">
            <v>6</v>
          </cell>
          <cell r="N206">
            <v>11</v>
          </cell>
          <cell r="O206" t="str">
            <v>7d81</v>
          </cell>
          <cell r="P206" t="str">
            <v>Long Sword</v>
          </cell>
          <cell r="Q206" t="str">
            <v>Bronze Shield</v>
          </cell>
          <cell r="R206"/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Guard</v>
          </cell>
          <cell r="B207" t="str">
            <v>Guard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1b</v>
          </cell>
          <cell r="H207" t="str">
            <v>0</v>
          </cell>
          <cell r="I207" t="str">
            <v>2</v>
          </cell>
          <cell r="J207">
            <v>263</v>
          </cell>
          <cell r="K207">
            <v>25</v>
          </cell>
          <cell r="L207">
            <v>22</v>
          </cell>
          <cell r="M207">
            <v>22</v>
          </cell>
          <cell r="N207">
            <v>29</v>
          </cell>
          <cell r="O207" t="str">
            <v>7d83</v>
          </cell>
          <cell r="P207" t="str">
            <v>Gold Sword</v>
          </cell>
          <cell r="Q207" t="str">
            <v>Gold Shield</v>
          </cell>
          <cell r="R207" t="str">
            <v>Cure Potion</v>
          </cell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Knight</v>
          </cell>
          <cell r="B208" t="str">
            <v>Knight</v>
          </cell>
          <cell r="C208" t="str">
            <v>5</v>
          </cell>
          <cell r="D208" t="str">
            <v>7</v>
          </cell>
          <cell r="E208">
            <v>7</v>
          </cell>
          <cell r="F208" t="str">
            <v>57</v>
          </cell>
          <cell r="G208" t="str">
            <v>1b</v>
          </cell>
          <cell r="H208" t="str">
            <v>0</v>
          </cell>
          <cell r="I208" t="str">
            <v>5</v>
          </cell>
          <cell r="J208">
            <v>390</v>
          </cell>
          <cell r="K208">
            <v>41</v>
          </cell>
          <cell r="L208">
            <v>37</v>
          </cell>
          <cell r="M208">
            <v>37</v>
          </cell>
          <cell r="N208">
            <v>47</v>
          </cell>
          <cell r="O208" t="str">
            <v>7d86</v>
          </cell>
          <cell r="P208" t="str">
            <v>Flame Sword</v>
          </cell>
          <cell r="Q208" t="str">
            <v>Ice Sword</v>
          </cell>
          <cell r="R208" t="str">
            <v>Thunder Axe</v>
          </cell>
          <cell r="S208" t="str">
            <v>Flame Shield</v>
          </cell>
          <cell r="T208" t="str">
            <v>Ice Shield</v>
          </cell>
          <cell r="U208" t="str">
            <v>Hi-Cure Potion</v>
          </cell>
          <cell r="V208"/>
          <cell r="W208"/>
          <cell r="X208" t="str">
            <v>Human</v>
          </cell>
        </row>
        <row r="209">
          <cell r="A209" t="str">
            <v>Paladin</v>
          </cell>
          <cell r="B209" t="str">
            <v>Paladin</v>
          </cell>
          <cell r="C209" t="str">
            <v>6</v>
          </cell>
          <cell r="D209" t="str">
            <v>A</v>
          </cell>
          <cell r="E209">
            <v>10</v>
          </cell>
          <cell r="F209" t="str">
            <v>6A</v>
          </cell>
          <cell r="G209" t="str">
            <v>1b</v>
          </cell>
          <cell r="H209" t="str">
            <v>0</v>
          </cell>
          <cell r="I209" t="str">
            <v>6</v>
          </cell>
          <cell r="J209">
            <v>756</v>
          </cell>
          <cell r="K209">
            <v>73</v>
          </cell>
          <cell r="L209">
            <v>68</v>
          </cell>
          <cell r="M209">
            <v>68</v>
          </cell>
          <cell r="N209">
            <v>81</v>
          </cell>
          <cell r="O209" t="str">
            <v>7d8c</v>
          </cell>
          <cell r="P209" t="str">
            <v>Sun Sword</v>
          </cell>
          <cell r="Q209" t="str">
            <v>Dragon Sword</v>
          </cell>
          <cell r="R209" t="str">
            <v>Defend Sword</v>
          </cell>
          <cell r="S209" t="str">
            <v>Dragon Shield</v>
          </cell>
          <cell r="T209" t="str">
            <v>Dragon Helm</v>
          </cell>
          <cell r="U209" t="str">
            <v>Ninja Glove</v>
          </cell>
          <cell r="V209" t="str">
            <v>Dragon Armor</v>
          </cell>
          <cell r="W209"/>
          <cell r="X209" t="str">
            <v>Human</v>
          </cell>
        </row>
        <row r="210">
          <cell r="A210" t="str">
            <v>Fenrir</v>
          </cell>
          <cell r="B210" t="str">
            <v>Fenrir</v>
          </cell>
          <cell r="C210" t="str">
            <v>2</v>
          </cell>
          <cell r="D210" t="str">
            <v>B</v>
          </cell>
          <cell r="E210">
            <v>11</v>
          </cell>
          <cell r="F210" t="str">
            <v>2B</v>
          </cell>
          <cell r="G210" t="str">
            <v>2c</v>
          </cell>
          <cell r="H210" t="str">
            <v>2</v>
          </cell>
          <cell r="I210" t="str">
            <v>4</v>
          </cell>
          <cell r="J210">
            <v>2500</v>
          </cell>
          <cell r="K210">
            <v>86</v>
          </cell>
          <cell r="L210">
            <v>80</v>
          </cell>
          <cell r="M210">
            <v>80</v>
          </cell>
          <cell r="N210">
            <v>94</v>
          </cell>
          <cell r="O210" t="str">
            <v>7d93</v>
          </cell>
          <cell r="P210" t="str">
            <v>Tornado</v>
          </cell>
          <cell r="Q210" t="str">
            <v>Tusk</v>
          </cell>
          <cell r="R210" t="str">
            <v>Blizzard</v>
          </cell>
          <cell r="S210" t="str">
            <v>Recover</v>
          </cell>
          <cell r="T210" t="str">
            <v>O-All</v>
          </cell>
          <cell r="U210"/>
          <cell r="V210"/>
          <cell r="W210"/>
          <cell r="X210" t="str">
            <v>Beast</v>
          </cell>
        </row>
        <row r="211">
          <cell r="A211" t="str">
            <v>Thug</v>
          </cell>
          <cell r="B211" t="str">
            <v>Thug</v>
          </cell>
          <cell r="C211">
            <v>0</v>
          </cell>
          <cell r="D211"/>
          <cell r="E211">
            <v>1</v>
          </cell>
          <cell r="F211"/>
          <cell r="G211"/>
          <cell r="H211">
            <v>0</v>
          </cell>
          <cell r="I211">
            <v>1</v>
          </cell>
          <cell r="J211">
            <v>59</v>
          </cell>
          <cell r="K211">
            <v>5</v>
          </cell>
          <cell r="L211">
            <v>5</v>
          </cell>
          <cell r="M211">
            <v>3</v>
          </cell>
          <cell r="N211">
            <v>5</v>
          </cell>
          <cell r="O211"/>
          <cell r="P211" t="str">
            <v>Beretta</v>
          </cell>
          <cell r="Q211"/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Outlaw</v>
          </cell>
          <cell r="B212" t="str">
            <v>Outlaw</v>
          </cell>
          <cell r="C212">
            <v>0</v>
          </cell>
          <cell r="D212"/>
          <cell r="E212">
            <v>2</v>
          </cell>
          <cell r="F212"/>
          <cell r="G212"/>
          <cell r="H212">
            <v>0</v>
          </cell>
          <cell r="I212">
            <v>1</v>
          </cell>
          <cell r="J212">
            <v>90</v>
          </cell>
          <cell r="K212">
            <v>9</v>
          </cell>
          <cell r="L212">
            <v>9</v>
          </cell>
          <cell r="M212">
            <v>5</v>
          </cell>
          <cell r="N212">
            <v>8</v>
          </cell>
          <cell r="O212"/>
          <cell r="P212" t="str">
            <v>Long Bow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Terrorist</v>
          </cell>
          <cell r="B213" t="str">
            <v>Terrorist</v>
          </cell>
          <cell r="C213" t="str">
            <v>1</v>
          </cell>
          <cell r="D213" t="str">
            <v>3</v>
          </cell>
          <cell r="E213">
            <v>3</v>
          </cell>
          <cell r="F213" t="str">
            <v>13</v>
          </cell>
          <cell r="G213" t="str">
            <v>84</v>
          </cell>
          <cell r="H213" t="str">
            <v>0</v>
          </cell>
          <cell r="I213" t="str">
            <v>1</v>
          </cell>
          <cell r="J213">
            <v>148</v>
          </cell>
          <cell r="K213">
            <v>14</v>
          </cell>
          <cell r="L213">
            <v>14</v>
          </cell>
          <cell r="M213">
            <v>8</v>
          </cell>
          <cell r="N213">
            <v>13</v>
          </cell>
          <cell r="O213" t="str">
            <v>7d98</v>
          </cell>
          <cell r="P213" t="str">
            <v>Colt</v>
          </cell>
          <cell r="Q213" t="str">
            <v>Kick</v>
          </cell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Mercenary</v>
          </cell>
          <cell r="B214" t="str">
            <v>Mercenary</v>
          </cell>
          <cell r="C214" t="str">
            <v>3</v>
          </cell>
          <cell r="D214" t="str">
            <v>6</v>
          </cell>
          <cell r="E214">
            <v>6</v>
          </cell>
          <cell r="F214" t="str">
            <v>36</v>
          </cell>
          <cell r="G214" t="str">
            <v>84</v>
          </cell>
          <cell r="H214" t="str">
            <v>0</v>
          </cell>
          <cell r="I214" t="str">
            <v>3</v>
          </cell>
          <cell r="J214">
            <v>358</v>
          </cell>
          <cell r="K214">
            <v>34</v>
          </cell>
          <cell r="L214">
            <v>34</v>
          </cell>
          <cell r="M214">
            <v>26</v>
          </cell>
          <cell r="N214">
            <v>32</v>
          </cell>
          <cell r="O214" t="str">
            <v>7d9a</v>
          </cell>
          <cell r="P214" t="str">
            <v>Musket</v>
          </cell>
          <cell r="Q214" t="str">
            <v>Grenade</v>
          </cell>
          <cell r="R214" t="str">
            <v>SMG</v>
          </cell>
          <cell r="S214" t="str">
            <v>Cure Potion</v>
          </cell>
          <cell r="T214"/>
          <cell r="U214"/>
          <cell r="V214"/>
          <cell r="W214"/>
          <cell r="X214" t="str">
            <v>Human</v>
          </cell>
        </row>
        <row r="215">
          <cell r="A215" t="str">
            <v>Commando</v>
          </cell>
          <cell r="B215" t="str">
            <v>Commando</v>
          </cell>
          <cell r="C215" t="str">
            <v>4</v>
          </cell>
          <cell r="D215" t="str">
            <v>7</v>
          </cell>
          <cell r="E215">
            <v>7</v>
          </cell>
          <cell r="F215" t="str">
            <v>47</v>
          </cell>
          <cell r="G215" t="str">
            <v>84</v>
          </cell>
          <cell r="H215" t="str">
            <v>0</v>
          </cell>
          <cell r="I215" t="str">
            <v>5</v>
          </cell>
          <cell r="J215">
            <v>410</v>
          </cell>
          <cell r="K215">
            <v>43</v>
          </cell>
          <cell r="L215">
            <v>43</v>
          </cell>
          <cell r="M215">
            <v>33</v>
          </cell>
          <cell r="N215">
            <v>41</v>
          </cell>
          <cell r="O215" t="str">
            <v>7d9e</v>
          </cell>
          <cell r="P215" t="str">
            <v>HeadButt</v>
          </cell>
          <cell r="Q215" t="str">
            <v>Flamethrower</v>
          </cell>
          <cell r="R215" t="str">
            <v>Bazooka</v>
          </cell>
          <cell r="S215" t="str">
            <v>Magnum</v>
          </cell>
          <cell r="T215" t="str">
            <v>Army Armor</v>
          </cell>
          <cell r="U215" t="str">
            <v>Surprise</v>
          </cell>
          <cell r="V215"/>
          <cell r="W215"/>
          <cell r="X215" t="str">
            <v>Human</v>
          </cell>
        </row>
        <row r="216">
          <cell r="A216" t="str">
            <v>SS</v>
          </cell>
          <cell r="B216" t="str">
            <v>SS</v>
          </cell>
          <cell r="C216" t="str">
            <v>6</v>
          </cell>
          <cell r="D216" t="str">
            <v>A</v>
          </cell>
          <cell r="E216">
            <v>10</v>
          </cell>
          <cell r="F216" t="str">
            <v>6A</v>
          </cell>
          <cell r="G216" t="str">
            <v>84</v>
          </cell>
          <cell r="H216" t="str">
            <v>0</v>
          </cell>
          <cell r="I216" t="str">
            <v>6</v>
          </cell>
          <cell r="J216">
            <v>781</v>
          </cell>
          <cell r="K216">
            <v>76</v>
          </cell>
          <cell r="L216">
            <v>76</v>
          </cell>
          <cell r="M216">
            <v>63</v>
          </cell>
          <cell r="N216">
            <v>73</v>
          </cell>
          <cell r="O216" t="str">
            <v>7da4</v>
          </cell>
          <cell r="P216" t="str">
            <v>Laser Sword</v>
          </cell>
          <cell r="Q216" t="str">
            <v>Vulcan Cannon</v>
          </cell>
          <cell r="R216" t="str">
            <v>Fire Gun</v>
          </cell>
          <cell r="S216" t="str">
            <v>Missile Cannon</v>
          </cell>
          <cell r="T216" t="str">
            <v>Tank Cannon</v>
          </cell>
          <cell r="U216" t="str">
            <v>Hi-Cure Potion</v>
          </cell>
          <cell r="V216" t="str">
            <v>Army Armor</v>
          </cell>
          <cell r="W216"/>
          <cell r="X216" t="str">
            <v>Human</v>
          </cell>
        </row>
        <row r="217">
          <cell r="A217" t="str">
            <v>EchigoYa</v>
          </cell>
          <cell r="B217" t="str">
            <v>EchigoYa</v>
          </cell>
          <cell r="C217" t="str">
            <v>2</v>
          </cell>
          <cell r="D217" t="str">
            <v>B</v>
          </cell>
          <cell r="E217">
            <v>11</v>
          </cell>
          <cell r="F217" t="str">
            <v>2B</v>
          </cell>
          <cell r="G217" t="str">
            <v>84</v>
          </cell>
          <cell r="H217" t="str">
            <v>0</v>
          </cell>
          <cell r="I217" t="str">
            <v>2</v>
          </cell>
          <cell r="J217">
            <v>443</v>
          </cell>
          <cell r="K217">
            <v>43</v>
          </cell>
          <cell r="L217">
            <v>43</v>
          </cell>
          <cell r="M217">
            <v>36</v>
          </cell>
          <cell r="N217">
            <v>41</v>
          </cell>
          <cell r="O217" t="str">
            <v>7dab</v>
          </cell>
          <cell r="P217" t="str">
            <v>Abacus</v>
          </cell>
          <cell r="Q217" t="str">
            <v>Vulcan Cannon</v>
          </cell>
          <cell r="R217" t="str">
            <v>Psi Sword</v>
          </cell>
          <cell r="S217"/>
          <cell r="T217"/>
          <cell r="U217"/>
          <cell r="V217"/>
          <cell r="W217"/>
          <cell r="X217" t="str">
            <v>Human</v>
          </cell>
        </row>
        <row r="218">
          <cell r="A218" t="str">
            <v>Conjurer</v>
          </cell>
          <cell r="B218" t="str">
            <v>Conjurer</v>
          </cell>
          <cell r="C218" t="str">
            <v>1</v>
          </cell>
          <cell r="D218" t="str">
            <v>3</v>
          </cell>
          <cell r="E218">
            <v>3</v>
          </cell>
          <cell r="F218" t="str">
            <v>13</v>
          </cell>
          <cell r="G218" t="str">
            <v>85</v>
          </cell>
          <cell r="H218" t="str">
            <v>0</v>
          </cell>
          <cell r="I218" t="str">
            <v>1</v>
          </cell>
          <cell r="J218">
            <v>123</v>
          </cell>
          <cell r="K218">
            <v>8</v>
          </cell>
          <cell r="L218">
            <v>16</v>
          </cell>
          <cell r="M218">
            <v>17</v>
          </cell>
          <cell r="N218">
            <v>9</v>
          </cell>
          <cell r="O218" t="str">
            <v>7dae</v>
          </cell>
          <cell r="P218" t="str">
            <v>Sleep Book</v>
          </cell>
          <cell r="Q218" t="str">
            <v>Cure Book</v>
          </cell>
          <cell r="R218"/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Magician</v>
          </cell>
          <cell r="B219" t="str">
            <v>Magician</v>
          </cell>
          <cell r="C219" t="str">
            <v>3</v>
          </cell>
          <cell r="D219" t="str">
            <v>6</v>
          </cell>
          <cell r="E219">
            <v>6</v>
          </cell>
          <cell r="F219" t="str">
            <v>36</v>
          </cell>
          <cell r="G219" t="str">
            <v>85</v>
          </cell>
          <cell r="H219" t="str">
            <v>0</v>
          </cell>
          <cell r="I219" t="str">
            <v>3</v>
          </cell>
          <cell r="J219">
            <v>324</v>
          </cell>
          <cell r="K219">
            <v>26</v>
          </cell>
          <cell r="L219">
            <v>38</v>
          </cell>
          <cell r="M219">
            <v>39</v>
          </cell>
          <cell r="N219">
            <v>27</v>
          </cell>
          <cell r="O219" t="str">
            <v>7db0</v>
          </cell>
          <cell r="P219" t="str">
            <v>Fire Book</v>
          </cell>
          <cell r="Q219" t="str">
            <v>Ice Book</v>
          </cell>
          <cell r="R219" t="str">
            <v>Sleep Book</v>
          </cell>
          <cell r="S219" t="str">
            <v>Cure Book</v>
          </cell>
          <cell r="T219"/>
          <cell r="U219"/>
          <cell r="V219"/>
          <cell r="W219"/>
          <cell r="X219" t="str">
            <v>Human</v>
          </cell>
        </row>
        <row r="220">
          <cell r="A220" t="str">
            <v>Sorcerer</v>
          </cell>
          <cell r="B220" t="str">
            <v>Sorcerer</v>
          </cell>
          <cell r="C220" t="str">
            <v>5</v>
          </cell>
          <cell r="D220" t="str">
            <v>9</v>
          </cell>
          <cell r="E220">
            <v>9</v>
          </cell>
          <cell r="F220" t="str">
            <v>59</v>
          </cell>
          <cell r="G220" t="str">
            <v>85</v>
          </cell>
          <cell r="H220" t="str">
            <v>0</v>
          </cell>
          <cell r="I220" t="str">
            <v>5</v>
          </cell>
          <cell r="J220">
            <v>614</v>
          </cell>
          <cell r="K220">
            <v>52</v>
          </cell>
          <cell r="L220">
            <v>68</v>
          </cell>
          <cell r="M220">
            <v>64</v>
          </cell>
          <cell r="N220">
            <v>55</v>
          </cell>
          <cell r="O220" t="str">
            <v>7db4</v>
          </cell>
          <cell r="P220" t="str">
            <v>Thunder Book</v>
          </cell>
          <cell r="Q220" t="str">
            <v>Stone Book</v>
          </cell>
          <cell r="R220" t="str">
            <v>Mage Staff</v>
          </cell>
          <cell r="S220" t="str">
            <v>Death Book</v>
          </cell>
          <cell r="T220" t="str">
            <v>Ice Book</v>
          </cell>
          <cell r="U220" t="str">
            <v>Cure Book</v>
          </cell>
          <cell r="V220"/>
          <cell r="W220"/>
          <cell r="X220" t="str">
            <v>Human</v>
          </cell>
        </row>
        <row r="221">
          <cell r="A221" t="str">
            <v>Wizard</v>
          </cell>
          <cell r="B221" t="str">
            <v>Wizard</v>
          </cell>
          <cell r="C221" t="str">
            <v>6</v>
          </cell>
          <cell r="D221" t="str">
            <v>A</v>
          </cell>
          <cell r="E221">
            <v>10</v>
          </cell>
          <cell r="F221" t="str">
            <v>6A</v>
          </cell>
          <cell r="G221" t="str">
            <v>85</v>
          </cell>
          <cell r="H221" t="str">
            <v>0</v>
          </cell>
          <cell r="I221" t="str">
            <v>6</v>
          </cell>
          <cell r="J221">
            <v>731</v>
          </cell>
          <cell r="K221">
            <v>63</v>
          </cell>
          <cell r="L221">
            <v>81</v>
          </cell>
          <cell r="M221">
            <v>75</v>
          </cell>
          <cell r="N221">
            <v>66</v>
          </cell>
          <cell r="O221" t="str">
            <v>7dba</v>
          </cell>
          <cell r="P221" t="str">
            <v>Thunder Book</v>
          </cell>
          <cell r="Q221" t="str">
            <v>Poison Book</v>
          </cell>
          <cell r="R221" t="str">
            <v>Stone Book</v>
          </cell>
          <cell r="S221" t="str">
            <v>Mage Staff</v>
          </cell>
          <cell r="T221" t="str">
            <v>Wizard Staff</v>
          </cell>
          <cell r="U221" t="str">
            <v>Flare Book</v>
          </cell>
          <cell r="V221" t="str">
            <v>Heal Staff</v>
          </cell>
          <cell r="W221"/>
          <cell r="X221" t="str">
            <v>Human</v>
          </cell>
        </row>
        <row r="222">
          <cell r="A222" t="str">
            <v>ROBO-02</v>
          </cell>
          <cell r="B222" t="str">
            <v>ROBO-02</v>
          </cell>
          <cell r="C222">
            <v>0</v>
          </cell>
          <cell r="D222"/>
          <cell r="E222">
            <v>2</v>
          </cell>
          <cell r="F222"/>
          <cell r="G222"/>
          <cell r="H222">
            <v>3</v>
          </cell>
          <cell r="I222">
            <v>1</v>
          </cell>
          <cell r="J222">
            <v>180</v>
          </cell>
          <cell r="K222">
            <v>9</v>
          </cell>
          <cell r="L222">
            <v>9</v>
          </cell>
          <cell r="M222">
            <v>0</v>
          </cell>
          <cell r="N222">
            <v>8</v>
          </cell>
          <cell r="O222"/>
          <cell r="P222" t="str">
            <v>Stun Gun</v>
          </cell>
          <cell r="Q222" t="str">
            <v>O-Pa/Po</v>
          </cell>
          <cell r="R222"/>
          <cell r="S222"/>
          <cell r="T222"/>
          <cell r="U222"/>
          <cell r="V222"/>
          <cell r="W222"/>
          <cell r="X222" t="str">
            <v>Robot</v>
          </cell>
        </row>
        <row r="223">
          <cell r="A223" t="str">
            <v>ROBO-28</v>
          </cell>
          <cell r="B223" t="str">
            <v>ROBO-28</v>
          </cell>
          <cell r="C223" t="str">
            <v>0</v>
          </cell>
          <cell r="D223" t="str">
            <v>3</v>
          </cell>
          <cell r="E223">
            <v>3</v>
          </cell>
          <cell r="F223" t="str">
            <v>03</v>
          </cell>
          <cell r="G223" t="str">
            <v>86</v>
          </cell>
          <cell r="H223" t="str">
            <v>3</v>
          </cell>
          <cell r="I223" t="str">
            <v>1</v>
          </cell>
          <cell r="J223">
            <v>300</v>
          </cell>
          <cell r="K223">
            <v>15</v>
          </cell>
          <cell r="L223">
            <v>15</v>
          </cell>
          <cell r="M223">
            <v>0</v>
          </cell>
          <cell r="N223">
            <v>14</v>
          </cell>
          <cell r="O223" t="str">
            <v>7dc1</v>
          </cell>
          <cell r="P223" t="str">
            <v>Rocket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ROBO-Z</v>
          </cell>
          <cell r="B224" t="str">
            <v>ROBO-Z</v>
          </cell>
          <cell r="C224" t="str">
            <v>2</v>
          </cell>
          <cell r="D224" t="str">
            <v>5</v>
          </cell>
          <cell r="E224">
            <v>5</v>
          </cell>
          <cell r="F224" t="str">
            <v>25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500</v>
          </cell>
          <cell r="K224">
            <v>28</v>
          </cell>
          <cell r="L224">
            <v>28</v>
          </cell>
          <cell r="M224">
            <v>0</v>
          </cell>
          <cell r="N224">
            <v>26</v>
          </cell>
          <cell r="O224" t="str">
            <v>7dc3</v>
          </cell>
          <cell r="P224" t="str">
            <v>Rocket</v>
          </cell>
          <cell r="Q224" t="str">
            <v>Flamethrower</v>
          </cell>
          <cell r="R224" t="str">
            <v>Beam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Ridean</v>
          </cell>
          <cell r="B225" t="str">
            <v>Ridean</v>
          </cell>
          <cell r="C225" t="str">
            <v>4</v>
          </cell>
          <cell r="D225" t="str">
            <v>9</v>
          </cell>
          <cell r="E225">
            <v>9</v>
          </cell>
          <cell r="F225" t="str">
            <v>49</v>
          </cell>
          <cell r="G225" t="str">
            <v>86</v>
          </cell>
          <cell r="H225" t="str">
            <v>3</v>
          </cell>
          <cell r="I225" t="str">
            <v>5</v>
          </cell>
          <cell r="J225">
            <v>900</v>
          </cell>
          <cell r="K225">
            <v>66</v>
          </cell>
          <cell r="L225">
            <v>66</v>
          </cell>
          <cell r="M225">
            <v>0</v>
          </cell>
          <cell r="N225">
            <v>64</v>
          </cell>
          <cell r="O225" t="str">
            <v>7dc7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Electroshock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G-7</v>
          </cell>
          <cell r="B226" t="str">
            <v>G-7</v>
          </cell>
          <cell r="C226" t="str">
            <v>4</v>
          </cell>
          <cell r="D226" t="str">
            <v>A</v>
          </cell>
          <cell r="E226">
            <v>10</v>
          </cell>
          <cell r="F226" t="str">
            <v>4A</v>
          </cell>
          <cell r="G226" t="str">
            <v>86</v>
          </cell>
          <cell r="H226" t="str">
            <v>3</v>
          </cell>
          <cell r="I226" t="str">
            <v>6</v>
          </cell>
          <cell r="J226">
            <v>1500</v>
          </cell>
          <cell r="K226">
            <v>78</v>
          </cell>
          <cell r="L226">
            <v>78</v>
          </cell>
          <cell r="M226">
            <v>0</v>
          </cell>
          <cell r="N226">
            <v>76</v>
          </cell>
          <cell r="O226" t="str">
            <v>7dcd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Missile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Dunatis</v>
          </cell>
          <cell r="B227" t="str">
            <v>Dunatis</v>
          </cell>
          <cell r="C227" t="str">
            <v>0</v>
          </cell>
          <cell r="D227" t="str">
            <v>B</v>
          </cell>
          <cell r="E227">
            <v>11</v>
          </cell>
          <cell r="F227" t="str">
            <v>0B</v>
          </cell>
          <cell r="G227" t="str">
            <v>86</v>
          </cell>
          <cell r="H227" t="str">
            <v>3</v>
          </cell>
          <cell r="I227" t="str">
            <v>3</v>
          </cell>
          <cell r="J227">
            <v>800</v>
          </cell>
          <cell r="K227">
            <v>30</v>
          </cell>
          <cell r="L227">
            <v>30</v>
          </cell>
          <cell r="M227">
            <v>0</v>
          </cell>
          <cell r="N227">
            <v>29</v>
          </cell>
          <cell r="O227" t="str">
            <v>7dd4</v>
          </cell>
          <cell r="P227" t="str">
            <v>Rocket</v>
          </cell>
          <cell r="Q227" t="str">
            <v>ChainSaw</v>
          </cell>
          <cell r="R227" t="str">
            <v>Blitz Whip</v>
          </cell>
          <cell r="S227" t="str">
            <v>O-Pa/Po</v>
          </cell>
          <cell r="T227"/>
          <cell r="U227"/>
          <cell r="V227"/>
          <cell r="W227"/>
          <cell r="X227" t="str">
            <v>Robot</v>
          </cell>
        </row>
        <row r="228">
          <cell r="A228" t="str">
            <v>MechBug</v>
          </cell>
          <cell r="B228" t="str">
            <v>MechBug</v>
          </cell>
          <cell r="C228" t="str">
            <v>1</v>
          </cell>
          <cell r="D228" t="str">
            <v>5</v>
          </cell>
          <cell r="E228">
            <v>5</v>
          </cell>
          <cell r="F228" t="str">
            <v>15</v>
          </cell>
          <cell r="G228" t="str">
            <v>87</v>
          </cell>
          <cell r="H228" t="str">
            <v>3</v>
          </cell>
          <cell r="I228" t="str">
            <v>2</v>
          </cell>
          <cell r="J228">
            <v>248</v>
          </cell>
          <cell r="K228">
            <v>29</v>
          </cell>
          <cell r="L228">
            <v>25</v>
          </cell>
          <cell r="M228">
            <v>0</v>
          </cell>
          <cell r="N228">
            <v>29</v>
          </cell>
          <cell r="O228" t="str">
            <v>7dd8</v>
          </cell>
          <cell r="P228" t="str">
            <v>SMG</v>
          </cell>
          <cell r="Q228" t="str">
            <v>Blitz Whip</v>
          </cell>
          <cell r="R228" t="str">
            <v>O-Pa/Po</v>
          </cell>
          <cell r="S228"/>
          <cell r="T228"/>
          <cell r="U228"/>
          <cell r="V228"/>
          <cell r="W228"/>
          <cell r="X228" t="str">
            <v>Robot</v>
          </cell>
        </row>
        <row r="229">
          <cell r="A229" t="str">
            <v>Hawk</v>
          </cell>
          <cell r="B229" t="str">
            <v>Hawk</v>
          </cell>
          <cell r="C229" t="str">
            <v>1</v>
          </cell>
          <cell r="D229" t="str">
            <v>6</v>
          </cell>
          <cell r="E229">
            <v>6</v>
          </cell>
          <cell r="F229" t="str">
            <v>16</v>
          </cell>
          <cell r="G229" t="str">
            <v>87</v>
          </cell>
          <cell r="H229" t="str">
            <v>3</v>
          </cell>
          <cell r="I229" t="str">
            <v>3</v>
          </cell>
          <cell r="J229">
            <v>324</v>
          </cell>
          <cell r="K229">
            <v>38</v>
          </cell>
          <cell r="L229">
            <v>32</v>
          </cell>
          <cell r="M229">
            <v>0</v>
          </cell>
          <cell r="N229">
            <v>38</v>
          </cell>
          <cell r="O229" t="str">
            <v>7ddb</v>
          </cell>
          <cell r="P229" t="str">
            <v>Grenade</v>
          </cell>
          <cell r="Q229" t="str">
            <v>Flamethrower</v>
          </cell>
          <cell r="R229" t="str">
            <v>Warning</v>
          </cell>
          <cell r="S229" t="str">
            <v>O-Pa/Po</v>
          </cell>
          <cell r="T229"/>
          <cell r="U229"/>
          <cell r="V229"/>
          <cell r="W229"/>
          <cell r="X229" t="str">
            <v>Robot</v>
          </cell>
        </row>
        <row r="230">
          <cell r="A230" t="str">
            <v>Falcon</v>
          </cell>
          <cell r="B230" t="str">
            <v>Falcon</v>
          </cell>
          <cell r="C230" t="str">
            <v>3</v>
          </cell>
          <cell r="D230" t="str">
            <v>9</v>
          </cell>
          <cell r="E230">
            <v>9</v>
          </cell>
          <cell r="F230" t="str">
            <v>39</v>
          </cell>
          <cell r="G230" t="str">
            <v>87</v>
          </cell>
          <cell r="H230" t="str">
            <v>3</v>
          </cell>
          <cell r="I230" t="str">
            <v>5</v>
          </cell>
          <cell r="J230">
            <v>614</v>
          </cell>
          <cell r="K230">
            <v>68</v>
          </cell>
          <cell r="L230">
            <v>61</v>
          </cell>
          <cell r="M230">
            <v>0</v>
          </cell>
          <cell r="N230">
            <v>68</v>
          </cell>
          <cell r="O230" t="str">
            <v>7ddf</v>
          </cell>
          <cell r="P230" t="str">
            <v>Defense</v>
          </cell>
          <cell r="Q230" t="str">
            <v>D-Beam</v>
          </cell>
          <cell r="R230" t="str">
            <v>Vulcan</v>
          </cell>
          <cell r="S230" t="str">
            <v>Beam</v>
          </cell>
          <cell r="T230" t="str">
            <v>Warning</v>
          </cell>
          <cell r="U230" t="str">
            <v>O-Pa/Po</v>
          </cell>
          <cell r="V230"/>
          <cell r="W230"/>
          <cell r="X230" t="str">
            <v>Robot</v>
          </cell>
        </row>
        <row r="231">
          <cell r="A231" t="str">
            <v>Intrcept</v>
          </cell>
          <cell r="B231" t="str">
            <v>Intrcept</v>
          </cell>
          <cell r="C231" t="str">
            <v>3</v>
          </cell>
          <cell r="D231" t="str">
            <v>A</v>
          </cell>
          <cell r="E231">
            <v>10</v>
          </cell>
          <cell r="F231" t="str">
            <v>3A</v>
          </cell>
          <cell r="G231" t="str">
            <v>87</v>
          </cell>
          <cell r="H231" t="str">
            <v>3</v>
          </cell>
          <cell r="I231" t="str">
            <v>6</v>
          </cell>
          <cell r="J231">
            <v>731</v>
          </cell>
          <cell r="K231">
            <v>81</v>
          </cell>
          <cell r="L231">
            <v>73</v>
          </cell>
          <cell r="M231">
            <v>0</v>
          </cell>
          <cell r="N231">
            <v>81</v>
          </cell>
          <cell r="O231" t="str">
            <v>7de5</v>
          </cell>
          <cell r="P231" t="str">
            <v>D-Beam</v>
          </cell>
          <cell r="Q231" t="str">
            <v>Vulcan</v>
          </cell>
          <cell r="R231" t="str">
            <v>Beam</v>
          </cell>
          <cell r="S231" t="str">
            <v>Missile</v>
          </cell>
          <cell r="T231" t="str">
            <v>Warning</v>
          </cell>
          <cell r="U231" t="str">
            <v>Selfix</v>
          </cell>
          <cell r="V231" t="str">
            <v>O-Pa/Po</v>
          </cell>
          <cell r="W231"/>
          <cell r="X231" t="str">
            <v>Robot</v>
          </cell>
        </row>
        <row r="232">
          <cell r="A232" t="str">
            <v>Plasma</v>
          </cell>
          <cell r="B232" t="str">
            <v>Plasma</v>
          </cell>
          <cell r="C232" t="str">
            <v>0</v>
          </cell>
          <cell r="D232" t="str">
            <v>3</v>
          </cell>
          <cell r="E232">
            <v>3</v>
          </cell>
          <cell r="F232" t="str">
            <v>03</v>
          </cell>
          <cell r="G232" t="str">
            <v>06</v>
          </cell>
          <cell r="H232" t="str">
            <v>2</v>
          </cell>
          <cell r="I232" t="str">
            <v>1</v>
          </cell>
          <cell r="J232">
            <v>104</v>
          </cell>
          <cell r="K232">
            <v>15</v>
          </cell>
          <cell r="L232">
            <v>13</v>
          </cell>
          <cell r="M232">
            <v>13</v>
          </cell>
          <cell r="N232">
            <v>13</v>
          </cell>
          <cell r="O232" t="str">
            <v>7dec</v>
          </cell>
          <cell r="P232" t="str">
            <v>Dissolve</v>
          </cell>
          <cell r="Q232" t="str">
            <v>X-Ice</v>
          </cell>
          <cell r="R232"/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Phagocyt</v>
          </cell>
          <cell r="B233" t="str">
            <v>Phagocyt</v>
          </cell>
          <cell r="C233" t="str">
            <v>1</v>
          </cell>
          <cell r="D233" t="str">
            <v>4</v>
          </cell>
          <cell r="E233">
            <v>4</v>
          </cell>
          <cell r="F233" t="str">
            <v>14</v>
          </cell>
          <cell r="G233" t="str">
            <v>06</v>
          </cell>
          <cell r="H233" t="str">
            <v>2</v>
          </cell>
          <cell r="I233" t="str">
            <v>2</v>
          </cell>
          <cell r="J233">
            <v>156</v>
          </cell>
          <cell r="K233">
            <v>21</v>
          </cell>
          <cell r="L233">
            <v>18</v>
          </cell>
          <cell r="M233">
            <v>18</v>
          </cell>
          <cell r="N233">
            <v>18</v>
          </cell>
          <cell r="O233" t="str">
            <v>7dee</v>
          </cell>
          <cell r="P233" t="str">
            <v>Wind Up</v>
          </cell>
          <cell r="Q233" t="str">
            <v>Dissolve</v>
          </cell>
          <cell r="R233" t="str">
            <v>X-Ice</v>
          </cell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Corpuscl</v>
          </cell>
          <cell r="B234" t="str">
            <v>Corpuscl</v>
          </cell>
          <cell r="C234" t="str">
            <v>2</v>
          </cell>
          <cell r="D234" t="str">
            <v>6</v>
          </cell>
          <cell r="E234">
            <v>6</v>
          </cell>
          <cell r="F234" t="str">
            <v>26</v>
          </cell>
          <cell r="G234" t="str">
            <v>06</v>
          </cell>
          <cell r="H234" t="str">
            <v>2</v>
          </cell>
          <cell r="I234" t="str">
            <v>5</v>
          </cell>
          <cell r="J234">
            <v>290</v>
          </cell>
          <cell r="K234">
            <v>36</v>
          </cell>
          <cell r="L234">
            <v>32</v>
          </cell>
          <cell r="M234">
            <v>32</v>
          </cell>
          <cell r="N234">
            <v>32</v>
          </cell>
          <cell r="O234" t="str">
            <v>7df1</v>
          </cell>
          <cell r="P234" t="str">
            <v>Wind Up</v>
          </cell>
          <cell r="Q234" t="str">
            <v>Dissolve</v>
          </cell>
          <cell r="R234" t="str">
            <v>Multiply</v>
          </cell>
          <cell r="S234" t="str">
            <v>Recover</v>
          </cell>
          <cell r="T234" t="str">
            <v>O-Weapon</v>
          </cell>
          <cell r="U234" t="str">
            <v>X-Ice</v>
          </cell>
          <cell r="V234"/>
          <cell r="W234"/>
          <cell r="X234" t="str">
            <v>Aberration</v>
          </cell>
        </row>
        <row r="235">
          <cell r="A235" t="str">
            <v>Cancer</v>
          </cell>
          <cell r="B235" t="str">
            <v>Cancer</v>
          </cell>
          <cell r="C235" t="str">
            <v>2</v>
          </cell>
          <cell r="D235" t="str">
            <v>A</v>
          </cell>
          <cell r="E235">
            <v>10</v>
          </cell>
          <cell r="F235" t="str">
            <v>2A</v>
          </cell>
          <cell r="G235" t="str">
            <v>06</v>
          </cell>
          <cell r="H235" t="str">
            <v>2</v>
          </cell>
          <cell r="I235" t="str">
            <v>6</v>
          </cell>
          <cell r="J235">
            <v>681</v>
          </cell>
          <cell r="K235">
            <v>78</v>
          </cell>
          <cell r="L235">
            <v>73</v>
          </cell>
          <cell r="M235">
            <v>73</v>
          </cell>
          <cell r="N235">
            <v>73</v>
          </cell>
          <cell r="O235" t="str">
            <v>7df7</v>
          </cell>
          <cell r="P235" t="str">
            <v>Wind Up</v>
          </cell>
          <cell r="Q235" t="str">
            <v>Dissolve</v>
          </cell>
          <cell r="R235" t="str">
            <v>Surprise</v>
          </cell>
          <cell r="S235" t="str">
            <v>Warning</v>
          </cell>
          <cell r="T235" t="str">
            <v>Recover</v>
          </cell>
          <cell r="U235" t="str">
            <v>O-Weapon</v>
          </cell>
          <cell r="V235" t="str">
            <v>X-Ice</v>
          </cell>
          <cell r="W235"/>
          <cell r="X235" t="str">
            <v>Aberration</v>
          </cell>
        </row>
        <row r="236">
          <cell r="A236" t="str">
            <v>Grippe</v>
          </cell>
          <cell r="B236" t="str">
            <v>Grippe</v>
          </cell>
          <cell r="C236" t="str">
            <v>0</v>
          </cell>
          <cell r="D236" t="str">
            <v>3</v>
          </cell>
          <cell r="E236">
            <v>3</v>
          </cell>
          <cell r="F236" t="str">
            <v>03</v>
          </cell>
          <cell r="G236" t="str">
            <v>88</v>
          </cell>
          <cell r="H236" t="str">
            <v>2</v>
          </cell>
          <cell r="I236" t="str">
            <v>1</v>
          </cell>
          <cell r="J236">
            <v>71</v>
          </cell>
          <cell r="K236">
            <v>12</v>
          </cell>
          <cell r="L236">
            <v>15</v>
          </cell>
          <cell r="M236">
            <v>14</v>
          </cell>
          <cell r="N236">
            <v>16</v>
          </cell>
          <cell r="O236" t="str">
            <v>7dfe</v>
          </cell>
          <cell r="P236" t="str">
            <v>PoisonBurst</v>
          </cell>
          <cell r="Q236" t="str">
            <v>X-Fire</v>
          </cell>
          <cell r="R236"/>
          <cell r="S236"/>
          <cell r="T236"/>
          <cell r="U236"/>
          <cell r="V236"/>
          <cell r="W236"/>
          <cell r="X236" t="str">
            <v>Aberration</v>
          </cell>
        </row>
        <row r="237">
          <cell r="A237" t="str">
            <v>Virus</v>
          </cell>
          <cell r="B237" t="str">
            <v>Virus</v>
          </cell>
          <cell r="C237" t="str">
            <v>1</v>
          </cell>
          <cell r="D237" t="str">
            <v>4</v>
          </cell>
          <cell r="E237">
            <v>4</v>
          </cell>
          <cell r="F237" t="str">
            <v>14</v>
          </cell>
          <cell r="G237" t="str">
            <v>88</v>
          </cell>
          <cell r="H237" t="str">
            <v>2</v>
          </cell>
          <cell r="I237" t="str">
            <v>2</v>
          </cell>
          <cell r="J237">
            <v>117</v>
          </cell>
          <cell r="K237">
            <v>17</v>
          </cell>
          <cell r="L237">
            <v>21</v>
          </cell>
          <cell r="M237">
            <v>20</v>
          </cell>
          <cell r="N237">
            <v>22</v>
          </cell>
          <cell r="O237" t="str">
            <v>7e00</v>
          </cell>
          <cell r="P237" t="str">
            <v>PoisonBurst</v>
          </cell>
          <cell r="Q237" t="str">
            <v>Heat</v>
          </cell>
          <cell r="R237" t="str">
            <v>X-Fire</v>
          </cell>
          <cell r="S237"/>
          <cell r="T237"/>
          <cell r="U237"/>
          <cell r="V237"/>
          <cell r="W237"/>
          <cell r="X237" t="str">
            <v>Aberration</v>
          </cell>
        </row>
        <row r="238">
          <cell r="A238" t="str">
            <v>Pathogen</v>
          </cell>
          <cell r="B238" t="str">
            <v>Pathogen</v>
          </cell>
          <cell r="C238" t="str">
            <v>3</v>
          </cell>
          <cell r="D238" t="str">
            <v>7</v>
          </cell>
          <cell r="E238">
            <v>7</v>
          </cell>
          <cell r="F238" t="str">
            <v>37</v>
          </cell>
          <cell r="G238" t="str">
            <v>88</v>
          </cell>
          <cell r="H238" t="str">
            <v>2</v>
          </cell>
          <cell r="I238" t="str">
            <v>4</v>
          </cell>
          <cell r="J238">
            <v>316</v>
          </cell>
          <cell r="K238">
            <v>39</v>
          </cell>
          <cell r="L238">
            <v>45</v>
          </cell>
          <cell r="M238">
            <v>43</v>
          </cell>
          <cell r="N238">
            <v>47</v>
          </cell>
          <cell r="O238" t="str">
            <v>7e03</v>
          </cell>
          <cell r="P238" t="str">
            <v>Multiply</v>
          </cell>
          <cell r="Q238" t="str">
            <v>PoisonBurst</v>
          </cell>
          <cell r="R238" t="str">
            <v>Heat</v>
          </cell>
          <cell r="S238" t="str">
            <v>ParaSkin</v>
          </cell>
          <cell r="T238" t="str">
            <v>X-Fire</v>
          </cell>
          <cell r="U238"/>
          <cell r="V238"/>
          <cell r="W238"/>
          <cell r="X238" t="str">
            <v>Aberration</v>
          </cell>
        </row>
        <row r="239">
          <cell r="A239" t="str">
            <v>Plague</v>
          </cell>
          <cell r="B239" t="str">
            <v>Plague</v>
          </cell>
          <cell r="C239" t="str">
            <v>4</v>
          </cell>
          <cell r="D239" t="str">
            <v>A</v>
          </cell>
          <cell r="E239">
            <v>10</v>
          </cell>
          <cell r="F239" t="str">
            <v>4A</v>
          </cell>
          <cell r="G239" t="str">
            <v>88</v>
          </cell>
          <cell r="H239" t="str">
            <v>2</v>
          </cell>
          <cell r="I239" t="str">
            <v>6</v>
          </cell>
          <cell r="J239">
            <v>606</v>
          </cell>
          <cell r="K239">
            <v>71</v>
          </cell>
          <cell r="L239">
            <v>78</v>
          </cell>
          <cell r="M239">
            <v>76</v>
          </cell>
          <cell r="N239">
            <v>81</v>
          </cell>
          <cell r="O239" t="str">
            <v>7e08</v>
          </cell>
          <cell r="P239" t="str">
            <v>PoisonBurst</v>
          </cell>
          <cell r="Q239" t="str">
            <v>Heat</v>
          </cell>
          <cell r="R239" t="str">
            <v>ComVirus</v>
          </cell>
          <cell r="S239" t="str">
            <v>Surprise</v>
          </cell>
          <cell r="T239" t="str">
            <v>Multiply</v>
          </cell>
          <cell r="U239" t="str">
            <v>DNA</v>
          </cell>
          <cell r="V239" t="str">
            <v>X-Fire</v>
          </cell>
          <cell r="W239"/>
          <cell r="X239" t="str">
            <v>Aberration</v>
          </cell>
        </row>
        <row r="240">
          <cell r="A240" t="str">
            <v>Teacher</v>
          </cell>
          <cell r="B240" t="str">
            <v>Teacher</v>
          </cell>
          <cell r="C240" t="str">
            <v>4</v>
          </cell>
          <cell r="D240" t="str">
            <v>0</v>
          </cell>
          <cell r="E240">
            <v>0</v>
          </cell>
          <cell r="F240">
            <v>40</v>
          </cell>
          <cell r="G240" t="str">
            <v>00</v>
          </cell>
          <cell r="H240" t="str">
            <v>2</v>
          </cell>
          <cell r="I240" t="str">
            <v>7</v>
          </cell>
          <cell r="J240">
            <v>185</v>
          </cell>
          <cell r="K240">
            <v>18</v>
          </cell>
          <cell r="L240">
            <v>15</v>
          </cell>
          <cell r="M240">
            <v>19</v>
          </cell>
          <cell r="N240">
            <v>18</v>
          </cell>
          <cell r="O240" t="str">
            <v>7e0f</v>
          </cell>
          <cell r="P240" t="str">
            <v>Dissolve</v>
          </cell>
          <cell r="Q240" t="str">
            <v>Fire</v>
          </cell>
          <cell r="R240" t="str">
            <v>Cure</v>
          </cell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Cleric</v>
          </cell>
          <cell r="B241" t="str">
            <v>Cleric</v>
          </cell>
          <cell r="C241" t="str">
            <v>6</v>
          </cell>
          <cell r="D241" t="str">
            <v>0</v>
          </cell>
          <cell r="E241">
            <v>0</v>
          </cell>
          <cell r="F241" t="str">
            <v>60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80</v>
          </cell>
          <cell r="K241">
            <v>8</v>
          </cell>
          <cell r="L241">
            <v>13</v>
          </cell>
          <cell r="M241">
            <v>14</v>
          </cell>
          <cell r="N241">
            <v>11</v>
          </cell>
          <cell r="O241" t="str">
            <v>7e17</v>
          </cell>
          <cell r="P241" t="str">
            <v>Hammer</v>
          </cell>
          <cell r="Q241" t="str">
            <v>Bronze Shield</v>
          </cell>
          <cell r="R241" t="str">
            <v>Thunder Book</v>
          </cell>
          <cell r="S241" t="str">
            <v>Cure Book</v>
          </cell>
          <cell r="T241" t="str">
            <v>Bronze Armor</v>
          </cell>
          <cell r="U241" t="str">
            <v>Bronze Helm</v>
          </cell>
          <cell r="V241" t="str">
            <v>Bronze Glove</v>
          </cell>
          <cell r="W241"/>
          <cell r="X241" t="str">
            <v>Human</v>
          </cell>
        </row>
        <row r="242">
          <cell r="A242" t="str">
            <v>Unknown</v>
          </cell>
          <cell r="B242" t="str">
            <v>Unknown</v>
          </cell>
          <cell r="C242" t="str">
            <v>4</v>
          </cell>
          <cell r="D242" t="str">
            <v>0</v>
          </cell>
          <cell r="E242">
            <v>0</v>
          </cell>
          <cell r="F242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321</v>
          </cell>
          <cell r="K242">
            <v>35</v>
          </cell>
          <cell r="L242">
            <v>29</v>
          </cell>
          <cell r="M242">
            <v>35</v>
          </cell>
          <cell r="N242">
            <v>11</v>
          </cell>
          <cell r="O242" t="str">
            <v>7e27</v>
          </cell>
          <cell r="P242" t="str">
            <v>Hammer</v>
          </cell>
          <cell r="Q242" t="str">
            <v>Bronze Shield</v>
          </cell>
          <cell r="R242" t="str">
            <v>Bronze Armor</v>
          </cell>
          <cell r="S242" t="str">
            <v>Bronze Helm</v>
          </cell>
          <cell r="T242" t="str">
            <v>Bronze Glove</v>
          </cell>
          <cell r="U242"/>
          <cell r="V242"/>
          <cell r="W242"/>
          <cell r="X242" t="str">
            <v>Human</v>
          </cell>
        </row>
        <row r="243">
          <cell r="A243" t="str">
            <v>Girl1</v>
          </cell>
          <cell r="B243" t="str">
            <v>Girl1</v>
          </cell>
          <cell r="C243" t="str">
            <v>0</v>
          </cell>
          <cell r="D243" t="str">
            <v>0</v>
          </cell>
          <cell r="E243">
            <v>0</v>
          </cell>
          <cell r="F243" t="str">
            <v>00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100</v>
          </cell>
          <cell r="K243">
            <v>16</v>
          </cell>
          <cell r="L243">
            <v>25</v>
          </cell>
          <cell r="M243">
            <v>21</v>
          </cell>
          <cell r="N243">
            <v>0</v>
          </cell>
          <cell r="O243" t="str">
            <v>7e2f</v>
          </cell>
          <cell r="P243" t="str">
            <v>Strike</v>
          </cell>
          <cell r="Q243" t="str">
            <v>R-Kick</v>
          </cell>
          <cell r="R243"/>
          <cell r="S243"/>
          <cell r="T243"/>
          <cell r="U243"/>
          <cell r="V243"/>
          <cell r="W243"/>
          <cell r="X243" t="str">
            <v>Human</v>
          </cell>
        </row>
        <row r="244">
          <cell r="A244" t="str">
            <v>Guardian</v>
          </cell>
          <cell r="B244" t="str">
            <v>Guardian</v>
          </cell>
          <cell r="C244" t="str">
            <v>4</v>
          </cell>
          <cell r="D244" t="str">
            <v>0</v>
          </cell>
          <cell r="E244">
            <v>0</v>
          </cell>
          <cell r="F244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321</v>
          </cell>
          <cell r="K244">
            <v>35</v>
          </cell>
          <cell r="L244">
            <v>35</v>
          </cell>
          <cell r="M244">
            <v>29</v>
          </cell>
          <cell r="N244">
            <v>15</v>
          </cell>
          <cell r="O244" t="str">
            <v>7e37</v>
          </cell>
          <cell r="P244" t="str">
            <v>Gold Sword</v>
          </cell>
          <cell r="Q244" t="str">
            <v>SMG</v>
          </cell>
          <cell r="R244" t="str">
            <v>Blitz Whip</v>
          </cell>
          <cell r="S244" t="str">
            <v>Army Armor</v>
          </cell>
          <cell r="T244" t="str">
            <v>Cure Book</v>
          </cell>
          <cell r="U244"/>
          <cell r="V244"/>
          <cell r="W244"/>
          <cell r="X244" t="str">
            <v>Human</v>
          </cell>
        </row>
        <row r="245">
          <cell r="A245" t="str">
            <v>Girl2</v>
          </cell>
          <cell r="B245" t="str">
            <v>Girl2</v>
          </cell>
          <cell r="C245" t="str">
            <v>0</v>
          </cell>
          <cell r="D245" t="str">
            <v>0</v>
          </cell>
          <cell r="E245">
            <v>0</v>
          </cell>
          <cell r="F245" t="str">
            <v>00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247</v>
          </cell>
          <cell r="K245">
            <v>23</v>
          </cell>
          <cell r="L245">
            <v>33</v>
          </cell>
          <cell r="M245">
            <v>28</v>
          </cell>
          <cell r="N245">
            <v>21</v>
          </cell>
          <cell r="O245" t="str">
            <v>7e3f</v>
          </cell>
          <cell r="P245" t="str">
            <v>HeadButt</v>
          </cell>
          <cell r="Q245" t="str">
            <v>FlyingKick</v>
          </cell>
          <cell r="R245"/>
          <cell r="S245"/>
          <cell r="T245"/>
          <cell r="U245"/>
          <cell r="V245"/>
          <cell r="W245"/>
          <cell r="X245" t="str">
            <v>Human</v>
          </cell>
        </row>
        <row r="246">
          <cell r="A246" t="str">
            <v>Detectiv</v>
          </cell>
          <cell r="B246" t="str">
            <v>Detectiv</v>
          </cell>
          <cell r="C246" t="str">
            <v>3</v>
          </cell>
          <cell r="D246" t="str">
            <v>0</v>
          </cell>
          <cell r="E246">
            <v>0</v>
          </cell>
          <cell r="F246" t="str">
            <v>30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473</v>
          </cell>
          <cell r="K246">
            <v>46</v>
          </cell>
          <cell r="L246">
            <v>62</v>
          </cell>
          <cell r="M246">
            <v>39</v>
          </cell>
          <cell r="N246">
            <v>49</v>
          </cell>
          <cell r="O246" t="str">
            <v>7e47</v>
          </cell>
          <cell r="P246" t="str">
            <v>Sypha</v>
          </cell>
          <cell r="Q246" t="str">
            <v>Coin</v>
          </cell>
          <cell r="R246" t="str">
            <v>Kimono Armor</v>
          </cell>
          <cell r="S246" t="str">
            <v>Temptat</v>
          </cell>
          <cell r="T246"/>
          <cell r="U246"/>
          <cell r="V246"/>
          <cell r="W246"/>
          <cell r="X246" t="str">
            <v>Human</v>
          </cell>
        </row>
        <row r="247">
          <cell r="A247" t="str">
            <v>Samurai</v>
          </cell>
          <cell r="B247" t="str">
            <v>Samurai</v>
          </cell>
          <cell r="C247" t="str">
            <v>4</v>
          </cell>
          <cell r="D247" t="str">
            <v>0</v>
          </cell>
          <cell r="E247">
            <v>0</v>
          </cell>
          <cell r="F247" t="str">
            <v>40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551</v>
          </cell>
          <cell r="K247">
            <v>63</v>
          </cell>
          <cell r="L247">
            <v>60</v>
          </cell>
          <cell r="M247">
            <v>45</v>
          </cell>
          <cell r="N247">
            <v>56</v>
          </cell>
          <cell r="O247" t="str">
            <v>7e4f</v>
          </cell>
          <cell r="P247" t="str">
            <v>Muramas Sword</v>
          </cell>
          <cell r="Q247" t="str">
            <v>Katana</v>
          </cell>
          <cell r="R247" t="str">
            <v>Ninja Glove</v>
          </cell>
          <cell r="S247" t="str">
            <v>Kimono Armor</v>
          </cell>
          <cell r="T247" t="str">
            <v>Samurai Bow</v>
          </cell>
          <cell r="U247" t="str">
            <v>Cure Book</v>
          </cell>
          <cell r="V247"/>
          <cell r="W247"/>
          <cell r="X247" t="str">
            <v>Human</v>
          </cell>
        </row>
        <row r="248">
          <cell r="A248" t="str">
            <v>Guardian</v>
          </cell>
          <cell r="B248" t="str">
            <v>Guardian</v>
          </cell>
          <cell r="C248" t="str">
            <v>4</v>
          </cell>
          <cell r="D248" t="str">
            <v>0</v>
          </cell>
          <cell r="E248">
            <v>0</v>
          </cell>
          <cell r="F248" t="str">
            <v>40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700</v>
          </cell>
          <cell r="K248">
            <v>70</v>
          </cell>
          <cell r="L248">
            <v>80</v>
          </cell>
          <cell r="M248">
            <v>60</v>
          </cell>
          <cell r="N248">
            <v>70</v>
          </cell>
          <cell r="O248" t="str">
            <v>7e57</v>
          </cell>
          <cell r="P248" t="str">
            <v>Defend Sword</v>
          </cell>
          <cell r="Q248" t="str">
            <v>Vulcan Cannon</v>
          </cell>
          <cell r="R248" t="str">
            <v>Magnum</v>
          </cell>
          <cell r="S248" t="str">
            <v>Battle Armor</v>
          </cell>
          <cell r="T248" t="str">
            <v>Heal Staff</v>
          </cell>
          <cell r="U248" t="str">
            <v>Cure Book</v>
          </cell>
          <cell r="V248"/>
          <cell r="W248"/>
          <cell r="X248" t="str">
            <v>Human</v>
          </cell>
        </row>
        <row r="249">
          <cell r="A249" t="str">
            <v>Ancient</v>
          </cell>
          <cell r="B249" t="str">
            <v>Ancient</v>
          </cell>
          <cell r="C249" t="str">
            <v>5</v>
          </cell>
          <cell r="D249" t="str">
            <v>0</v>
          </cell>
          <cell r="E249">
            <v>0</v>
          </cell>
          <cell r="F249" t="str">
            <v>50</v>
          </cell>
          <cell r="G249" t="str">
            <v>00</v>
          </cell>
          <cell r="H249" t="str">
            <v>2</v>
          </cell>
          <cell r="I249" t="str">
            <v>7</v>
          </cell>
          <cell r="J249">
            <v>999</v>
          </cell>
          <cell r="K249">
            <v>99</v>
          </cell>
          <cell r="L249">
            <v>99</v>
          </cell>
          <cell r="M249">
            <v>99</v>
          </cell>
          <cell r="N249">
            <v>99</v>
          </cell>
          <cell r="O249" t="str">
            <v>7e5f</v>
          </cell>
          <cell r="P249" t="str">
            <v>Masmune Magi</v>
          </cell>
          <cell r="Q249" t="str">
            <v>Aegis Magi</v>
          </cell>
          <cell r="R249" t="str">
            <v>Heart Magi</v>
          </cell>
          <cell r="S249" t="str">
            <v>TrueEye</v>
          </cell>
          <cell r="T249" t="str">
            <v>Pegasus Magi</v>
          </cell>
          <cell r="U249" t="str">
            <v>Flare</v>
          </cell>
          <cell r="V249" t="str">
            <v>O-All</v>
          </cell>
          <cell r="W249" t="str">
            <v>Recover</v>
          </cell>
          <cell r="X249" t="str">
            <v>God</v>
          </cell>
        </row>
        <row r="250">
          <cell r="A250" t="str">
            <v>Haniwa</v>
          </cell>
          <cell r="B250" t="str">
            <v>Haniwa</v>
          </cell>
          <cell r="C250" t="str">
            <v>3</v>
          </cell>
          <cell r="D250" t="str">
            <v>c</v>
          </cell>
          <cell r="E250">
            <v>12</v>
          </cell>
          <cell r="F250" t="str">
            <v>3c</v>
          </cell>
          <cell r="G250" t="str">
            <v>8b</v>
          </cell>
          <cell r="H250" t="str">
            <v>2</v>
          </cell>
          <cell r="I250" t="str">
            <v>5</v>
          </cell>
          <cell r="J250">
            <v>10000</v>
          </cell>
          <cell r="K250">
            <v>90</v>
          </cell>
          <cell r="L250">
            <v>90</v>
          </cell>
          <cell r="M250">
            <v>90</v>
          </cell>
          <cell r="N250">
            <v>90</v>
          </cell>
          <cell r="O250" t="str">
            <v>7e67</v>
          </cell>
          <cell r="P250" t="str">
            <v>Bash</v>
          </cell>
          <cell r="Q250" t="str">
            <v>Quake</v>
          </cell>
          <cell r="R250" t="str">
            <v>Flare</v>
          </cell>
          <cell r="S250" t="str">
            <v>Seven Sword</v>
          </cell>
          <cell r="T250" t="str">
            <v>O-All</v>
          </cell>
          <cell r="U250" t="str">
            <v>Recover</v>
          </cell>
          <cell r="V250"/>
          <cell r="W250"/>
          <cell r="X250" t="str">
            <v>Spirit</v>
          </cell>
        </row>
        <row r="251">
          <cell r="A251" t="str">
            <v>Dolphin</v>
          </cell>
          <cell r="B251" t="str">
            <v>Dolphin</v>
          </cell>
          <cell r="C251" t="str">
            <v>4</v>
          </cell>
          <cell r="D251" t="str">
            <v>9</v>
          </cell>
          <cell r="E251">
            <v>9</v>
          </cell>
          <cell r="F251" t="str">
            <v>49</v>
          </cell>
          <cell r="G251" t="str">
            <v>8a</v>
          </cell>
          <cell r="H251" t="str">
            <v>2</v>
          </cell>
          <cell r="I251" t="str">
            <v>7</v>
          </cell>
          <cell r="J251">
            <v>5000</v>
          </cell>
          <cell r="K251">
            <v>60</v>
          </cell>
          <cell r="L251">
            <v>60</v>
          </cell>
          <cell r="M251">
            <v>60</v>
          </cell>
          <cell r="N251">
            <v>60</v>
          </cell>
          <cell r="O251" t="str">
            <v>7e6d</v>
          </cell>
          <cell r="P251" t="str">
            <v>Electroshock</v>
          </cell>
          <cell r="Q251" t="str">
            <v>Fin</v>
          </cell>
          <cell r="R251" t="str">
            <v>Whirl</v>
          </cell>
          <cell r="S251" t="str">
            <v>Tusk</v>
          </cell>
          <cell r="T251" t="str">
            <v>Thunder</v>
          </cell>
          <cell r="U251" t="str">
            <v>Tail</v>
          </cell>
          <cell r="V251" t="str">
            <v>O-Quake</v>
          </cell>
          <cell r="W251" t="str">
            <v>O-Fire</v>
          </cell>
          <cell r="X251" t="str">
            <v>Aquatic</v>
          </cell>
        </row>
        <row r="252">
          <cell r="A252" t="str">
            <v>OdinCrow</v>
          </cell>
          <cell r="B252" t="str">
            <v>OdinCrow</v>
          </cell>
          <cell r="C252" t="str">
            <v>2</v>
          </cell>
          <cell r="D252" t="str">
            <v>7</v>
          </cell>
          <cell r="E252">
            <v>7</v>
          </cell>
          <cell r="F252" t="str">
            <v>27</v>
          </cell>
          <cell r="G252" t="str">
            <v>16</v>
          </cell>
          <cell r="H252" t="str">
            <v>2</v>
          </cell>
          <cell r="I252" t="str">
            <v>6</v>
          </cell>
          <cell r="J252">
            <v>669</v>
          </cell>
          <cell r="K252">
            <v>75</v>
          </cell>
          <cell r="L252">
            <v>85</v>
          </cell>
          <cell r="M252">
            <v>79</v>
          </cell>
          <cell r="N252">
            <v>69</v>
          </cell>
          <cell r="O252" t="str">
            <v>7bdf</v>
          </cell>
          <cell r="P252" t="str">
            <v>Nail</v>
          </cell>
          <cell r="Q252" t="str">
            <v>Beak</v>
          </cell>
          <cell r="R252" t="str">
            <v>Blind</v>
          </cell>
          <cell r="S252" t="str">
            <v>Tornado</v>
          </cell>
          <cell r="T252" t="str">
            <v>Surprise</v>
          </cell>
          <cell r="U252" t="str">
            <v>Warning</v>
          </cell>
          <cell r="V252" t="str">
            <v>O-Quake</v>
          </cell>
          <cell r="W252"/>
          <cell r="X252" t="str">
            <v>Flyer</v>
          </cell>
        </row>
        <row r="253">
          <cell r="A253" t="str">
            <v>WarMach</v>
          </cell>
          <cell r="B253" t="str">
            <v>WarMach</v>
          </cell>
          <cell r="C253" t="str">
            <v>3</v>
          </cell>
          <cell r="D253" t="str">
            <v>e</v>
          </cell>
          <cell r="E253">
            <v>14</v>
          </cell>
          <cell r="F253" t="str">
            <v>3e</v>
          </cell>
          <cell r="G253" t="str">
            <v>51</v>
          </cell>
          <cell r="H253" t="str">
            <v>3</v>
          </cell>
          <cell r="I253" t="str">
            <v>4</v>
          </cell>
          <cell r="J253">
            <v>10000</v>
          </cell>
          <cell r="K253">
            <v>120</v>
          </cell>
          <cell r="L253">
            <v>60</v>
          </cell>
          <cell r="M253">
            <v>0</v>
          </cell>
          <cell r="N253">
            <v>90</v>
          </cell>
          <cell r="O253" t="str">
            <v>7e7a</v>
          </cell>
          <cell r="P253" t="str">
            <v>Missile</v>
          </cell>
          <cell r="Q253" t="str">
            <v>NukeBomb</v>
          </cell>
          <cell r="R253" t="str">
            <v>Bash</v>
          </cell>
          <cell r="S253" t="str">
            <v>ParaNail</v>
          </cell>
          <cell r="T253" t="str">
            <v>O-Pa/Po</v>
          </cell>
          <cell r="U253"/>
          <cell r="V253"/>
          <cell r="W253"/>
          <cell r="X253" t="str">
            <v>Robot</v>
          </cell>
        </row>
        <row r="254">
          <cell r="A254" t="str">
            <v>Human M</v>
          </cell>
          <cell r="B254" t="str">
            <v>Human M</v>
          </cell>
          <cell r="C254">
            <v>0</v>
          </cell>
          <cell r="D254" t="str">
            <v>0</v>
          </cell>
          <cell r="E254">
            <v>0</v>
          </cell>
          <cell r="F254">
            <v>10</v>
          </cell>
          <cell r="G254" t="str">
            <v>00</v>
          </cell>
          <cell r="H254" t="str">
            <v>0</v>
          </cell>
          <cell r="I254" t="str">
            <v>1</v>
          </cell>
          <cell r="J254">
            <v>59</v>
          </cell>
          <cell r="K254">
            <v>6</v>
          </cell>
          <cell r="L254">
            <v>5</v>
          </cell>
          <cell r="M254">
            <v>3</v>
          </cell>
          <cell r="N254">
            <v>3</v>
          </cell>
          <cell r="O254" t="str">
            <v>7e7f</v>
          </cell>
          <cell r="P254" t="str">
            <v>Long Sword</v>
          </cell>
          <cell r="Q254" t="str">
            <v>Bronze Armor</v>
          </cell>
          <cell r="R254"/>
          <cell r="S254"/>
          <cell r="T254"/>
          <cell r="U254"/>
          <cell r="V254"/>
          <cell r="W254"/>
          <cell r="X254" t="str">
            <v>Human</v>
          </cell>
        </row>
        <row r="255">
          <cell r="A255" t="str">
            <v>Human F</v>
          </cell>
          <cell r="B255" t="str">
            <v>Human F</v>
          </cell>
          <cell r="C255">
            <v>0</v>
          </cell>
          <cell r="D255" t="str">
            <v>0</v>
          </cell>
          <cell r="E255">
            <v>0</v>
          </cell>
          <cell r="F255">
            <v>10</v>
          </cell>
          <cell r="G255" t="str">
            <v>00</v>
          </cell>
          <cell r="H255" t="str">
            <v>0</v>
          </cell>
          <cell r="I255" t="str">
            <v>1</v>
          </cell>
          <cell r="J255">
            <v>52</v>
          </cell>
          <cell r="K255">
            <v>5</v>
          </cell>
          <cell r="L255">
            <v>6</v>
          </cell>
          <cell r="M255">
            <v>4</v>
          </cell>
          <cell r="N255">
            <v>3</v>
          </cell>
          <cell r="O255" t="str">
            <v>7e81</v>
          </cell>
          <cell r="P255" t="str">
            <v>Rapier</v>
          </cell>
          <cell r="Q255" t="str">
            <v>Bronze Armor</v>
          </cell>
          <cell r="R255"/>
          <cell r="S255"/>
          <cell r="T255"/>
          <cell r="U255"/>
          <cell r="V255"/>
          <cell r="W255"/>
          <cell r="X255" t="str">
            <v>Human</v>
          </cell>
        </row>
        <row r="256">
          <cell r="A256" t="str">
            <v>Mutant M</v>
          </cell>
          <cell r="B256" t="str">
            <v>Mutant M</v>
          </cell>
          <cell r="C256">
            <v>1</v>
          </cell>
          <cell r="D256" t="str">
            <v>0</v>
          </cell>
          <cell r="E256">
            <v>0</v>
          </cell>
          <cell r="F256">
            <v>20</v>
          </cell>
          <cell r="G256" t="str">
            <v>00</v>
          </cell>
          <cell r="H256" t="str">
            <v>1</v>
          </cell>
          <cell r="I256" t="str">
            <v>2</v>
          </cell>
          <cell r="J256">
            <v>52</v>
          </cell>
          <cell r="K256">
            <v>5</v>
          </cell>
          <cell r="L256">
            <v>4</v>
          </cell>
          <cell r="M256">
            <v>6</v>
          </cell>
          <cell r="N256">
            <v>3</v>
          </cell>
          <cell r="O256" t="str">
            <v>7e83</v>
          </cell>
          <cell r="P256" t="str">
            <v>Hammer</v>
          </cell>
          <cell r="Q256" t="str">
            <v>Blizzard</v>
          </cell>
          <cell r="R256" t="str">
            <v>Bronze Armor</v>
          </cell>
          <cell r="S256"/>
          <cell r="T256"/>
          <cell r="U256"/>
          <cell r="V256"/>
          <cell r="W256"/>
          <cell r="X256" t="str">
            <v>Mutant</v>
          </cell>
        </row>
        <row r="257">
          <cell r="A257" t="str">
            <v>Mutant F</v>
          </cell>
          <cell r="B257" t="str">
            <v>Mutant F</v>
          </cell>
          <cell r="C257">
            <v>1</v>
          </cell>
          <cell r="D257" t="str">
            <v>0</v>
          </cell>
          <cell r="E257">
            <v>0</v>
          </cell>
          <cell r="F257" t="str">
            <v>20</v>
          </cell>
          <cell r="G257" t="str">
            <v>00</v>
          </cell>
          <cell r="H257" t="str">
            <v>1</v>
          </cell>
          <cell r="I257" t="str">
            <v>2</v>
          </cell>
          <cell r="J257">
            <v>45</v>
          </cell>
          <cell r="K257">
            <v>4</v>
          </cell>
          <cell r="L257">
            <v>5</v>
          </cell>
          <cell r="M257">
            <v>6</v>
          </cell>
          <cell r="N257">
            <v>3</v>
          </cell>
          <cell r="O257" t="str">
            <v>7e86</v>
          </cell>
          <cell r="P257" t="str">
            <v>Bow</v>
          </cell>
          <cell r="Q257" t="str">
            <v>Flame</v>
          </cell>
          <cell r="R257" t="str">
            <v>Bronze Armor</v>
          </cell>
          <cell r="S257"/>
          <cell r="T257"/>
          <cell r="U257"/>
          <cell r="V257"/>
          <cell r="W257"/>
          <cell r="X257" t="str">
            <v>Mutant</v>
          </cell>
        </row>
        <row r="258">
          <cell r="A258" t="str">
            <v>Robot</v>
          </cell>
          <cell r="B258" t="str">
            <v>Robot</v>
          </cell>
          <cell r="C258">
            <v>0</v>
          </cell>
          <cell r="D258" t="str">
            <v>0</v>
          </cell>
          <cell r="E258">
            <v>0</v>
          </cell>
          <cell r="F258" t="str">
            <v>10</v>
          </cell>
          <cell r="G258" t="str">
            <v>00</v>
          </cell>
          <cell r="H258" t="str">
            <v>3</v>
          </cell>
          <cell r="I258" t="str">
            <v>1</v>
          </cell>
          <cell r="J258">
            <v>60</v>
          </cell>
          <cell r="K258">
            <v>6</v>
          </cell>
          <cell r="L258">
            <v>5</v>
          </cell>
          <cell r="M258">
            <v>0</v>
          </cell>
          <cell r="N258">
            <v>6</v>
          </cell>
          <cell r="O258" t="str">
            <v>7e89</v>
          </cell>
          <cell r="P258" t="str">
            <v>Colt</v>
          </cell>
          <cell r="Q258" t="str">
            <v>O-Pa/Po</v>
          </cell>
          <cell r="R258"/>
          <cell r="S258"/>
          <cell r="T258"/>
          <cell r="U258"/>
          <cell r="V258"/>
          <cell r="W258"/>
          <cell r="X258" t="str">
            <v>Robot</v>
          </cell>
        </row>
        <row r="259">
          <cell r="A259" t="str">
            <v>Ooze</v>
          </cell>
          <cell r="B259" t="str">
            <v>Ooze</v>
          </cell>
          <cell r="C259">
            <v>0</v>
          </cell>
          <cell r="D259" t="str">
            <v>1</v>
          </cell>
          <cell r="E259">
            <v>1</v>
          </cell>
          <cell r="F259" t="str">
            <v>11</v>
          </cell>
          <cell r="G259" t="str">
            <v>00</v>
          </cell>
          <cell r="H259" t="str">
            <v>2</v>
          </cell>
          <cell r="I259" t="str">
            <v>1</v>
          </cell>
          <cell r="J259">
            <v>52</v>
          </cell>
          <cell r="K259">
            <v>5</v>
          </cell>
          <cell r="L259">
            <v>2</v>
          </cell>
          <cell r="M259">
            <v>6</v>
          </cell>
          <cell r="N259">
            <v>5</v>
          </cell>
          <cell r="O259" t="str">
            <v>7e8b</v>
          </cell>
          <cell r="P259" t="str">
            <v>Dissolve</v>
          </cell>
          <cell r="Q259" t="str">
            <v>P-Skin</v>
          </cell>
          <cell r="R259" t="str">
            <v>X-Fire</v>
          </cell>
          <cell r="S259"/>
          <cell r="T259"/>
          <cell r="U259"/>
          <cell r="V259"/>
          <cell r="W259"/>
          <cell r="X259" t="str">
            <v>Aberration</v>
          </cell>
        </row>
        <row r="260">
          <cell r="A260" t="str">
            <v>Hatchling</v>
          </cell>
          <cell r="B260" t="str">
            <v>Hatchling</v>
          </cell>
          <cell r="C260" t="str">
            <v>1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2</v>
          </cell>
          <cell r="J260">
            <v>45</v>
          </cell>
          <cell r="K260">
            <v>5</v>
          </cell>
          <cell r="L260">
            <v>2</v>
          </cell>
          <cell r="M260">
            <v>6</v>
          </cell>
          <cell r="N260">
            <v>5</v>
          </cell>
          <cell r="O260" t="str">
            <v>7e8d</v>
          </cell>
          <cell r="P260" t="str">
            <v>Nail</v>
          </cell>
          <cell r="Q260" t="str">
            <v>Flame</v>
          </cell>
          <cell r="R260" t="str">
            <v>O-Quake</v>
          </cell>
          <cell r="S260"/>
          <cell r="T260"/>
          <cell r="U260"/>
          <cell r="V260"/>
          <cell r="W260"/>
          <cell r="X260" t="str">
            <v>Great Reptile</v>
          </cell>
        </row>
        <row r="261">
          <cell r="A261" t="str">
            <v>Imp</v>
          </cell>
          <cell r="B261" t="str">
            <v>Imp</v>
          </cell>
          <cell r="C261">
            <v>2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1</v>
          </cell>
          <cell r="J261">
            <v>45</v>
          </cell>
          <cell r="K261">
            <v>5</v>
          </cell>
          <cell r="L261">
            <v>5</v>
          </cell>
          <cell r="M261">
            <v>6</v>
          </cell>
          <cell r="N261">
            <v>5</v>
          </cell>
          <cell r="O261" t="str">
            <v>7e90</v>
          </cell>
          <cell r="P261" t="str">
            <v>Nail</v>
          </cell>
          <cell r="Q261" t="str">
            <v>Sleep</v>
          </cell>
          <cell r="R261" t="str">
            <v>Fire</v>
          </cell>
          <cell r="S261"/>
          <cell r="T261"/>
          <cell r="U261"/>
          <cell r="V261"/>
          <cell r="W261"/>
          <cell r="X261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/>
          <cell r="N29" t="str">
            <v>Str</v>
          </cell>
          <cell r="O29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+6</v>
          </cell>
          <cell r="N36" t="str">
            <v>Str</v>
          </cell>
          <cell r="O36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>
            <v>0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3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4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5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5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/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6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>
            <v>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 t="str">
            <v>14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>
            <v>0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>
            <v>13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>
            <v>13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>
            <v>13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>
            <v>20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>
            <v>20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>
            <v>13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 t="str">
            <v>22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>
            <v>20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 t="str">
            <v>26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>
            <v>20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>
            <v>0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 t="str">
            <v>26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>
            <v>0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Heal</v>
          </cell>
          <cell r="B175" t="str">
            <v>Heal</v>
          </cell>
          <cell r="C175" t="str">
            <v>Heal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Poison</v>
          </cell>
          <cell r="B183" t="str">
            <v>Poison</v>
          </cell>
          <cell r="C183" t="str">
            <v>Poison</v>
          </cell>
          <cell r="D183"/>
          <cell r="E183"/>
          <cell r="F183"/>
          <cell r="G183">
            <v>15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Powder</v>
          </cell>
          <cell r="B216" t="str">
            <v>Powder</v>
          </cell>
          <cell r="C216" t="str">
            <v>Powder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X-Fire</v>
          </cell>
          <cell r="B250" t="str">
            <v>X-Fire</v>
          </cell>
          <cell r="C250" t="str">
            <v>Fire</v>
          </cell>
          <cell r="D250" t="str">
            <v>X</v>
          </cell>
          <cell r="E250">
            <v>240</v>
          </cell>
          <cell r="F250" t="str">
            <v>F0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X-Ice</v>
          </cell>
          <cell r="B251" t="str">
            <v>X-Ice</v>
          </cell>
          <cell r="C251" t="str">
            <v>Ice</v>
          </cell>
          <cell r="D251" t="str">
            <v>X</v>
          </cell>
          <cell r="E251">
            <v>241</v>
          </cell>
          <cell r="F251" t="str">
            <v>F1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X-Thunder</v>
          </cell>
          <cell r="B252" t="str">
            <v>X-Thunder</v>
          </cell>
          <cell r="C252" t="str">
            <v>Thunder</v>
          </cell>
          <cell r="D252" t="str">
            <v>X</v>
          </cell>
          <cell r="E252">
            <v>242</v>
          </cell>
          <cell r="F252" t="str">
            <v>F2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Teleport</v>
          </cell>
          <cell r="B253" t="str">
            <v>Teleport</v>
          </cell>
          <cell r="C253" t="str">
            <v>Teleport</v>
          </cell>
          <cell r="D253"/>
          <cell r="E253">
            <v>243</v>
          </cell>
          <cell r="F253" t="str">
            <v>F3</v>
          </cell>
          <cell r="G253">
            <v>30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Remedy</v>
          </cell>
          <cell r="B254" t="str">
            <v>Remedy</v>
          </cell>
          <cell r="C254" t="str">
            <v>Remedy</v>
          </cell>
          <cell r="D254"/>
          <cell r="E254">
            <v>244</v>
          </cell>
          <cell r="F254" t="str">
            <v>F4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O-All</v>
          </cell>
          <cell r="B255" t="str">
            <v>O-All</v>
          </cell>
          <cell r="C255" t="str">
            <v>All</v>
          </cell>
          <cell r="D255" t="str">
            <v>O</v>
          </cell>
          <cell r="E255">
            <v>245</v>
          </cell>
          <cell r="F255" t="str">
            <v>F5</v>
          </cell>
          <cell r="G255">
            <v>-2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PoisonBurst</v>
          </cell>
          <cell r="B256" t="str">
            <v>PoisonBurst</v>
          </cell>
          <cell r="C256" t="str">
            <v>PoisonBurst</v>
          </cell>
          <cell r="D256"/>
          <cell r="E256">
            <v>246</v>
          </cell>
          <cell r="F256" t="str">
            <v>F6</v>
          </cell>
          <cell r="G256">
            <v>15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FlareApollo</v>
          </cell>
          <cell r="B257" t="str">
            <v>FlareApollo</v>
          </cell>
          <cell r="C257" t="str">
            <v>Flare</v>
          </cell>
          <cell r="D257" t="str">
            <v>Apollo</v>
          </cell>
          <cell r="E257">
            <v>250</v>
          </cell>
          <cell r="F257" t="str">
            <v>FA</v>
          </cell>
          <cell r="G257">
            <v>-2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Smasher</v>
          </cell>
          <cell r="B258" t="str">
            <v>Smasher</v>
          </cell>
          <cell r="C258" t="str">
            <v>Smasher</v>
          </cell>
          <cell r="D258"/>
          <cell r="E258">
            <v>253</v>
          </cell>
          <cell r="F258" t="str">
            <v>FD</v>
          </cell>
          <cell r="G258">
            <v>30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Recover</v>
          </cell>
          <cell r="B259" t="str">
            <v>Recover</v>
          </cell>
          <cell r="C259" t="str">
            <v>Recover</v>
          </cell>
          <cell r="D259"/>
          <cell r="E259">
            <v>254</v>
          </cell>
          <cell r="F259" t="str">
            <v>FE</v>
          </cell>
          <cell r="G259">
            <v>-2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Power Magi</v>
          </cell>
          <cell r="B260" t="str">
            <v>Power Magi</v>
          </cell>
          <cell r="C260" t="str">
            <v>Power</v>
          </cell>
          <cell r="D260" t="str">
            <v>Magi</v>
          </cell>
          <cell r="E260">
            <v>256</v>
          </cell>
          <cell r="F260">
            <v>100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 t="str">
            <v>Str +22</v>
          </cell>
          <cell r="N260" t="str">
            <v>Str</v>
          </cell>
          <cell r="O260" t="str">
            <v>22</v>
          </cell>
        </row>
        <row r="261">
          <cell r="A261" t="str">
            <v>Speed Magi</v>
          </cell>
          <cell r="B261" t="str">
            <v>Speed Magi</v>
          </cell>
          <cell r="C261" t="str">
            <v>Speed</v>
          </cell>
          <cell r="D261" t="str">
            <v>Magi</v>
          </cell>
          <cell r="E261">
            <v>257</v>
          </cell>
          <cell r="F261" t="str">
            <v>101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Agl +22</v>
          </cell>
          <cell r="N261">
            <v>0</v>
          </cell>
          <cell r="O261">
            <v>0</v>
          </cell>
        </row>
        <row r="262">
          <cell r="A262" t="str">
            <v>Mana Magi</v>
          </cell>
          <cell r="B262" t="str">
            <v>Mana Magi</v>
          </cell>
          <cell r="C262" t="str">
            <v>Mana</v>
          </cell>
          <cell r="D262" t="str">
            <v>Magi</v>
          </cell>
          <cell r="E262">
            <v>258</v>
          </cell>
          <cell r="F262" t="str">
            <v>102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Defense Magi</v>
          </cell>
          <cell r="B263" t="str">
            <v>Defense Magi</v>
          </cell>
          <cell r="C263" t="str">
            <v>Defense</v>
          </cell>
          <cell r="D263" t="str">
            <v>Magi</v>
          </cell>
          <cell r="E263">
            <v>259</v>
          </cell>
          <cell r="F263" t="str">
            <v>103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 t="str">
            <v>Def +22</v>
          </cell>
          <cell r="N263" t="str">
            <v>Def</v>
          </cell>
          <cell r="O263" t="str">
            <v>22</v>
          </cell>
        </row>
        <row r="264">
          <cell r="A264" t="str">
            <v>Fire Magi</v>
          </cell>
          <cell r="B264" t="str">
            <v>Fire Magi</v>
          </cell>
          <cell r="C264" t="str">
            <v>Fire</v>
          </cell>
          <cell r="D264" t="str">
            <v>Magi</v>
          </cell>
          <cell r="E264">
            <v>260</v>
          </cell>
          <cell r="F264" t="str">
            <v>104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>
            <v>0</v>
          </cell>
          <cell r="N264">
            <v>0</v>
          </cell>
          <cell r="O264">
            <v>0</v>
          </cell>
        </row>
        <row r="265">
          <cell r="A265" t="str">
            <v>Ice Magi</v>
          </cell>
          <cell r="B265" t="str">
            <v>Ice Magi</v>
          </cell>
          <cell r="C265" t="str">
            <v>Ice</v>
          </cell>
          <cell r="D265" t="str">
            <v>Magi</v>
          </cell>
          <cell r="E265">
            <v>261</v>
          </cell>
          <cell r="F265" t="str">
            <v>105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Thunder Magi</v>
          </cell>
          <cell r="B266" t="str">
            <v>Thunder Magi</v>
          </cell>
          <cell r="C266" t="str">
            <v>Thunder</v>
          </cell>
          <cell r="D266" t="str">
            <v>Magi</v>
          </cell>
          <cell r="E266">
            <v>262</v>
          </cell>
          <cell r="F266" t="str">
            <v>106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Poison Magi</v>
          </cell>
          <cell r="B267" t="str">
            <v>Poison Magi</v>
          </cell>
          <cell r="C267" t="str">
            <v>Poison</v>
          </cell>
          <cell r="D267" t="str">
            <v>Magi</v>
          </cell>
          <cell r="E267">
            <v>263</v>
          </cell>
          <cell r="F267" t="str">
            <v>107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O-Dragon</v>
          </cell>
          <cell r="B268" t="str">
            <v>O-Dragon</v>
          </cell>
          <cell r="C268" t="str">
            <v>Dragon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>
            <v>0</v>
          </cell>
          <cell r="O268">
            <v>0</v>
          </cell>
        </row>
        <row r="269">
          <cell r="A269" t="str">
            <v>kW B-Exp</v>
          </cell>
          <cell r="B269" t="str">
            <v>kW B-Exp</v>
          </cell>
          <cell r="C269"/>
          <cell r="D269"/>
          <cell r="E269"/>
          <cell r="F269"/>
          <cell r="G269">
            <v>-2</v>
          </cell>
          <cell r="H269"/>
          <cell r="I269"/>
          <cell r="J269"/>
          <cell r="K269"/>
          <cell r="L269">
            <v>18</v>
          </cell>
          <cell r="M269"/>
          <cell r="N269" t="str">
            <v>Str</v>
          </cell>
          <cell r="O269">
            <v>8</v>
          </cell>
        </row>
        <row r="270">
          <cell r="A270" t="str">
            <v>MM Book</v>
          </cell>
          <cell r="B270" t="str">
            <v>MM Book</v>
          </cell>
          <cell r="C270" t="str">
            <v>MM</v>
          </cell>
          <cell r="D270" t="str">
            <v>Book</v>
          </cell>
          <cell r="E270"/>
          <cell r="F270"/>
          <cell r="G270">
            <v>30</v>
          </cell>
          <cell r="H270">
            <v>400</v>
          </cell>
          <cell r="I270"/>
          <cell r="J270"/>
          <cell r="K270"/>
          <cell r="L270">
            <v>0</v>
          </cell>
          <cell r="M270"/>
          <cell r="N270">
            <v>0</v>
          </cell>
          <cell r="O270">
            <v>0</v>
          </cell>
        </row>
        <row r="271">
          <cell r="A271" t="str">
            <v>PowerUp</v>
          </cell>
          <cell r="B271" t="str">
            <v>PowerUp</v>
          </cell>
          <cell r="C271" t="str">
            <v>PowerUp</v>
          </cell>
          <cell r="D271"/>
          <cell r="E271"/>
          <cell r="F271"/>
          <cell r="G271">
            <v>15</v>
          </cell>
          <cell r="H271"/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Windstorm</v>
          </cell>
          <cell r="B272" t="str">
            <v>Windstorm</v>
          </cell>
          <cell r="C272"/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Sandblast</v>
          </cell>
          <cell r="B273" t="str">
            <v>Sandblast</v>
          </cell>
          <cell r="C273"/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O-Death</v>
          </cell>
          <cell r="B274" t="str">
            <v>O-Death</v>
          </cell>
          <cell r="C274" t="str">
            <v>Death</v>
          </cell>
          <cell r="D274" t="str">
            <v>O</v>
          </cell>
          <cell r="E274"/>
          <cell r="F274"/>
          <cell r="G274">
            <v>-2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O-Thunder</v>
          </cell>
          <cell r="B275" t="str">
            <v>O-Thunder</v>
          </cell>
          <cell r="C275" t="str">
            <v>Thunder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AreaCure</v>
          </cell>
          <cell r="B276" t="str">
            <v>AreaCure</v>
          </cell>
          <cell r="C276"/>
          <cell r="D276"/>
          <cell r="E276"/>
          <cell r="F276"/>
          <cell r="G276">
            <v>10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Storm Shield</v>
          </cell>
          <cell r="B277" t="str">
            <v>Storm Shield</v>
          </cell>
          <cell r="C277" t="str">
            <v>Storm</v>
          </cell>
          <cell r="D277" t="str">
            <v>Shield</v>
          </cell>
          <cell r="E277"/>
          <cell r="F277"/>
          <cell r="G277">
            <v>30</v>
          </cell>
          <cell r="H277"/>
          <cell r="I277"/>
          <cell r="J277"/>
          <cell r="K277"/>
          <cell r="L277">
            <v>81</v>
          </cell>
          <cell r="M277"/>
          <cell r="N277" t="str">
            <v>Def</v>
          </cell>
          <cell r="O277">
            <v>18</v>
          </cell>
        </row>
        <row r="278">
          <cell r="A278" t="str">
            <v>Bite</v>
          </cell>
          <cell r="B278" t="str">
            <v>Bite</v>
          </cell>
          <cell r="C278" t="str">
            <v>Bite</v>
          </cell>
          <cell r="D278"/>
          <cell r="E278">
            <v>129</v>
          </cell>
          <cell r="F278">
            <v>81</v>
          </cell>
          <cell r="G278">
            <v>15</v>
          </cell>
          <cell r="H278"/>
          <cell r="I278"/>
          <cell r="J278"/>
          <cell r="K278"/>
          <cell r="L278">
            <v>9</v>
          </cell>
          <cell r="M278">
            <v>0</v>
          </cell>
          <cell r="N278">
            <v>0</v>
          </cell>
          <cell r="O278">
            <v>0</v>
          </cell>
        </row>
        <row r="279">
          <cell r="A279" t="str">
            <v>Crash</v>
          </cell>
          <cell r="B279" t="str">
            <v>Crash</v>
          </cell>
          <cell r="C279" t="str">
            <v>Crash</v>
          </cell>
          <cell r="D279"/>
          <cell r="E279"/>
          <cell r="F279"/>
          <cell r="G279">
            <v>5</v>
          </cell>
          <cell r="H279"/>
          <cell r="I279"/>
          <cell r="J279"/>
          <cell r="K279"/>
          <cell r="L279"/>
          <cell r="M279"/>
          <cell r="N279"/>
          <cell r="O279"/>
        </row>
        <row r="280">
          <cell r="A280" t="str">
            <v>Wait</v>
          </cell>
          <cell r="B280" t="str">
            <v>Wait</v>
          </cell>
          <cell r="C280" t="str">
            <v>Wait</v>
          </cell>
          <cell r="D280"/>
          <cell r="E280"/>
          <cell r="F280"/>
          <cell r="G280">
            <v>99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T-Kimono</v>
          </cell>
          <cell r="B281" t="str">
            <v>T-Kimono</v>
          </cell>
          <cell r="C281" t="str">
            <v>Kimono</v>
          </cell>
          <cell r="D281" t="str">
            <v>Torn</v>
          </cell>
          <cell r="E281"/>
          <cell r="F281"/>
          <cell r="G281">
            <v>-2</v>
          </cell>
          <cell r="H281"/>
          <cell r="I281">
            <v>2</v>
          </cell>
          <cell r="J281" t="str">
            <v>Agl</v>
          </cell>
          <cell r="K281">
            <v>1</v>
          </cell>
          <cell r="L281"/>
          <cell r="M281"/>
          <cell r="N281"/>
          <cell r="O281"/>
        </row>
        <row r="282">
          <cell r="A282" t="str">
            <v>Spit</v>
          </cell>
          <cell r="B282" t="str">
            <v>Spit</v>
          </cell>
          <cell r="G282">
            <v>15</v>
          </cell>
        </row>
        <row r="283">
          <cell r="A283" t="str">
            <v>Decapitate</v>
          </cell>
          <cell r="B283" t="str">
            <v>Decapitate</v>
          </cell>
          <cell r="C283" t="str">
            <v>Decapitate</v>
          </cell>
          <cell r="G283">
            <v>10</v>
          </cell>
        </row>
        <row r="284">
          <cell r="A284" t="str">
            <v>Roar</v>
          </cell>
          <cell r="B284" t="str">
            <v>Roar</v>
          </cell>
          <cell r="C284" t="str">
            <v>Roar</v>
          </cell>
          <cell r="G284">
            <v>10</v>
          </cell>
        </row>
        <row r="285">
          <cell r="A285" t="str">
            <v>Sting</v>
          </cell>
          <cell r="B285" t="str">
            <v>Sting</v>
          </cell>
          <cell r="C285" t="str">
            <v>Sting</v>
          </cell>
          <cell r="G285">
            <v>30</v>
          </cell>
        </row>
        <row r="286">
          <cell r="A286" t="str">
            <v>Repeat X-Bow</v>
          </cell>
          <cell r="B286" t="str">
            <v>Repeat X-Bow</v>
          </cell>
          <cell r="D286" t="str">
            <v>Bow</v>
          </cell>
          <cell r="G286">
            <v>40</v>
          </cell>
          <cell r="H286">
            <v>11000</v>
          </cell>
          <cell r="L286">
            <v>63</v>
          </cell>
          <cell r="N286" t="str">
            <v>Agl</v>
          </cell>
          <cell r="O286">
            <v>10</v>
          </cell>
        </row>
        <row r="287">
          <cell r="A287" t="str">
            <v>Psi Flurry</v>
          </cell>
          <cell r="B287" t="str">
            <v>Psi Flurry</v>
          </cell>
          <cell r="G287">
            <v>10</v>
          </cell>
        </row>
        <row r="288">
          <cell r="A288" t="str">
            <v>Hex</v>
          </cell>
          <cell r="B288" t="str">
            <v>Hex</v>
          </cell>
          <cell r="G288">
            <v>15</v>
          </cell>
        </row>
        <row r="289">
          <cell r="A289" t="str">
            <v>Charge</v>
          </cell>
          <cell r="B289" t="str">
            <v>Charge</v>
          </cell>
          <cell r="C289" t="str">
            <v>Charge</v>
          </cell>
          <cell r="G289">
            <v>10</v>
          </cell>
        </row>
        <row r="290">
          <cell r="A290" t="str">
            <v>DiveBomb</v>
          </cell>
          <cell r="B290" t="str">
            <v>DiveBomb</v>
          </cell>
          <cell r="C290" t="str">
            <v>DiveBomb</v>
          </cell>
          <cell r="G290">
            <v>15</v>
          </cell>
        </row>
        <row r="291">
          <cell r="A291" t="str">
            <v>Trample</v>
          </cell>
          <cell r="B291" t="str">
            <v>Trample</v>
          </cell>
          <cell r="C291" t="str">
            <v>Trample</v>
          </cell>
          <cell r="G291">
            <v>15</v>
          </cell>
        </row>
        <row r="292">
          <cell r="A292" t="str">
            <v>BURNING FINGER</v>
          </cell>
          <cell r="B292" t="str">
            <v>BURNING FINGER</v>
          </cell>
          <cell r="G292">
            <v>99</v>
          </cell>
        </row>
        <row r="293">
          <cell r="A293" t="str">
            <v>GOLDEN GUN</v>
          </cell>
          <cell r="B293" t="str">
            <v>GOLDEN GUN</v>
          </cell>
          <cell r="G293">
            <v>99</v>
          </cell>
        </row>
        <row r="294">
          <cell r="A294" t="str">
            <v>Hammer of Sol</v>
          </cell>
          <cell r="B294" t="str">
            <v>Hammer of Sol</v>
          </cell>
          <cell r="G294">
            <v>99</v>
          </cell>
        </row>
        <row r="295">
          <cell r="A295" t="str">
            <v>Beretta</v>
          </cell>
          <cell r="B295" t="str">
            <v>Beretta</v>
          </cell>
          <cell r="G295">
            <v>50</v>
          </cell>
          <cell r="H295">
            <v>400</v>
          </cell>
          <cell r="L295">
            <v>18</v>
          </cell>
          <cell r="N295" t="str">
            <v>Str</v>
          </cell>
          <cell r="O295">
            <v>4</v>
          </cell>
        </row>
        <row r="296">
          <cell r="A296" t="str">
            <v>None</v>
          </cell>
          <cell r="B296" t="str">
            <v>None</v>
          </cell>
          <cell r="G296">
            <v>99</v>
          </cell>
        </row>
        <row r="297">
          <cell r="A297" t="str">
            <v>Clipper</v>
          </cell>
          <cell r="B297" t="str">
            <v>Clipper</v>
          </cell>
          <cell r="G297">
            <v>20</v>
          </cell>
          <cell r="H297">
            <v>1400</v>
          </cell>
          <cell r="L297">
            <v>18</v>
          </cell>
          <cell r="N297" t="str">
            <v>Str</v>
          </cell>
          <cell r="O297">
            <v>2</v>
          </cell>
        </row>
        <row r="298">
          <cell r="A298" t="str">
            <v>Goggles</v>
          </cell>
          <cell r="B298" t="str">
            <v>Goggles</v>
          </cell>
          <cell r="C298" t="str">
            <v>Goggles</v>
          </cell>
          <cell r="D298" t="str">
            <v>Helm</v>
          </cell>
          <cell r="G298">
            <v>-2</v>
          </cell>
          <cell r="H298">
            <v>6800</v>
          </cell>
          <cell r="I298">
            <v>2</v>
          </cell>
          <cell r="L298">
            <v>27</v>
          </cell>
          <cell r="N298" t="str">
            <v>Def</v>
          </cell>
          <cell r="O298">
            <v>2</v>
          </cell>
        </row>
        <row r="299">
          <cell r="A299" t="str">
            <v>Psi Smash</v>
          </cell>
          <cell r="B299" t="str">
            <v>Psi Smash</v>
          </cell>
          <cell r="G299">
            <v>15</v>
          </cell>
        </row>
        <row r="300">
          <cell r="A300" t="str">
            <v>Needles</v>
          </cell>
          <cell r="B300" t="str">
            <v>Needles</v>
          </cell>
          <cell r="C300" t="str">
            <v>Needles</v>
          </cell>
          <cell r="G300">
            <v>15</v>
          </cell>
        </row>
        <row r="301">
          <cell r="A301" t="str">
            <v>Tail Spikes</v>
          </cell>
          <cell r="B301" t="str">
            <v>Tail Spikes</v>
          </cell>
          <cell r="C301" t="str">
            <v>Tail Spikes</v>
          </cell>
          <cell r="G301">
            <v>15</v>
          </cell>
        </row>
        <row r="302">
          <cell r="A302" t="str">
            <v>Fissure</v>
          </cell>
          <cell r="B302" t="str">
            <v>Fissure</v>
          </cell>
          <cell r="C302" t="str">
            <v>Fissure</v>
          </cell>
          <cell r="G302">
            <v>15</v>
          </cell>
        </row>
        <row r="303">
          <cell r="A303" t="str">
            <v>Chain Lightning</v>
          </cell>
          <cell r="B303" t="str">
            <v>Chain Lightning</v>
          </cell>
          <cell r="C303" t="str">
            <v>Chain Lightning</v>
          </cell>
          <cell r="G303">
            <v>10</v>
          </cell>
        </row>
        <row r="304">
          <cell r="A304" t="str">
            <v>Inferno</v>
          </cell>
          <cell r="B304" t="str">
            <v>Inferno</v>
          </cell>
          <cell r="C304" t="str">
            <v>Inferno</v>
          </cell>
          <cell r="G304">
            <v>10</v>
          </cell>
        </row>
        <row r="305">
          <cell r="A305" t="str">
            <v>Stopping Pulse</v>
          </cell>
          <cell r="B305" t="str">
            <v>Stopping Pulse</v>
          </cell>
          <cell r="C305" t="str">
            <v>Stopping Pulse</v>
          </cell>
          <cell r="G305">
            <v>99</v>
          </cell>
        </row>
        <row r="306">
          <cell r="A306" t="str">
            <v>Wracking Pulse</v>
          </cell>
          <cell r="B306" t="str">
            <v>Wracking Pulse</v>
          </cell>
          <cell r="C306" t="str">
            <v>Wracking Pulse</v>
          </cell>
          <cell r="G306">
            <v>99</v>
          </cell>
        </row>
        <row r="307">
          <cell r="A307" t="str">
            <v>Cure Beam</v>
          </cell>
          <cell r="B307" t="str">
            <v>Cure Beam</v>
          </cell>
          <cell r="C307" t="str">
            <v>Cure</v>
          </cell>
          <cell r="D307" t="str">
            <v>Gun</v>
          </cell>
          <cell r="G307">
            <v>20</v>
          </cell>
          <cell r="H307">
            <v>1400</v>
          </cell>
          <cell r="L307">
            <v>27</v>
          </cell>
        </row>
        <row r="308">
          <cell r="A308" t="str">
            <v>Cannon</v>
          </cell>
          <cell r="B308" t="str">
            <v>Cannon</v>
          </cell>
          <cell r="C308" t="str">
            <v>Cannon</v>
          </cell>
          <cell r="G308">
            <v>15</v>
          </cell>
          <cell r="H308">
            <v>3200</v>
          </cell>
          <cell r="L308">
            <v>36</v>
          </cell>
          <cell r="N308" t="str">
            <v>Str</v>
          </cell>
          <cell r="O308">
            <v>8</v>
          </cell>
        </row>
        <row r="309">
          <cell r="A309" t="str">
            <v>Visage</v>
          </cell>
          <cell r="B309" t="str">
            <v>Visage</v>
          </cell>
          <cell r="C309" t="str">
            <v>Visage</v>
          </cell>
          <cell r="G309">
            <v>15</v>
          </cell>
        </row>
        <row r="310">
          <cell r="A310" t="str">
            <v>Presence</v>
          </cell>
          <cell r="B310" t="str">
            <v>Presence</v>
          </cell>
          <cell r="C310" t="str">
            <v>Presence</v>
          </cell>
          <cell r="G310">
            <v>10</v>
          </cell>
        </row>
        <row r="311">
          <cell r="A311" t="str">
            <v>Tremor</v>
          </cell>
          <cell r="B311" t="str">
            <v>Tremor</v>
          </cell>
          <cell r="C311" t="str">
            <v>Tremor</v>
          </cell>
          <cell r="G311">
            <v>10</v>
          </cell>
        </row>
        <row r="312">
          <cell r="A312" t="str">
            <v>Multi-attack</v>
          </cell>
          <cell r="B312" t="str">
            <v>Multi-attack</v>
          </cell>
          <cell r="C312" t="str">
            <v>Multi-attack</v>
          </cell>
          <cell r="G312">
            <v>5</v>
          </cell>
        </row>
        <row r="313">
          <cell r="A313" t="str">
            <v>Drop</v>
          </cell>
          <cell r="B313" t="str">
            <v>Drop</v>
          </cell>
          <cell r="C313" t="str">
            <v>Drop</v>
          </cell>
          <cell r="G313">
            <v>15</v>
          </cell>
        </row>
        <row r="314">
          <cell r="A314" t="str">
            <v>Stone Rain</v>
          </cell>
          <cell r="B314" t="str">
            <v>Stone Rain</v>
          </cell>
          <cell r="C314" t="str">
            <v>Stone Rain</v>
          </cell>
          <cell r="G314">
            <v>5</v>
          </cell>
        </row>
        <row r="315">
          <cell r="A315" t="str">
            <v>Goblin Torch</v>
          </cell>
          <cell r="B315" t="str">
            <v>Goblin Torch</v>
          </cell>
          <cell r="C315" t="str">
            <v>Goblin</v>
          </cell>
          <cell r="D315" t="str">
            <v>Gun</v>
          </cell>
          <cell r="E315">
            <v>95</v>
          </cell>
          <cell r="F315" t="str">
            <v>5F</v>
          </cell>
          <cell r="G315">
            <v>30</v>
          </cell>
          <cell r="H315">
            <v>6800</v>
          </cell>
          <cell r="I315"/>
          <cell r="J315"/>
          <cell r="K315"/>
          <cell r="L315">
            <v>45</v>
          </cell>
          <cell r="M315">
            <v>0</v>
          </cell>
          <cell r="N315">
            <v>0</v>
          </cell>
          <cell r="O315">
            <v>0</v>
          </cell>
        </row>
        <row r="316">
          <cell r="A316" t="str">
            <v>Goblin Mech</v>
          </cell>
          <cell r="B316" t="str">
            <v>Goblin Mech</v>
          </cell>
          <cell r="H316">
            <v>17000</v>
          </cell>
        </row>
        <row r="317">
          <cell r="A317" t="str">
            <v>Entangle</v>
          </cell>
          <cell r="B317" t="str">
            <v>Entangle</v>
          </cell>
          <cell r="C317" t="str">
            <v>Entangle</v>
          </cell>
          <cell r="G317">
            <v>15</v>
          </cell>
          <cell r="L317">
            <v>9</v>
          </cell>
          <cell r="N317">
            <v>0</v>
          </cell>
          <cell r="O317">
            <v>0</v>
          </cell>
        </row>
        <row r="318">
          <cell r="A318" t="str">
            <v>Lullaby</v>
          </cell>
          <cell r="B318" t="str">
            <v>Lullaby</v>
          </cell>
          <cell r="C318" t="str">
            <v>Lullaby</v>
          </cell>
          <cell r="G318">
            <v>5</v>
          </cell>
        </row>
        <row r="319">
          <cell r="A319" t="str">
            <v>Barrel Toss</v>
          </cell>
          <cell r="B319" t="str">
            <v>Barrel Toss</v>
          </cell>
          <cell r="C319" t="str">
            <v>Barrel Toss</v>
          </cell>
          <cell r="G319">
            <v>15</v>
          </cell>
        </row>
        <row r="320">
          <cell r="A320" t="str">
            <v>Pyrotechnics</v>
          </cell>
          <cell r="B320" t="str">
            <v>Pyrotechnics</v>
          </cell>
          <cell r="C320" t="str">
            <v>Pyrotechnics</v>
          </cell>
          <cell r="G320">
            <v>15</v>
          </cell>
        </row>
        <row r="321">
          <cell r="A321" t="str">
            <v>Crippling Blow</v>
          </cell>
          <cell r="B321" t="str">
            <v>Crippling Blow</v>
          </cell>
          <cell r="C321" t="str">
            <v>Stunning Blow</v>
          </cell>
          <cell r="G321">
            <v>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AR7" sqref="AR7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4" bestFit="1" customWidth="1"/>
    <col min="8" max="8" width="3.6640625" style="139" bestFit="1" customWidth="1"/>
    <col min="9" max="9" width="3.6640625" style="4" bestFit="1" customWidth="1"/>
    <col min="10" max="10" width="3.6640625" style="1" bestFit="1" customWidth="1"/>
    <col min="11" max="11" width="3.6640625" style="4" customWidth="1"/>
    <col min="12" max="12" width="3.6640625" style="139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1" bestFit="1" customWidth="1"/>
    <col min="17" max="18" width="3.6640625" style="5" bestFit="1" customWidth="1"/>
    <col min="19" max="19" width="14.88671875" style="21" bestFit="1" customWidth="1"/>
    <col min="20" max="21" width="3.6640625" style="5" bestFit="1" customWidth="1"/>
    <col min="22" max="22" width="13.6640625" style="21" bestFit="1" customWidth="1"/>
    <col min="23" max="24" width="3.6640625" style="5" bestFit="1" customWidth="1"/>
    <col min="25" max="25" width="14.109375" style="21" bestFit="1" customWidth="1"/>
    <col min="26" max="27" width="3.6640625" style="5" bestFit="1" customWidth="1"/>
    <col min="28" max="28" width="13.44140625" style="21" bestFit="1" customWidth="1"/>
    <col min="29" max="30" width="3.6640625" style="5" bestFit="1" customWidth="1"/>
    <col min="31" max="31" width="13.33203125" style="21" bestFit="1" customWidth="1"/>
    <col min="32" max="33" width="3.6640625" style="5" bestFit="1" customWidth="1"/>
    <col min="34" max="34" width="13.33203125" style="21" bestFit="1" customWidth="1"/>
    <col min="35" max="36" width="3.6640625" style="5" bestFit="1" customWidth="1"/>
    <col min="37" max="37" width="12.6640625" style="21" bestFit="1" customWidth="1"/>
    <col min="38" max="39" width="3.6640625" style="5" bestFit="1" customWidth="1"/>
    <col min="40" max="40" width="13.33203125" style="21" bestFit="1" customWidth="1"/>
    <col min="41" max="41" width="3.6640625" style="5" bestFit="1" customWidth="1"/>
    <col min="42" max="42" width="3.5546875" style="25" customWidth="1"/>
    <col min="43" max="43" width="20.33203125" style="1" customWidth="1"/>
    <col min="44" max="44" width="60.441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7" s="19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34" t="s">
        <v>169</v>
      </c>
    </row>
    <row r="2" spans="1:47" x14ac:dyDescent="0.3">
      <c r="A2" s="56" t="str">
        <f t="shared" ref="A2:A12" si="0">B2</f>
        <v>Rando</v>
      </c>
      <c r="B2" s="62" t="s">
        <v>89</v>
      </c>
      <c r="C2" s="145"/>
      <c r="D2" s="32" t="s">
        <v>72</v>
      </c>
      <c r="E2" s="90" t="s">
        <v>211</v>
      </c>
      <c r="F2">
        <v>79</v>
      </c>
      <c r="G2" s="138">
        <f>IF(ISBLANK(VLOOKUP($E2,[1]Monster!$A$2:$X$261,10,FALSE)),"",VLOOKUP($E2,[1]Monster!$A$2:$X$261,10,FALSE))</f>
        <v>81</v>
      </c>
      <c r="H2">
        <v>0</v>
      </c>
      <c r="I2" s="4">
        <f>IF(ISBLANK(VLOOKUP($E2,[1]Monster!$A$2:$X$261,11,FALSE)),"",VLOOKUP($E2,[1]Monster!$A$2:$X$261,11,FALSE))+H2</f>
        <v>9</v>
      </c>
      <c r="J2">
        <v>0</v>
      </c>
      <c r="K2" s="4">
        <f>IF(ISBLANK(VLOOKUP($E2,[1]Monster!$A$2:$X$261,14,FALSE)),"",VLOOKUP($E2,[1]Monster!$A$2:$X$261,14,FALSE))+J2</f>
        <v>9</v>
      </c>
      <c r="L2">
        <v>0</v>
      </c>
      <c r="M2" s="4">
        <f>IF(ISBLANK(VLOOKUP($E2,[1]Monster!$A$2:$X$261,12,FALSE)),"",VLOOKUP($E2,[1]Monster!$A$2:$X$261,12,FALSE))+L2</f>
        <v>8</v>
      </c>
      <c r="N2">
        <v>0</v>
      </c>
      <c r="O2" s="2">
        <f>IF(ISBLANK(VLOOKUP($E2,[1]Monster!$A$2:$X$261,13,FALSE)),"",VLOOKUP($E2,[1]Monster!$A$2:$X$261,13,FALSE))+N2</f>
        <v>6</v>
      </c>
      <c r="P2" s="28" t="str">
        <f>IF(ISBLANK(VLOOKUP($E2,[1]Monster!$A$2:$X$261,16,FALSE)),"",VLOOKUP($E2,[1]Monster!$A$2:$X$261,16,FALSE))</f>
        <v>Bite</v>
      </c>
      <c r="Q2">
        <v>15</v>
      </c>
      <c r="R2" s="5">
        <f>_xlfn.IFNA(IF($E2="Robot",VLOOKUP(P2,[1]Weapon!$B$1:$G$354,6,FALSE)/2,VLOOKUP(P2,[1]Weapon!$B$1:$G$354,6,FALSE)),0)</f>
        <v>15</v>
      </c>
      <c r="S2" s="28" t="str">
        <f>IF(ISBLANK(VLOOKUP($E2,[1]Monster!$A$2:$X$261,17,FALSE)),"",VLOOKUP($E2,[1]Monster!$A$2:$X$261,17,FALSE))</f>
        <v>Venom</v>
      </c>
      <c r="T2">
        <v>19</v>
      </c>
      <c r="U2" s="5">
        <f>_xlfn.IFNA(IF($E2="Robot",VLOOKUP(S2,[1]Weapon!$B$1:$G$354,6,FALSE)/2,VLOOKUP(S2,[1]Weapon!$B$1:$G$354,6,FALSE)),0)</f>
        <v>20</v>
      </c>
      <c r="V2" s="28" t="str">
        <f>IF(ISBLANK(VLOOKUP($E2,[1]Monster!$A$2:$X$261,18,FALSE)),"",VLOOKUP($E2,[1]Monster!$A$2:$X$261,18,FALSE))</f>
        <v>O-Poison</v>
      </c>
      <c r="W2">
        <v>-2</v>
      </c>
      <c r="X2" s="5">
        <f>_xlfn.IFNA(IF($E2="Robot",VLOOKUP(V2,[1]Weapon!$B$1:$G$354,6,FALSE)/2,VLOOKUP(V2,[1]Weapon!$B$1:$G$354,6,FALSE)),0)</f>
        <v>-2</v>
      </c>
      <c r="Y2" s="28" t="str">
        <f>IF(ISBLANK(VLOOKUP($E2,[1]Monster!$A$2:$X$261,19,FALSE)),"",VLOOKUP($E2,[1]Monster!$A$2:$X$261,19,FALSE))</f>
        <v>X-Ice</v>
      </c>
      <c r="Z2">
        <v>-2</v>
      </c>
      <c r="AA2" s="5">
        <f>_xlfn.IFNA(IF($E2="Robot",VLOOKUP(Y2,[1]Weapon!$B$1:$G$354,6,FALSE)/2,VLOOKUP(Y2,[1]Weapon!$B$1:$G$354,6,FALSE)),0)</f>
        <v>-2</v>
      </c>
      <c r="AB2" s="28" t="str">
        <f>IF(ISBLANK(VLOOKUP($E2,[1]Monster!$A$2:$X$261,20,FALSE)),"",VLOOKUP($E2,[1]Monster!$A$2:$X$261,20,FALSE))</f>
        <v/>
      </c>
      <c r="AC2">
        <v>0</v>
      </c>
      <c r="AD2" s="5">
        <f>_xlfn.IFNA(IF($E2="Robot",VLOOKUP(AB2,[1]Weapon!$B$1:$G$354,6,FALSE)/2,VLOOKUP(AB2,[1]Weapon!$B$1:$G$354,6,FALSE)),0)</f>
        <v>0</v>
      </c>
      <c r="AE2" s="28" t="str">
        <f>IF(ISBLANK(VLOOKUP($E2,[1]Monster!$A$2:$X$261,21,FALSE)),"",VLOOKUP($E2,[1]Monster!$A$2:$X$261,21,FALSE))</f>
        <v/>
      </c>
      <c r="AF2">
        <v>0</v>
      </c>
      <c r="AG2" s="5">
        <f>_xlfn.IFNA(IF($E2="Robot",VLOOKUP(AE2,[1]Weapon!$B$1:$G$354,6,FALSE)/2,VLOOKUP(AE2,[1]Weapon!$B$1:$G$354,6,FALSE)),0)</f>
        <v>0</v>
      </c>
      <c r="AH2" s="28" t="str">
        <f>IF(ISBLANK(VLOOKUP($E2,[1]Monster!$A$2:$X$261,22,FALSE)),"",VLOOKUP($E2,[1]Monster!$A$2:$X$261,22,FALSE))</f>
        <v/>
      </c>
      <c r="AI2">
        <v>0</v>
      </c>
      <c r="AJ2" s="5">
        <f>_xlfn.IFNA(IF($E2="Robot",VLOOKUP(AH2,[1]Weapon!$B$1:$G$354,6,FALSE)/2,VLOOKUP(AH2,[1]Weapon!$B$1:$G$354,6,FALSE)),0)</f>
        <v>0</v>
      </c>
      <c r="AK2" s="28" t="str">
        <f>IF(ISBLANK(VLOOKUP($E2,[1]Monster!$A$2:$X$261,23,FALSE)),"",VLOOKUP($E2,[1]Monster!$A$2:$X$261,23,FALSE))</f>
        <v/>
      </c>
      <c r="AL2">
        <v>0</v>
      </c>
      <c r="AM2" s="5">
        <f>_xlfn.IFNA(IF($E2="Robot",VLOOKUP(AK2,[1]Weapon!$B$1:$G$354,6,FALSE)/2,VLOOKUP(AK2,[1]Weapon!$B$1:$G$354,6,FALSE)),0)</f>
        <v>0</v>
      </c>
      <c r="AN2" s="108" t="s">
        <v>184</v>
      </c>
      <c r="AO2">
        <v>-2</v>
      </c>
      <c r="AP2" s="5">
        <f>IF(ISTEXT(AN2),_xlfn.IFNA(VLOOKUP(LEFT(AN2,FIND("-",AN2)-1),[1]Weapon!$B$1:$G$354,6,FALSE),0),0)</f>
        <v>-2</v>
      </c>
      <c r="AQ2" s="140"/>
      <c r="AR2" s="146" t="s">
        <v>242</v>
      </c>
      <c r="AS2">
        <v>3631</v>
      </c>
      <c r="AT2" t="s">
        <v>195</v>
      </c>
      <c r="AU2" s="104" t="s">
        <v>174</v>
      </c>
    </row>
    <row r="3" spans="1:47" x14ac:dyDescent="0.3">
      <c r="A3" s="56" t="str">
        <f t="shared" si="0"/>
        <v>Grace</v>
      </c>
      <c r="B3" s="88" t="s">
        <v>90</v>
      </c>
      <c r="C3" s="105"/>
      <c r="D3" s="31" t="s">
        <v>91</v>
      </c>
      <c r="E3" s="81" t="s">
        <v>88</v>
      </c>
      <c r="F3">
        <v>98</v>
      </c>
      <c r="G3">
        <v>98</v>
      </c>
      <c r="H3">
        <v>4</v>
      </c>
      <c r="I3" s="4">
        <f t="shared" ref="I3" si="1">H3</f>
        <v>4</v>
      </c>
      <c r="J3">
        <v>0</v>
      </c>
      <c r="K3" s="4">
        <f>J3+_xlfn.IFNA(VLOOKUP($P3,[1]Weapon!$A$1:$M$352,9,FALSE),0)+_xlfn.IFNA(VLOOKUP($S3,[1]Weapon!$A$1:$M$352,9,FALSE),0)+_xlfn.IFNA(VLOOKUP($V3,[1]Weapon!$A$1:$M$352,9,FALSE),0)+_xlfn.IFNA(VLOOKUP($Y3,[1]Weapon!$A$1:$M$352,9,FALSE),0)+_xlfn.IFNA(VLOOKUP($AB3,[1]Weapon!$A$1:$M$352,9,FALSE),0)+_xlfn.IFNA(VLOOKUP($AE3,[1]Weapon!$A$1:$M$352,9,FALSE),0)+_xlfn.IFNA(VLOOKUP($AH3,[1]Weapon!$A$1:$M$352,9,FALSE),0)+_xlfn.IFNA(VLOOKUP($AK3,[1]Weapon!$A$1:$M$352,9,FALSE),0)</f>
        <v>6</v>
      </c>
      <c r="L3">
        <v>6</v>
      </c>
      <c r="M3" s="4">
        <f>L3</f>
        <v>6</v>
      </c>
      <c r="N3">
        <v>12</v>
      </c>
      <c r="O3" s="2">
        <f t="shared" ref="O3" si="2">N3</f>
        <v>12</v>
      </c>
      <c r="P3" s="72" t="s">
        <v>86</v>
      </c>
      <c r="Q3">
        <v>3</v>
      </c>
      <c r="R3" s="5">
        <f>_xlfn.IFNA(IF($E3="Robot",VLOOKUP(P3,[1]Weapon!$B$1:$G$354,6,FALSE)/2,VLOOKUP(P3,[1]Weapon!$B$1:$G$354,6,FALSE)),0)</f>
        <v>15</v>
      </c>
      <c r="S3" s="109" t="s">
        <v>167</v>
      </c>
      <c r="T3">
        <v>8</v>
      </c>
      <c r="U3" s="5">
        <f>_xlfn.IFNA(IF($E3="Robot",VLOOKUP(S3,[1]Weapon!$B$1:$G$354,6,FALSE)/2,VLOOKUP(S3,[1]Weapon!$B$1:$G$354,6,FALSE)),0)</f>
        <v>15</v>
      </c>
      <c r="V3" s="109" t="s">
        <v>167</v>
      </c>
      <c r="W3">
        <v>0</v>
      </c>
      <c r="X3" s="5">
        <f>_xlfn.IFNA(IF($E3="Robot",VLOOKUP(V3,[1]Weapon!$B$1:$G$354,6,FALSE)/2,VLOOKUP(V3,[1]Weapon!$B$1:$G$354,6,FALSE)),0)</f>
        <v>15</v>
      </c>
      <c r="Y3" s="109" t="s">
        <v>170</v>
      </c>
      <c r="Z3">
        <v>9</v>
      </c>
      <c r="AA3" s="5">
        <f>_xlfn.IFNA(IF($E3="Robot",VLOOKUP(Y3,[1]Weapon!$B$1:$G$354,6,FALSE)/2,VLOOKUP(Y3,[1]Weapon!$B$1:$G$354,6,FALSE)),0)</f>
        <v>15</v>
      </c>
      <c r="AB3" s="147" t="s">
        <v>138</v>
      </c>
      <c r="AC3">
        <v>1</v>
      </c>
      <c r="AD3" s="5">
        <f>_xlfn.IFNA(IF($E3="Robot",VLOOKUP(AB3,[1]Weapon!$B$1:$G$354,6,FALSE)/2,VLOOKUP(AB3,[1]Weapon!$B$1:$G$354,6,FALSE)),0)</f>
        <v>4</v>
      </c>
      <c r="AE3" s="33" t="s">
        <v>93</v>
      </c>
      <c r="AF3">
        <v>-1</v>
      </c>
      <c r="AG3" s="5">
        <f>_xlfn.IFNA(IF($E3="Robot",VLOOKUP(AE3,[1]Weapon!$B$1:$G$354,6,FALSE)/2,VLOOKUP(AE3,[1]Weapon!$B$1:$G$354,6,FALSE)),0)</f>
        <v>-2</v>
      </c>
      <c r="AH3" s="68" t="s">
        <v>136</v>
      </c>
      <c r="AI3">
        <v>-1</v>
      </c>
      <c r="AJ3" s="5">
        <f>_xlfn.IFNA(IF($E3="Robot",VLOOKUP(AH3,[1]Weapon!$B$1:$G$354,6,FALSE)/2,VLOOKUP(AH3,[1]Weapon!$B$1:$G$354,6,FALSE)),0)</f>
        <v>-2</v>
      </c>
      <c r="AK3" s="68" t="s">
        <v>148</v>
      </c>
      <c r="AL3">
        <v>-1</v>
      </c>
      <c r="AM3" s="5">
        <f>_xlfn.IFNA(IF($E3="Robot",VLOOKUP(AK3,[1]Weapon!$B$1:$G$354,6,FALSE)/2,VLOOKUP(AK3,[1]Weapon!$B$1:$G$354,6,FALSE)),0)</f>
        <v>-2</v>
      </c>
      <c r="AN3" s="28"/>
      <c r="AO3">
        <v>0</v>
      </c>
      <c r="AP3" s="5">
        <f>IF(ISTEXT(AN3),_xlfn.IFNA(VLOOKUP(LEFT(AN3,FIND("-",AN3)-1),[1]Weapon!$B$1:$G$354,6,FALSE),0),0)</f>
        <v>0</v>
      </c>
      <c r="AQ3" s="3"/>
      <c r="AR3" s="146" t="s">
        <v>221</v>
      </c>
      <c r="AS3">
        <v>2255</v>
      </c>
      <c r="AT3" t="s">
        <v>195</v>
      </c>
    </row>
    <row r="4" spans="1:47" x14ac:dyDescent="0.3">
      <c r="A4" s="56" t="str">
        <f t="shared" si="0"/>
        <v>Astrid</v>
      </c>
      <c r="B4" s="88" t="s">
        <v>94</v>
      </c>
      <c r="C4" s="103"/>
      <c r="D4" s="31" t="s">
        <v>75</v>
      </c>
      <c r="E4" s="81" t="s">
        <v>88</v>
      </c>
      <c r="F4">
        <v>114</v>
      </c>
      <c r="G4">
        <v>114</v>
      </c>
      <c r="H4">
        <v>4</v>
      </c>
      <c r="I4" s="4">
        <f t="shared" ref="I4" si="3">H4</f>
        <v>4</v>
      </c>
      <c r="J4">
        <v>0</v>
      </c>
      <c r="K4" s="4">
        <f>J4+_xlfn.IFNA(VLOOKUP($P4,[1]Weapon!$A$1:$M$352,9,FALSE),0)+_xlfn.IFNA(VLOOKUP($S4,[1]Weapon!$A$1:$M$352,9,FALSE),0)+_xlfn.IFNA(VLOOKUP($V4,[1]Weapon!$A$1:$M$352,9,FALSE),0)+_xlfn.IFNA(VLOOKUP($Y4,[1]Weapon!$A$1:$M$352,9,FALSE),0)+_xlfn.IFNA(VLOOKUP($AB4,[1]Weapon!$A$1:$M$352,9,FALSE),0)+_xlfn.IFNA(VLOOKUP($AE4,[1]Weapon!$A$1:$M$352,9,FALSE),0)+_xlfn.IFNA(VLOOKUP($AH4,[1]Weapon!$A$1:$M$352,9,FALSE),0)+_xlfn.IFNA(VLOOKUP($AK4,[1]Weapon!$A$1:$M$352,9,FALSE),0)</f>
        <v>5</v>
      </c>
      <c r="L4">
        <v>9</v>
      </c>
      <c r="M4" s="4">
        <f>L4</f>
        <v>9</v>
      </c>
      <c r="N4">
        <v>10</v>
      </c>
      <c r="O4" s="2">
        <f t="shared" ref="O4" si="4">N4</f>
        <v>10</v>
      </c>
      <c r="P4" s="109" t="s">
        <v>85</v>
      </c>
      <c r="Q4">
        <v>4</v>
      </c>
      <c r="R4" s="5">
        <f>_xlfn.IFNA(IF($E4="Robot",VLOOKUP(P4,[1]Weapon!$B$1:$G$354,6,FALSE)/2,VLOOKUP(P4,[1]Weapon!$B$1:$G$354,6,FALSE)),0)</f>
        <v>15</v>
      </c>
      <c r="S4" s="73" t="s">
        <v>137</v>
      </c>
      <c r="T4">
        <v>-2</v>
      </c>
      <c r="U4" s="5">
        <f>_xlfn.IFNA(IF($E4="Robot",VLOOKUP(S4,[1]Weapon!$B$1:$G$354,6,FALSE)/2,VLOOKUP(S4,[1]Weapon!$B$1:$G$354,6,FALSE)),0)</f>
        <v>-2</v>
      </c>
      <c r="V4" s="109" t="s">
        <v>165</v>
      </c>
      <c r="W4">
        <v>-2</v>
      </c>
      <c r="X4" s="5">
        <f>_xlfn.IFNA(IF($E4="Robot",VLOOKUP(V4,[1]Weapon!$B$1:$G$354,6,FALSE)/2,VLOOKUP(V4,[1]Weapon!$B$1:$G$354,6,FALSE)),0)</f>
        <v>-2</v>
      </c>
      <c r="Y4" s="99" t="s">
        <v>160</v>
      </c>
      <c r="Z4">
        <v>2</v>
      </c>
      <c r="AA4" s="5">
        <f>_xlfn.IFNA(IF($E4="Robot",VLOOKUP(Y4,[1]Weapon!$B$1:$G$354,6,FALSE)/2,VLOOKUP(Y4,[1]Weapon!$B$1:$G$354,6,FALSE)),0)</f>
        <v>15</v>
      </c>
      <c r="AB4" s="33" t="s">
        <v>92</v>
      </c>
      <c r="AC4">
        <v>18</v>
      </c>
      <c r="AD4" s="5">
        <f>_xlfn.IFNA(IF($E4="Robot",VLOOKUP(AB4,[1]Weapon!$B$1:$G$354,6,FALSE)/2,VLOOKUP(AB4,[1]Weapon!$B$1:$G$354,6,FALSE)),0)</f>
        <v>50</v>
      </c>
      <c r="AE4" s="33" t="s">
        <v>93</v>
      </c>
      <c r="AF4">
        <v>-1</v>
      </c>
      <c r="AG4" s="5">
        <f>_xlfn.IFNA(IF($E4="Robot",VLOOKUP(AE4,[1]Weapon!$B$1:$G$354,6,FALSE)/2,VLOOKUP(AE4,[1]Weapon!$B$1:$G$354,6,FALSE)),0)</f>
        <v>-2</v>
      </c>
      <c r="AH4" s="68" t="s">
        <v>136</v>
      </c>
      <c r="AI4">
        <v>-1</v>
      </c>
      <c r="AJ4" s="5">
        <f>_xlfn.IFNA(IF($E4="Robot",VLOOKUP(AH4,[1]Weapon!$B$1:$G$354,6,FALSE)/2,VLOOKUP(AH4,[1]Weapon!$B$1:$G$354,6,FALSE)),0)</f>
        <v>-2</v>
      </c>
      <c r="AK4" s="108" t="s">
        <v>138</v>
      </c>
      <c r="AL4">
        <v>1</v>
      </c>
      <c r="AM4" s="5">
        <f>_xlfn.IFNA(IF($E4="Robot",VLOOKUP(AK4,[1]Weapon!$B$1:$G$354,6,FALSE)/2,VLOOKUP(AK4,[1]Weapon!$B$1:$G$354,6,FALSE)),0)</f>
        <v>4</v>
      </c>
      <c r="AO4">
        <v>0</v>
      </c>
      <c r="AP4" s="5">
        <f>IF(ISTEXT(AN4),_xlfn.IFNA(VLOOKUP(LEFT(AN4,FIND("-",AN4)-1),[1]Weapon!$B$1:$G$354,6,FALSE),0),0)</f>
        <v>0</v>
      </c>
      <c r="AQ4" s="3"/>
      <c r="AR4" s="104" t="s">
        <v>197</v>
      </c>
      <c r="AS4">
        <v>2072</v>
      </c>
      <c r="AT4" t="s">
        <v>195</v>
      </c>
    </row>
    <row r="5" spans="1:47" x14ac:dyDescent="0.3">
      <c r="A5" s="56" t="str">
        <f t="shared" si="0"/>
        <v>Cuthbert</v>
      </c>
      <c r="B5" s="80" t="s">
        <v>95</v>
      </c>
      <c r="C5" s="145"/>
      <c r="D5" s="31" t="s">
        <v>96</v>
      </c>
      <c r="E5" s="90" t="s">
        <v>210</v>
      </c>
      <c r="F5">
        <v>126</v>
      </c>
      <c r="G5" s="4">
        <f>IF(ISBLANK(VLOOKUP($E5,[1]Monster!$A$2:$X$261,10,FALSE)),"",VLOOKUP($E5,[1]Monster!$A$2:$X$261,10,FALSE))</f>
        <v>126</v>
      </c>
      <c r="H5">
        <v>5</v>
      </c>
      <c r="I5" s="4">
        <f>IF(ISBLANK(VLOOKUP($E5,[1]Monster!$A$2:$X$261,11,FALSE)),"",VLOOKUP($E5,[1]Monster!$A$2:$X$261,11,FALSE))+H5</f>
        <v>19</v>
      </c>
      <c r="J5">
        <v>0</v>
      </c>
      <c r="K5" s="4">
        <f>IF(ISBLANK(VLOOKUP($E5,[1]Monster!$A$2:$X$261,14,FALSE)),"",VLOOKUP($E5,[1]Monster!$A$2:$X$261,14,FALSE))+J5</f>
        <v>13</v>
      </c>
      <c r="L5">
        <v>5</v>
      </c>
      <c r="M5" s="4">
        <f>IF(ISBLANK(VLOOKUP($E5,[1]Monster!$A$2:$X$261,12,FALSE)),"",VLOOKUP($E5,[1]Monster!$A$2:$X$261,12,FALSE))+L5</f>
        <v>19</v>
      </c>
      <c r="N5">
        <v>0</v>
      </c>
      <c r="O5" s="2">
        <f>IF(ISBLANK(VLOOKUP($E5,[1]Monster!$A$2:$X$261,13,FALSE)),"",VLOOKUP($E5,[1]Monster!$A$2:$X$261,13,FALSE))+N5</f>
        <v>10</v>
      </c>
      <c r="P5" s="28" t="str">
        <f>IF(ISBLANK(VLOOKUP($E5,[1]Monster!$A$2:$X$261,16,FALSE)),"",VLOOKUP($E5,[1]Monster!$A$2:$X$261,16,FALSE))</f>
        <v>Kick</v>
      </c>
      <c r="Q5">
        <v>9</v>
      </c>
      <c r="R5" s="5">
        <f>_xlfn.IFNA(IF($E5="Robot",VLOOKUP(P5,[1]Weapon!$B$1:$G$354,6,FALSE)/2,VLOOKUP(P5,[1]Weapon!$B$1:$G$354,6,FALSE)),0)</f>
        <v>15</v>
      </c>
      <c r="S5" s="28" t="str">
        <f>IF(ISBLANK(VLOOKUP($E5,[1]Monster!$A$2:$X$261,17,FALSE)),"",VLOOKUP($E5,[1]Monster!$A$2:$X$261,17,FALSE))</f>
        <v>Breath</v>
      </c>
      <c r="T5">
        <v>20</v>
      </c>
      <c r="U5" s="5">
        <f>_xlfn.IFNA(IF($E5="Robot",VLOOKUP(S5,[1]Weapon!$B$1:$G$354,6,FALSE)/2,VLOOKUP(S5,[1]Weapon!$B$1:$G$354,6,FALSE)),0)</f>
        <v>20</v>
      </c>
      <c r="V5" s="28" t="str">
        <f>IF(ISBLANK(VLOOKUP($E5,[1]Monster!$A$2:$X$261,18,FALSE)),"",VLOOKUP($E5,[1]Monster!$A$2:$X$261,18,FALSE))</f>
        <v/>
      </c>
      <c r="W5">
        <v>0</v>
      </c>
      <c r="X5" s="5">
        <f>_xlfn.IFNA(IF($E5="Robot",VLOOKUP(V5,[1]Weapon!$B$1:$G$354,6,FALSE)/2,VLOOKUP(V5,[1]Weapon!$B$1:$G$354,6,FALSE)),0)</f>
        <v>0</v>
      </c>
      <c r="Y5" s="28" t="str">
        <f>IF(ISBLANK(VLOOKUP($E5,[1]Monster!$A$2:$X$261,19,FALSE)),"",VLOOKUP($E5,[1]Monster!$A$2:$X$261,19,FALSE))</f>
        <v/>
      </c>
      <c r="Z5">
        <v>0</v>
      </c>
      <c r="AA5" s="5">
        <f>_xlfn.IFNA(IF($E5="Robot",VLOOKUP(Y5,[1]Weapon!$B$1:$G$354,6,FALSE)/2,VLOOKUP(Y5,[1]Weapon!$B$1:$G$354,6,FALSE)),0)</f>
        <v>0</v>
      </c>
      <c r="AB5" s="28" t="str">
        <f>IF(ISBLANK(VLOOKUP($E5,[1]Monster!$A$2:$X$261,20,FALSE)),"",VLOOKUP($E5,[1]Monster!$A$2:$X$261,20,FALSE))</f>
        <v/>
      </c>
      <c r="AC5">
        <v>0</v>
      </c>
      <c r="AD5" s="5">
        <f>_xlfn.IFNA(IF($E5="Robot",VLOOKUP(AB5,[1]Weapon!$B$1:$G$354,6,FALSE)/2,VLOOKUP(AB5,[1]Weapon!$B$1:$G$354,6,FALSE)),0)</f>
        <v>0</v>
      </c>
      <c r="AE5" s="28" t="str">
        <f>IF(ISBLANK(VLOOKUP($E5,[1]Monster!$A$2:$X$261,21,FALSE)),"",VLOOKUP($E5,[1]Monster!$A$2:$X$261,21,FALSE))</f>
        <v/>
      </c>
      <c r="AF5">
        <v>0</v>
      </c>
      <c r="AG5" s="5">
        <f>_xlfn.IFNA(IF($E5="Robot",VLOOKUP(AE5,[1]Weapon!$B$1:$G$354,6,FALSE)/2,VLOOKUP(AE5,[1]Weapon!$B$1:$G$354,6,FALSE)),0)</f>
        <v>0</v>
      </c>
      <c r="AH5" s="28" t="str">
        <f>IF(ISBLANK(VLOOKUP($E5,[1]Monster!$A$2:$X$261,22,FALSE)),"",VLOOKUP($E5,[1]Monster!$A$2:$X$261,22,FALSE))</f>
        <v/>
      </c>
      <c r="AI5">
        <v>0</v>
      </c>
      <c r="AJ5" s="5">
        <f>_xlfn.IFNA(IF($E5="Robot",VLOOKUP(AH5,[1]Weapon!$B$1:$G$354,6,FALSE)/2,VLOOKUP(AH5,[1]Weapon!$B$1:$G$354,6,FALSE)),0)</f>
        <v>0</v>
      </c>
      <c r="AK5" s="28" t="str">
        <f>IF(ISBLANK(VLOOKUP($E5,[1]Monster!$A$2:$X$261,23,FALSE)),"",VLOOKUP($E5,[1]Monster!$A$2:$X$261,23,FALSE))</f>
        <v/>
      </c>
      <c r="AL5">
        <v>0</v>
      </c>
      <c r="AM5" s="5">
        <f>_xlfn.IFNA(IF($E5="Robot",VLOOKUP(AK5,[1]Weapon!$B$1:$G$354,6,FALSE)/2,VLOOKUP(AK5,[1]Weapon!$B$1:$G$354,6,FALSE)),0)</f>
        <v>0</v>
      </c>
      <c r="AO5">
        <v>0</v>
      </c>
      <c r="AP5" s="5">
        <f>IF(ISTEXT(AN5),_xlfn.IFNA(VLOOKUP(LEFT(AN5,FIND("-",AN5)-1),[1]Weapon!$B$1:$G$354,6,FALSE),0),0)</f>
        <v>0</v>
      </c>
      <c r="AQ5" s="3"/>
      <c r="AR5" s="146" t="s">
        <v>212</v>
      </c>
      <c r="AS5">
        <v>2559</v>
      </c>
      <c r="AT5" t="s">
        <v>195</v>
      </c>
      <c r="AU5" s="104" t="s">
        <v>175</v>
      </c>
    </row>
    <row r="6" spans="1:47" x14ac:dyDescent="0.3">
      <c r="A6" s="56" t="str">
        <f t="shared" si="0"/>
        <v>Sandy</v>
      </c>
      <c r="B6" s="88" t="s">
        <v>73</v>
      </c>
      <c r="C6" s="105"/>
      <c r="D6" s="31" t="s">
        <v>74</v>
      </c>
      <c r="E6" s="92" t="s">
        <v>57</v>
      </c>
      <c r="F6">
        <v>122</v>
      </c>
      <c r="G6">
        <v>163</v>
      </c>
      <c r="H6">
        <v>13</v>
      </c>
      <c r="I6" s="4">
        <f t="shared" ref="I6:I11" si="5">H6</f>
        <v>13</v>
      </c>
      <c r="J6">
        <v>0</v>
      </c>
      <c r="K6" s="4">
        <f>J6+_xlfn.IFNA(VLOOKUP($P6,[1]Weapon!$A$1:$M$352,9,FALSE),0)+_xlfn.IFNA(VLOOKUP($S6,[1]Weapon!$A$1:$M$352,9,FALSE),0)+_xlfn.IFNA(VLOOKUP($V6,[1]Weapon!$A$1:$M$352,9,FALSE),0)+_xlfn.IFNA(VLOOKUP($Y6,[1]Weapon!$A$1:$M$352,9,FALSE),0)+_xlfn.IFNA(VLOOKUP($AB6,[1]Weapon!$A$1:$M$352,9,FALSE),0)+_xlfn.IFNA(VLOOKUP($AE6,[1]Weapon!$A$1:$M$352,9,FALSE),0)+_xlfn.IFNA(VLOOKUP($AH6,[1]Weapon!$A$1:$M$352,9,FALSE),0)+_xlfn.IFNA(VLOOKUP($AK6,[1]Weapon!$A$1:$M$352,9,FALSE),0)</f>
        <v>6</v>
      </c>
      <c r="L6">
        <v>10</v>
      </c>
      <c r="M6" s="4">
        <f>L6</f>
        <v>10</v>
      </c>
      <c r="N6">
        <v>10</v>
      </c>
      <c r="O6" s="2">
        <f t="shared" ref="O6" si="6">N6</f>
        <v>10</v>
      </c>
      <c r="P6" s="36" t="s">
        <v>117</v>
      </c>
      <c r="Q6">
        <v>7</v>
      </c>
      <c r="R6" s="5">
        <f>_xlfn.IFNA(IF($E6="Robot",VLOOKUP(P6,[1]Weapon!$B$1:$G$354,6,FALSE)/2,VLOOKUP(P6,[1]Weapon!$B$1:$G$354,6,FALSE)),0)</f>
        <v>70</v>
      </c>
      <c r="S6" s="33" t="s">
        <v>93</v>
      </c>
      <c r="T6">
        <v>-1</v>
      </c>
      <c r="U6" s="5">
        <f>_xlfn.IFNA(IF($E6="Robot",VLOOKUP(S6,[1]Weapon!$B$1:$G$354,6,FALSE)/2,VLOOKUP(S6,[1]Weapon!$B$1:$G$354,6,FALSE)),0)</f>
        <v>-2</v>
      </c>
      <c r="V6" s="64" t="s">
        <v>38</v>
      </c>
      <c r="W6">
        <v>26</v>
      </c>
      <c r="X6" s="5">
        <f>_xlfn.IFNA(IF($E6="Robot",VLOOKUP(V6,[1]Weapon!$B$1:$G$354,6,FALSE)/2,VLOOKUP(V6,[1]Weapon!$B$1:$G$354,6,FALSE)),0)</f>
        <v>50</v>
      </c>
      <c r="Y6" s="65" t="s">
        <v>136</v>
      </c>
      <c r="Z6">
        <v>-1</v>
      </c>
      <c r="AA6" s="5">
        <f>_xlfn.IFNA(IF($E6="Robot",VLOOKUP(Y6,[1]Weapon!$B$1:$G$354,6,FALSE)/2,VLOOKUP(Y6,[1]Weapon!$B$1:$G$354,6,FALSE)),0)</f>
        <v>-2</v>
      </c>
      <c r="AB6" s="68" t="s">
        <v>148</v>
      </c>
      <c r="AC6">
        <v>-1</v>
      </c>
      <c r="AD6" s="5">
        <f>_xlfn.IFNA(IF($E6="Robot",VLOOKUP(AB6,[1]Weapon!$B$1:$G$354,6,FALSE)/2,VLOOKUP(AB6,[1]Weapon!$B$1:$G$354,6,FALSE)),0)</f>
        <v>-2</v>
      </c>
      <c r="AE6" s="98"/>
      <c r="AF6">
        <v>0</v>
      </c>
      <c r="AG6" s="5">
        <f>_xlfn.IFNA(IF($E6="Robot",VLOOKUP(AE6,[1]Weapon!$B$1:$G$354,6,FALSE)/2,VLOOKUP(AE6,[1]Weapon!$B$1:$G$354,6,FALSE)),0)</f>
        <v>0</v>
      </c>
      <c r="AH6" s="108" t="s">
        <v>180</v>
      </c>
      <c r="AI6">
        <v>35</v>
      </c>
      <c r="AJ6" s="5">
        <f>_xlfn.IFNA(IF($E6="Robot",VLOOKUP(AH6,[1]Weapon!$B$1:$G$354,6,FALSE)/2,VLOOKUP(AH6,[1]Weapon!$B$1:$G$354,6,FALSE)),0)</f>
        <v>50</v>
      </c>
      <c r="AK6" s="108" t="s">
        <v>117</v>
      </c>
      <c r="AL6">
        <v>70</v>
      </c>
      <c r="AM6" s="5">
        <f>_xlfn.IFNA(IF($E6="Robot",VLOOKUP(AK6,[1]Weapon!$B$1:$G$354,6,FALSE)/2,VLOOKUP(AK6,[1]Weapon!$B$1:$G$354,6,FALSE)),0)</f>
        <v>70</v>
      </c>
      <c r="AO6">
        <v>0</v>
      </c>
      <c r="AP6" s="5">
        <f>IF(ISTEXT(AN6),_xlfn.IFNA(VLOOKUP(LEFT(AN6,FIND("-",AN6)-1),[1]Weapon!$B$1:$G$354,6,FALSE),0),0)</f>
        <v>0</v>
      </c>
      <c r="AQ6" s="141"/>
      <c r="AR6" s="104" t="s">
        <v>188</v>
      </c>
      <c r="AS6">
        <v>2083</v>
      </c>
      <c r="AT6" t="s">
        <v>203</v>
      </c>
    </row>
    <row r="7" spans="1:47" x14ac:dyDescent="0.3">
      <c r="A7" s="56" t="str">
        <f t="shared" si="0"/>
        <v>Roy</v>
      </c>
      <c r="B7" s="61" t="s">
        <v>98</v>
      </c>
      <c r="C7" s="105"/>
      <c r="D7" s="34" t="s">
        <v>99</v>
      </c>
      <c r="E7" s="85" t="s">
        <v>87</v>
      </c>
      <c r="F7">
        <v>67</v>
      </c>
      <c r="G7" s="4">
        <f>24+_xlfn.IFNA(VLOOKUP($P7,[1]Weapon!$A$1:$M$352,12,FALSE),0)+_xlfn.IFNA(VLOOKUP($S7,[1]Weapon!$A$1:$M$352,12,FALSE),0)+_xlfn.IFNA(VLOOKUP($V7,[1]Weapon!$A$1:$M$352,12,FALSE),0)+_xlfn.IFNA(VLOOKUP($Y7,[1]Weapon!$A$1:$M$352,12,FALSE),0)+_xlfn.IFNA(VLOOKUP($AB7,[1]Weapon!$A$1:$M$352,12,FALSE),0)+_xlfn.IFNA(VLOOKUP($AE7,[1]Weapon!$A$1:$M$352,12,FALSE),0)+_xlfn.IFNA(VLOOKUP($AH7,[1]Weapon!$A$1:$M$352,12,FALSE),0)+_xlfn.IFNA(VLOOKUP($AK7,[1]Weapon!$A$1:$M$352,12,FALSE),0)</f>
        <v>159</v>
      </c>
      <c r="H7">
        <v>0</v>
      </c>
      <c r="I7" s="38">
        <f>H7+_xlfn.IFNA(IF(VLOOKUP($P7,[1]Weapon!$B$2:$O$352,13,FALSE)="Str",VLOOKUP($P7,[1]Weapon!$B$2:$O$352,14,FALSE),0),0)+_xlfn.IFNA(IF(VLOOKUP($S7,[1]Weapon!$B$2:$O$352,13,FALSE)="Str",VLOOKUP($S7,[1]Weapon!$B$2:$O$352,14,FALSE),0),0)+_xlfn.IFNA(IF(VLOOKUP($V7,[1]Weapon!$B$2:$O$352,13,FALSE)="Str",VLOOKUP($V7,[1]Weapon!$B$2:$O$352,14,FALSE),0),0)+_xlfn.IFNA(IF(VLOOKUP($Y7,[1]Weapon!$B$2:$O$352,13,FALSE)="Str",VLOOKUP($Y7,[1]Weapon!$B$2:$O$352,14,FALSE),0),0)+_xlfn.IFNA(IF(VLOOKUP($AB7,[1]Weapon!$B$2:$O$352,13,FALSE)="Str",VLOOKUP($AB7,[1]Weapon!$B$2:$O$352,14,FALSE),0),0)+_xlfn.IFNA(IF(VLOOKUP($AE7,[1]Weapon!$B$2:$O$352,13,FALSE)="Str",VLOOKUP($AE7,[1]Weapon!$B$2:$O$352,14,FALSE),0),0)+_xlfn.IFNA(IF(VLOOKUP($AH7,[1]Weapon!$B$2:$O$352,13,FALSE)="Str",VLOOKUP($AH7,[1]Weapon!$B$2:$O$352,14,FALSE),0),0)+_xlfn.IFNA(IF(VLOOKUP($AK7,[1]Weapon!$B$2:$O$352,13,FALSE)="Str",VLOOKUP($AK7,[1]Weapon!$B$2:$O$352,14,FALSE),0),0)</f>
        <v>20</v>
      </c>
      <c r="J7">
        <v>6</v>
      </c>
      <c r="K7" s="4">
        <f>J7+_xlfn.IFNA(IF(VLOOKUP($P7,[1]Weapon!$B$2:$O$352,13,FALSE)="Def",VLOOKUP($P7,[1]Weapon!$B$2:$O$352,14,FALSE),0),0)+_xlfn.IFNA(IF(VLOOKUP($S7,[1]Weapon!$B$2:$O$352,13,FALSE)="Def",VLOOKUP($S7,[1]Weapon!$B$2:$O$352,14,FALSE),0),0)+_xlfn.IFNA(IF(VLOOKUP($V7,[1]Weapon!$B$2:$O$352,13,FALSE)="Def",VLOOKUP($V7,[1]Weapon!$B$2:$O$352,14,FALSE),0),0)+_xlfn.IFNA(IF(VLOOKUP($Y7,[1]Weapon!$B$2:$O$352,13,FALSE)="Def",VLOOKUP($Y7,[1]Weapon!$B$2:$O$352,14,FALSE),0),0)+_xlfn.IFNA(IF(VLOOKUP($AB7,[1]Weapon!$B$2:$O$352,13,FALSE)="Def",VLOOKUP($AB7,[1]Weapon!$B$2:$O$352,14,FALSE),0),0)+_xlfn.IFNA(IF(VLOOKUP($AE7,[1]Weapon!$B$2:$O$352,13,FALSE)="Def",VLOOKUP($AE7,[1]Weapon!$B$2:$O$352,14,FALSE),0),0)+_xlfn.IFNA(IF(VLOOKUP($AH7,[1]Weapon!$B$2:$O$352,13,FALSE)="Def",VLOOKUP($AH7,[1]Weapon!$B$2:$O$352,14,FALSE),0),0)+_xlfn.IFNA(IF(VLOOKUP($AK7,[1]Weapon!$B$2:$O$352,13,FALSE)="Def",VLOOKUP($AK7,[1]Weapon!$B$2:$O$352,14,FALSE),0),0)</f>
        <v>12</v>
      </c>
      <c r="L7">
        <v>5</v>
      </c>
      <c r="M7" s="4">
        <f>L7+_xlfn.IFNA(IF(VLOOKUP($P7,[1]Weapon!$B$2:$O$352,13,FALSE)="Agl",VLOOKUP($P7,[1]Weapon!$B$2:$O$352,14,FALSE),0),0)+_xlfn.IFNA(IF(VLOOKUP($S7,[1]Weapon!$B$2:$O$352,13,FALSE)="Agl",VLOOKUP($S7,[1]Weapon!$B$2:$O$352,14,FALSE),0),0)+_xlfn.IFNA(IF(VLOOKUP($V7,[1]Weapon!$B$2:$O$352,13,FALSE)="Agl",VLOOKUP($V7,[1]Weapon!$B$2:$O$352,14,FALSE),0),0)+_xlfn.IFNA(IF(VLOOKUP($Y7,[1]Weapon!$B$2:$O$352,13,FALSE)="Agl",VLOOKUP($Y7,[1]Weapon!$B$2:$O$352,14,FALSE),0),0)+_xlfn.IFNA(IF(VLOOKUP($AB7,[1]Weapon!$B$2:$O$352,13,FALSE)="Agl",VLOOKUP($AB7,[1]Weapon!$B$2:$O$352,14,FALSE),0),0)+_xlfn.IFNA(IF(VLOOKUP($AE7,[1]Weapon!$B$2:$O$352,13,FALSE)="Agl",VLOOKUP($AE7,[1]Weapon!$B$2:$O$352,14,FALSE),0),0)+_xlfn.IFNA(IF(VLOOKUP($AH7,[1]Weapon!$B$2:$O$352,13,FALSE)="Agl",VLOOKUP($AH7,[1]Weapon!$B$2:$O$352,14,FALSE),0),0)+_xlfn.IFNA(IF(VLOOKUP($AK7,[1]Weapon!$B$2:$O$352,13,FALSE)="Agl",VLOOKUP($AK7,[1]Weapon!$B$2:$O$352,14,FALSE),0),0)</f>
        <v>5</v>
      </c>
      <c r="N7">
        <v>0</v>
      </c>
      <c r="O7" s="2">
        <f>N7+_xlfn.IFNA(IF(VLOOKUP($P7,[1]Weapon!$B$2:$O$352,13,FALSE)="Mana",VLOOKUP($P7,[1]Weapon!$B$2:$O$352,14,FALSE),0),0)+_xlfn.IFNA(IF(VLOOKUP($S7,[1]Weapon!$B$2:$O$352,13,FALSE)="Mana",VLOOKUP($S7,[1]Weapon!$B$2:$O$352,14,FALSE),0),0)+_xlfn.IFNA(IF(VLOOKUP($V7,[1]Weapon!$B$2:$O$352,13,FALSE)="Mana",VLOOKUP($V7,[1]Weapon!$B$2:$O$352,14,FALSE),0),0)+_xlfn.IFNA(IF(VLOOKUP($Y7,[1]Weapon!$B$2:$O$352,13,FALSE)="Mana",VLOOKUP($Y7,[1]Weapon!$B$2:$O$352,14,FALSE),0),0)+_xlfn.IFNA(IF(VLOOKUP($AB7,[1]Weapon!$B$2:$O$352,13,FALSE)="Mana",VLOOKUP($AB7,[1]Weapon!$B$2:$O$352,14,FALSE),0),0)+_xlfn.IFNA(IF(VLOOKUP($AE7,[1]Weapon!$B$2:$O$352,13,FALSE)="Mana",VLOOKUP($AE7,[1]Weapon!$B$2:$O$352,14,FALSE),0),0)+_xlfn.IFNA(IF(VLOOKUP($AH7,[1]Weapon!$B$2:$O$352,13,FALSE)="Mana",VLOOKUP($AH7,[1]Weapon!$B$2:$O$352,14,FALSE),0),0)+_xlfn.IFNA(IF(VLOOKUP($AK7,[1]Weapon!$B$2:$O$352,13,FALSE)="Mana",VLOOKUP($AK7,[1]Weapon!$B$2:$O$352,14,FALSE),0),0)</f>
        <v>0</v>
      </c>
      <c r="P7" s="35" t="s">
        <v>100</v>
      </c>
      <c r="Q7">
        <v>-1</v>
      </c>
      <c r="R7" s="5">
        <f>_xlfn.IFNA(IF($E7="Robot",VLOOKUP(P7,[1]Weapon!$B$1:$G$354,6,FALSE)/2,VLOOKUP(P7,[1]Weapon!$B$1:$G$354,6,FALSE)),0)</f>
        <v>-1</v>
      </c>
      <c r="S7" s="108" t="s">
        <v>177</v>
      </c>
      <c r="T7">
        <v>11</v>
      </c>
      <c r="U7" s="5">
        <f>_xlfn.IFNA(IF($E7="Robot",VLOOKUP(S7,[1]Weapon!$B$1:$G$354,6,FALSE)/2,VLOOKUP(S7,[1]Weapon!$B$1:$G$354,6,FALSE)),0)</f>
        <v>25</v>
      </c>
      <c r="V7" s="108" t="s">
        <v>178</v>
      </c>
      <c r="W7">
        <v>7</v>
      </c>
      <c r="X7" s="5">
        <f>_xlfn.IFNA(IF($E7="Robot",ROUNDDOWN(VLOOKUP(V7,[1]Weapon!$B$1:$G$354,6,FALSE)/2,0),VLOOKUP(V7,[1]Weapon!$B$1:$G$354,6,FALSE)),0)</f>
        <v>7</v>
      </c>
      <c r="Y7" s="108" t="s">
        <v>158</v>
      </c>
      <c r="Z7">
        <v>22</v>
      </c>
      <c r="AA7" s="5">
        <f>_xlfn.IFNA(IF($E7="Robot",VLOOKUP(Y7,[1]Weapon!$B$1:$G$354,6,FALSE)/2,VLOOKUP(Y7,[1]Weapon!$B$1:$G$354,6,FALSE)),0)</f>
        <v>25</v>
      </c>
      <c r="AB7" s="68" t="s">
        <v>148</v>
      </c>
      <c r="AC7">
        <v>-1</v>
      </c>
      <c r="AD7" s="5">
        <f>_xlfn.IFNA(IF($E7="Robot",VLOOKUP(AB7,[1]Weapon!$B$1:$G$354,6,FALSE)/2,VLOOKUP(AB7,[1]Weapon!$B$1:$G$354,6,FALSE)),0)</f>
        <v>-1</v>
      </c>
      <c r="AE7" s="68" t="s">
        <v>148</v>
      </c>
      <c r="AF7">
        <v>-1</v>
      </c>
      <c r="AG7" s="5">
        <f>_xlfn.IFNA(IF($E7="Robot",VLOOKUP(AE7,[1]Weapon!$B$1:$G$354,6,FALSE)/2,VLOOKUP(AE7,[1]Weapon!$B$1:$G$354,6,FALSE)),0)</f>
        <v>-1</v>
      </c>
      <c r="AH7" s="68" t="s">
        <v>148</v>
      </c>
      <c r="AI7">
        <v>-1</v>
      </c>
      <c r="AJ7" s="5">
        <f>_xlfn.IFNA(IF($E7="Robot",VLOOKUP(AH7,[1]Weapon!$B$1:$G$354,6,FALSE)/2,VLOOKUP(AH7,[1]Weapon!$B$1:$G$354,6,FALSE)),0)</f>
        <v>-1</v>
      </c>
      <c r="AK7" s="95" t="s">
        <v>156</v>
      </c>
      <c r="AL7">
        <v>7</v>
      </c>
      <c r="AM7" s="5">
        <f>_xlfn.IFNA(IF($E7="Robot",VLOOKUP(AK7,[1]Weapon!$B$1:$G$354,6,FALSE)/2,VLOOKUP(AK7,[1]Weapon!$B$1:$G$354,6,FALSE)),0)</f>
        <v>10</v>
      </c>
      <c r="AN7" s="108" t="s">
        <v>185</v>
      </c>
      <c r="AO7">
        <v>-1</v>
      </c>
      <c r="AP7" s="5">
        <f>IF(ISTEXT(AN7),_xlfn.IFNA(VLOOKUP(LEFT(AN7,FIND("-",AN7)-1),[1]Weapon!$B$1:$G$354,6,FALSE),0),0)</f>
        <v>-2</v>
      </c>
      <c r="AQ7" s="3"/>
      <c r="AR7" s="104" t="s">
        <v>179</v>
      </c>
      <c r="AS7">
        <v>3981</v>
      </c>
      <c r="AT7" t="s">
        <v>195</v>
      </c>
    </row>
    <row r="8" spans="1:47" x14ac:dyDescent="0.3">
      <c r="A8" s="56" t="str">
        <f t="shared" si="0"/>
        <v>Saffron</v>
      </c>
      <c r="B8" s="89" t="s">
        <v>101</v>
      </c>
      <c r="C8" s="97"/>
      <c r="D8" s="34" t="s">
        <v>102</v>
      </c>
      <c r="E8" s="84" t="s">
        <v>57</v>
      </c>
      <c r="F8">
        <v>98</v>
      </c>
      <c r="G8">
        <v>111</v>
      </c>
      <c r="H8">
        <v>12</v>
      </c>
      <c r="I8" s="4">
        <f t="shared" si="5"/>
        <v>12</v>
      </c>
      <c r="J8">
        <v>0</v>
      </c>
      <c r="K8" s="4">
        <f>J8+_xlfn.IFNA(VLOOKUP($P8,[1]Weapon!$A$1:$M$352,9,FALSE),0)+_xlfn.IFNA(VLOOKUP($S8,[1]Weapon!$A$1:$M$352,9,FALSE),0)+_xlfn.IFNA(VLOOKUP($V8,[1]Weapon!$A$1:$M$352,9,FALSE),0)+_xlfn.IFNA(VLOOKUP($Y8,[1]Weapon!$A$1:$M$352,9,FALSE),0)+_xlfn.IFNA(VLOOKUP($AB8,[1]Weapon!$A$1:$M$352,9,FALSE),0)+_xlfn.IFNA(VLOOKUP($AE8,[1]Weapon!$A$1:$M$352,9,FALSE),0)+_xlfn.IFNA(VLOOKUP($AH8,[1]Weapon!$A$1:$M$352,9,FALSE),0)+_xlfn.IFNA(VLOOKUP($AK8,[1]Weapon!$A$1:$M$352,9,FALSE),0)</f>
        <v>6</v>
      </c>
      <c r="L8">
        <v>7</v>
      </c>
      <c r="M8" s="4">
        <f t="shared" ref="M8:M10" si="7">L8</f>
        <v>7</v>
      </c>
      <c r="N8">
        <v>3</v>
      </c>
      <c r="O8" s="2">
        <f t="shared" ref="O8:O15" si="8">N8</f>
        <v>3</v>
      </c>
      <c r="P8" s="35" t="s">
        <v>38</v>
      </c>
      <c r="Q8">
        <v>26</v>
      </c>
      <c r="R8" s="5">
        <f>_xlfn.IFNA(IF($E8="Robot",VLOOKUP(P8,[1]Weapon!$B$1:$G$354,6,FALSE)/2,VLOOKUP(P8,[1]Weapon!$B$1:$G$354,6,FALSE)),0)</f>
        <v>50</v>
      </c>
      <c r="S8" s="35" t="s">
        <v>93</v>
      </c>
      <c r="T8">
        <v>-1</v>
      </c>
      <c r="U8" s="5">
        <f>_xlfn.IFNA(IF($E8="Robot",VLOOKUP(S8,[1]Weapon!$B$1:$G$354,6,FALSE)/2,VLOOKUP(S8,[1]Weapon!$B$1:$G$354,6,FALSE)),0)</f>
        <v>-2</v>
      </c>
      <c r="V8" s="65" t="s">
        <v>92</v>
      </c>
      <c r="W8">
        <v>24</v>
      </c>
      <c r="X8" s="5">
        <f>_xlfn.IFNA(IF($E8="Robot",VLOOKUP(V8,[1]Weapon!$B$1:$G$354,6,FALSE)/2,VLOOKUP(V8,[1]Weapon!$B$1:$G$354,6,FALSE)),0)</f>
        <v>50</v>
      </c>
      <c r="Y8" s="68" t="s">
        <v>136</v>
      </c>
      <c r="Z8">
        <v>-1</v>
      </c>
      <c r="AA8" s="5">
        <f>_xlfn.IFNA(IF($E8="Robot",VLOOKUP(Y8,[1]Weapon!$B$1:$G$354,6,FALSE)/2,VLOOKUP(Y8,[1]Weapon!$B$1:$G$354,6,FALSE)),0)</f>
        <v>-2</v>
      </c>
      <c r="AB8" s="68" t="s">
        <v>148</v>
      </c>
      <c r="AC8">
        <v>-1</v>
      </c>
      <c r="AD8" s="5">
        <f>_xlfn.IFNA(IF($E8="Robot",VLOOKUP(AB8,[1]Weapon!$B$1:$G$354,6,FALSE)/2,VLOOKUP(AB8,[1]Weapon!$B$1:$G$354,6,FALSE)),0)</f>
        <v>-2</v>
      </c>
      <c r="AE8" s="94" t="s">
        <v>154</v>
      </c>
      <c r="AF8">
        <v>39</v>
      </c>
      <c r="AG8" s="5">
        <f>_xlfn.IFNA(IF($E8="Robot",VLOOKUP(AE8,[1]Weapon!$B$1:$G$354,6,FALSE)/2,VLOOKUP(AE8,[1]Weapon!$B$1:$G$354,6,FALSE)),0)</f>
        <v>50</v>
      </c>
      <c r="AH8" s="102" t="s">
        <v>138</v>
      </c>
      <c r="AI8">
        <v>1</v>
      </c>
      <c r="AJ8" s="5">
        <f>_xlfn.IFNA(IF($E8="Robot",VLOOKUP(AH8,[1]Weapon!$B$1:$G$354,6,FALSE)/2,VLOOKUP(AH8,[1]Weapon!$B$1:$G$354,6,FALSE)),0)</f>
        <v>4</v>
      </c>
      <c r="AK8" s="108"/>
      <c r="AL8">
        <v>0</v>
      </c>
      <c r="AM8" s="5">
        <f>_xlfn.IFNA(IF($E8="Robot",VLOOKUP(AK8,[1]Weapon!$B$1:$G$354,6,FALSE)/2,VLOOKUP(AK8,[1]Weapon!$B$1:$G$354,6,FALSE)),0)</f>
        <v>0</v>
      </c>
      <c r="AO8">
        <v>0</v>
      </c>
      <c r="AP8" s="5">
        <f>IF(ISTEXT(AN8),_xlfn.IFNA(VLOOKUP(LEFT(AN8,FIND("-",AN8)-1),[1]Weapon!$B$1:$G$354,6,FALSE),0),0)</f>
        <v>0</v>
      </c>
      <c r="AQ8" s="3"/>
      <c r="AR8" s="104" t="s">
        <v>194</v>
      </c>
      <c r="AS8">
        <v>2259</v>
      </c>
      <c r="AT8" t="s">
        <v>195</v>
      </c>
    </row>
    <row r="9" spans="1:47" x14ac:dyDescent="0.3">
      <c r="A9" s="56" t="str">
        <f t="shared" si="0"/>
        <v>Elishar</v>
      </c>
      <c r="B9" s="61" t="s">
        <v>103</v>
      </c>
      <c r="C9" s="67"/>
      <c r="D9" s="34" t="s">
        <v>104</v>
      </c>
      <c r="E9" s="84" t="s">
        <v>57</v>
      </c>
      <c r="F9">
        <v>110</v>
      </c>
      <c r="G9">
        <v>121</v>
      </c>
      <c r="H9">
        <v>7</v>
      </c>
      <c r="I9" s="4">
        <f t="shared" si="5"/>
        <v>7</v>
      </c>
      <c r="J9">
        <v>0</v>
      </c>
      <c r="K9" s="4">
        <f>J9+_xlfn.IFNA(VLOOKUP($P9,[1]Weapon!$A$1:$M$352,9,FALSE),0)+_xlfn.IFNA(VLOOKUP($S9,[1]Weapon!$A$1:$M$352,9,FALSE),0)+_xlfn.IFNA(VLOOKUP($V9,[1]Weapon!$A$1:$M$352,9,FALSE),0)+_xlfn.IFNA(VLOOKUP($Y9,[1]Weapon!$A$1:$M$352,9,FALSE),0)+_xlfn.IFNA(VLOOKUP($AB9,[1]Weapon!$A$1:$M$352,9,FALSE),0)+_xlfn.IFNA(VLOOKUP($AE9,[1]Weapon!$A$1:$M$352,9,FALSE),0)+_xlfn.IFNA(VLOOKUP($AH9,[1]Weapon!$A$1:$M$352,9,FALSE),0)+_xlfn.IFNA(VLOOKUP($AK9,[1]Weapon!$A$1:$M$352,9,FALSE),0)</f>
        <v>6</v>
      </c>
      <c r="L9">
        <v>6</v>
      </c>
      <c r="M9" s="4">
        <f t="shared" si="7"/>
        <v>6</v>
      </c>
      <c r="N9">
        <v>10</v>
      </c>
      <c r="O9" s="2">
        <f t="shared" si="8"/>
        <v>10</v>
      </c>
      <c r="P9" s="35" t="s">
        <v>97</v>
      </c>
      <c r="Q9">
        <v>12</v>
      </c>
      <c r="R9" s="5">
        <f>_xlfn.IFNA(IF($E9="Robot",VLOOKUP(P9,[1]Weapon!$B$1:$G$354,6,FALSE)/2,VLOOKUP(P9,[1]Weapon!$B$1:$G$354,6,FALSE)),0)</f>
        <v>30</v>
      </c>
      <c r="S9" s="108" t="s">
        <v>117</v>
      </c>
      <c r="T9">
        <v>62</v>
      </c>
      <c r="U9" s="5">
        <f>_xlfn.IFNA(IF($E9="Robot",VLOOKUP(S9,[1]Weapon!$B$1:$G$354,6,FALSE)/2,VLOOKUP(S9,[1]Weapon!$B$1:$G$354,6,FALSE)),0)</f>
        <v>70</v>
      </c>
      <c r="V9" s="63" t="s">
        <v>117</v>
      </c>
      <c r="W9">
        <v>40</v>
      </c>
      <c r="X9" s="5">
        <f>_xlfn.IFNA(IF($E9="Robot",VLOOKUP(V9,[1]Weapon!$B$1:$G$354,6,FALSE)/2,VLOOKUP(V9,[1]Weapon!$B$1:$G$354,6,FALSE)),0)</f>
        <v>70</v>
      </c>
      <c r="Y9" s="68" t="s">
        <v>136</v>
      </c>
      <c r="Z9">
        <v>-1</v>
      </c>
      <c r="AA9" s="5">
        <f>_xlfn.IFNA(IF($E9="Robot",VLOOKUP(Y9,[1]Weapon!$B$1:$G$354,6,FALSE)/2,VLOOKUP(Y9,[1]Weapon!$B$1:$G$354,6,FALSE)),0)</f>
        <v>-2</v>
      </c>
      <c r="AB9" s="68" t="s">
        <v>148</v>
      </c>
      <c r="AC9">
        <v>-1</v>
      </c>
      <c r="AD9" s="5">
        <f>_xlfn.IFNA(IF($E9="Robot",VLOOKUP(AB9,[1]Weapon!$B$1:$G$354,6,FALSE)/2,VLOOKUP(AB9,[1]Weapon!$B$1:$G$354,6,FALSE)),0)</f>
        <v>-2</v>
      </c>
      <c r="AE9" s="108" t="s">
        <v>93</v>
      </c>
      <c r="AF9">
        <v>-1</v>
      </c>
      <c r="AG9" s="5">
        <f>_xlfn.IFNA(IF($E9="Robot",VLOOKUP(AE9,[1]Weapon!$B$1:$G$354,6,FALSE)/2,VLOOKUP(AE9,[1]Weapon!$B$1:$G$354,6,FALSE)),0)</f>
        <v>-2</v>
      </c>
      <c r="AH9" s="108"/>
      <c r="AI9">
        <v>-1</v>
      </c>
      <c r="AJ9" s="5">
        <f>_xlfn.IFNA(IF($E9="Robot",VLOOKUP(AH9,[1]Weapon!$B$1:$G$354,6,FALSE)/2,VLOOKUP(AH9,[1]Weapon!$B$1:$G$354,6,FALSE)),0)</f>
        <v>0</v>
      </c>
      <c r="AK9" s="77" t="s">
        <v>138</v>
      </c>
      <c r="AL9">
        <v>1</v>
      </c>
      <c r="AM9" s="5">
        <f>_xlfn.IFNA(IF($E9="Robot",VLOOKUP(AK9,[1]Weapon!$B$1:$G$354,6,FALSE)/2,VLOOKUP(AK9,[1]Weapon!$B$1:$G$354,6,FALSE)),0)</f>
        <v>4</v>
      </c>
      <c r="AO9">
        <v>0</v>
      </c>
      <c r="AP9" s="5">
        <f>IF(ISTEXT(AN9),_xlfn.IFNA(VLOOKUP(LEFT(AN9,FIND("-",AN9)-1),[1]Weapon!$B$1:$G$354,6,FALSE),0),0)</f>
        <v>0</v>
      </c>
      <c r="AQ9" s="3"/>
      <c r="AR9" s="104" t="s">
        <v>183</v>
      </c>
      <c r="AS9">
        <v>2179</v>
      </c>
      <c r="AT9" t="s">
        <v>195</v>
      </c>
    </row>
    <row r="10" spans="1:47" x14ac:dyDescent="0.3">
      <c r="A10" s="56" t="str">
        <f t="shared" si="0"/>
        <v>Malli</v>
      </c>
      <c r="B10" s="89" t="s">
        <v>105</v>
      </c>
      <c r="C10" s="105"/>
      <c r="D10" s="34" t="s">
        <v>106</v>
      </c>
      <c r="E10" s="82" t="s">
        <v>88</v>
      </c>
      <c r="F10">
        <v>81</v>
      </c>
      <c r="G10">
        <v>113</v>
      </c>
      <c r="H10">
        <v>10</v>
      </c>
      <c r="I10" s="4">
        <f t="shared" si="5"/>
        <v>10</v>
      </c>
      <c r="J10">
        <v>0</v>
      </c>
      <c r="K10" s="4">
        <f>J10+_xlfn.IFNA(VLOOKUP($P10,[1]Weapon!$A$1:$M$352,9,FALSE),0)+_xlfn.IFNA(VLOOKUP($S10,[1]Weapon!$A$1:$M$352,9,FALSE),0)+_xlfn.IFNA(VLOOKUP($V10,[1]Weapon!$A$1:$M$352,9,FALSE),0)+_xlfn.IFNA(VLOOKUP($Y10,[1]Weapon!$A$1:$M$352,9,FALSE),0)+_xlfn.IFNA(VLOOKUP($AB10,[1]Weapon!$A$1:$M$352,9,FALSE),0)+_xlfn.IFNA(VLOOKUP($AE10,[1]Weapon!$A$1:$M$352,9,FALSE),0)+_xlfn.IFNA(VLOOKUP($AH10,[1]Weapon!$A$1:$M$352,9,FALSE),0)+_xlfn.IFNA(VLOOKUP($AK10,[1]Weapon!$A$1:$M$352,9,FALSE),0)</f>
        <v>3</v>
      </c>
      <c r="L10">
        <v>7</v>
      </c>
      <c r="M10" s="4">
        <f t="shared" si="7"/>
        <v>7</v>
      </c>
      <c r="N10">
        <v>11</v>
      </c>
      <c r="O10" s="2">
        <f t="shared" si="8"/>
        <v>11</v>
      </c>
      <c r="P10" s="74" t="s">
        <v>86</v>
      </c>
      <c r="Q10">
        <v>7</v>
      </c>
      <c r="R10" s="5">
        <f>_xlfn.IFNA(IF($E10="Robot",VLOOKUP(P10,[1]Weapon!$B$1:$G$354,6,FALSE)/2,VLOOKUP(P10,[1]Weapon!$B$1:$G$354,6,FALSE)),0)</f>
        <v>15</v>
      </c>
      <c r="S10" s="75" t="s">
        <v>137</v>
      </c>
      <c r="T10">
        <v>-2</v>
      </c>
      <c r="U10" s="5">
        <f>_xlfn.IFNA(IF($E10="Robot",VLOOKUP(S10,[1]Weapon!$B$1:$G$354,6,FALSE)/2,VLOOKUP(S10,[1]Weapon!$B$1:$G$354,6,FALSE)),0)</f>
        <v>-2</v>
      </c>
      <c r="V10" s="96" t="s">
        <v>157</v>
      </c>
      <c r="W10">
        <v>9</v>
      </c>
      <c r="X10" s="5">
        <f>_xlfn.IFNA(IF($E10="Robot",VLOOKUP(V10,[1]Weapon!$B$1:$G$354,6,FALSE)/2,VLOOKUP(V10,[1]Weapon!$B$1:$G$354,6,FALSE)),0)</f>
        <v>15</v>
      </c>
      <c r="Y10" s="109" t="s">
        <v>206</v>
      </c>
      <c r="Z10">
        <v>-1</v>
      </c>
      <c r="AA10" s="5">
        <f>_xlfn.IFNA(IF($E10="Robot",VLOOKUP(Y10,[1]Weapon!$B$1:$G$354,6,FALSE)/2,VLOOKUP(Y10,[1]Weapon!$B$1:$G$354,6,FALSE)),0)</f>
        <v>-2</v>
      </c>
      <c r="AB10" s="35" t="s">
        <v>107</v>
      </c>
      <c r="AC10">
        <v>29</v>
      </c>
      <c r="AD10" s="5">
        <f>_xlfn.IFNA(IF($E10="Robot",VLOOKUP(AB10,[1]Weapon!$B$1:$G$354,6,FALSE)/2,VLOOKUP(AB10,[1]Weapon!$B$1:$G$354,6,FALSE)),0)</f>
        <v>50</v>
      </c>
      <c r="AE10" s="35" t="s">
        <v>93</v>
      </c>
      <c r="AF10">
        <v>-1</v>
      </c>
      <c r="AG10" s="5">
        <f>_xlfn.IFNA(IF($E10="Robot",VLOOKUP(AE10,[1]Weapon!$B$1:$G$354,6,FALSE)/2,VLOOKUP(AE10,[1]Weapon!$B$1:$G$354,6,FALSE)),0)</f>
        <v>-2</v>
      </c>
      <c r="AH10" s="108" t="s">
        <v>180</v>
      </c>
      <c r="AI10">
        <v>43</v>
      </c>
      <c r="AJ10" s="5">
        <f>_xlfn.IFNA(IF($E10="Robot",VLOOKUP(AH10,[1]Weapon!$B$1:$G$354,6,FALSE)/2,VLOOKUP(AH10,[1]Weapon!$B$1:$G$354,6,FALSE)),0)</f>
        <v>50</v>
      </c>
      <c r="AK10" s="108" t="s">
        <v>117</v>
      </c>
      <c r="AL10">
        <v>69</v>
      </c>
      <c r="AM10" s="5">
        <f>_xlfn.IFNA(IF($E10="Robot",VLOOKUP(AK10,[1]Weapon!$B$1:$G$354,6,FALSE)/2,VLOOKUP(AK10,[1]Weapon!$B$1:$G$354,6,FALSE)),0)</f>
        <v>70</v>
      </c>
      <c r="AN10" s="108" t="s">
        <v>186</v>
      </c>
      <c r="AO10">
        <v>-2</v>
      </c>
      <c r="AP10" s="5">
        <f>IF(ISTEXT(AN10),_xlfn.IFNA(VLOOKUP(LEFT(AN10,FIND("-",AN10)-1),[1]Weapon!$B$1:$G$354,6,FALSE),0),0)</f>
        <v>-2</v>
      </c>
      <c r="AQ10" s="3"/>
      <c r="AR10" s="146" t="s">
        <v>237</v>
      </c>
      <c r="AS10">
        <v>1976</v>
      </c>
      <c r="AT10" t="s">
        <v>195</v>
      </c>
    </row>
    <row r="11" spans="1:47" x14ac:dyDescent="0.3">
      <c r="A11" s="56" t="str">
        <f t="shared" si="0"/>
        <v>Jaelyn</v>
      </c>
      <c r="B11" s="89" t="s">
        <v>71</v>
      </c>
      <c r="C11" s="105"/>
      <c r="D11" s="34" t="s">
        <v>108</v>
      </c>
      <c r="E11" s="82" t="s">
        <v>88</v>
      </c>
      <c r="F11">
        <v>32</v>
      </c>
      <c r="G11">
        <v>118</v>
      </c>
      <c r="H11">
        <v>7</v>
      </c>
      <c r="I11" s="4">
        <f t="shared" si="5"/>
        <v>7</v>
      </c>
      <c r="J11">
        <v>0</v>
      </c>
      <c r="K11" s="4">
        <f>J11+_xlfn.IFNA(VLOOKUP($P11,[1]Weapon!$A$1:$M$352,9,FALSE),0)+_xlfn.IFNA(VLOOKUP($S11,[1]Weapon!$A$1:$M$352,9,FALSE),0)+_xlfn.IFNA(VLOOKUP($V11,[1]Weapon!$A$1:$M$352,9,FALSE),0)+_xlfn.IFNA(VLOOKUP($Y11,[1]Weapon!$A$1:$M$352,9,FALSE),0)+_xlfn.IFNA(VLOOKUP($AB11,[1]Weapon!$A$1:$M$352,9,FALSE),0)+_xlfn.IFNA(VLOOKUP($AE11,[1]Weapon!$A$1:$M$352,9,FALSE),0)+_xlfn.IFNA(VLOOKUP($AH11,[1]Weapon!$A$1:$M$352,9,FALSE),0)+_xlfn.IFNA(VLOOKUP($AK11,[1]Weapon!$A$1:$M$352,9,FALSE),0)</f>
        <v>6</v>
      </c>
      <c r="L11">
        <v>6</v>
      </c>
      <c r="M11" s="38">
        <f>L11</f>
        <v>6</v>
      </c>
      <c r="N11">
        <v>13</v>
      </c>
      <c r="O11" s="2">
        <f t="shared" si="8"/>
        <v>13</v>
      </c>
      <c r="P11" s="74" t="s">
        <v>85</v>
      </c>
      <c r="Q11">
        <v>2</v>
      </c>
      <c r="R11" s="5">
        <f>_xlfn.IFNA(IF($E11="Robot",VLOOKUP(P11,[1]Weapon!$B$1:$G$354,6,FALSE)/2,VLOOKUP(P11,[1]Weapon!$B$1:$G$354,6,FALSE)),0)</f>
        <v>15</v>
      </c>
      <c r="S11" s="109" t="s">
        <v>157</v>
      </c>
      <c r="T11">
        <v>5</v>
      </c>
      <c r="U11" s="5">
        <f>_xlfn.IFNA(IF($E11="Robot",VLOOKUP(S11,[1]Weapon!$B$1:$G$354,6,FALSE)/2,VLOOKUP(S11,[1]Weapon!$B$1:$G$354,6,FALSE)),0)</f>
        <v>15</v>
      </c>
      <c r="V11" s="75" t="s">
        <v>145</v>
      </c>
      <c r="W11">
        <v>7</v>
      </c>
      <c r="X11" s="5">
        <f>_xlfn.IFNA(IF($E11="Robot",VLOOKUP(V11,[1]Weapon!$B$1:$G$354,6,FALSE)/2,VLOOKUP(V11,[1]Weapon!$B$1:$G$354,6,FALSE)),0)</f>
        <v>15</v>
      </c>
      <c r="Y11" s="109" t="s">
        <v>170</v>
      </c>
      <c r="Z11">
        <v>15</v>
      </c>
      <c r="AA11" s="5">
        <f>_xlfn.IFNA(IF($E11="Robot",VLOOKUP(Y11,[1]Weapon!$B$1:$G$354,6,FALSE)/2,VLOOKUP(Y11,[1]Weapon!$B$1:$G$354,6,FALSE)),0)</f>
        <v>15</v>
      </c>
      <c r="AB11" s="35" t="s">
        <v>107</v>
      </c>
      <c r="AC11">
        <v>44</v>
      </c>
      <c r="AD11" s="5">
        <f>_xlfn.IFNA(IF($E11="Robot",VLOOKUP(AB11,[1]Weapon!$B$1:$G$354,6,FALSE)/2,VLOOKUP(AB11,[1]Weapon!$B$1:$G$354,6,FALSE)),0)</f>
        <v>50</v>
      </c>
      <c r="AE11" s="35" t="s">
        <v>109</v>
      </c>
      <c r="AF11">
        <v>-1</v>
      </c>
      <c r="AG11" s="5">
        <f>_xlfn.IFNA(IF($E11="Robot",VLOOKUP(AE11,[1]Weapon!$B$1:$G$354,6,FALSE)/2,VLOOKUP(AE11,[1]Weapon!$B$1:$G$354,6,FALSE)),0)</f>
        <v>-2</v>
      </c>
      <c r="AH11" s="65" t="s">
        <v>117</v>
      </c>
      <c r="AI11">
        <v>56</v>
      </c>
      <c r="AJ11" s="5">
        <f>_xlfn.IFNA(IF($E11="Robot",VLOOKUP(AH11,[1]Weapon!$B$1:$G$354,6,FALSE)/2,VLOOKUP(AH11,[1]Weapon!$B$1:$G$354,6,FALSE)),0)</f>
        <v>70</v>
      </c>
      <c r="AK11" s="108" t="s">
        <v>171</v>
      </c>
      <c r="AL11">
        <v>-1</v>
      </c>
      <c r="AM11" s="5">
        <f>_xlfn.IFNA(IF($E11="Robot",VLOOKUP(AK11,[1]Weapon!$B$1:$G$354,6,FALSE)/2,VLOOKUP(AK11,[1]Weapon!$B$1:$G$354,6,FALSE)),0)</f>
        <v>-2</v>
      </c>
      <c r="AO11">
        <v>0</v>
      </c>
      <c r="AP11" s="5">
        <f>IF(ISTEXT(AN11),_xlfn.IFNA(VLOOKUP(LEFT(AN11,FIND("-",AN11)-1),[1]Weapon!$B$1:$G$354,6,FALSE),0),0)</f>
        <v>0</v>
      </c>
      <c r="AQ11" s="3"/>
      <c r="AR11" s="66" t="s">
        <v>187</v>
      </c>
      <c r="AS11">
        <v>2974</v>
      </c>
      <c r="AT11" t="s">
        <v>203</v>
      </c>
    </row>
    <row r="12" spans="1:47" x14ac:dyDescent="0.3">
      <c r="A12" s="56" t="str">
        <f t="shared" si="0"/>
        <v>DAD-E</v>
      </c>
      <c r="B12" s="61" t="s">
        <v>110</v>
      </c>
      <c r="C12" s="105"/>
      <c r="D12" s="34" t="s">
        <v>111</v>
      </c>
      <c r="E12" s="85" t="s">
        <v>87</v>
      </c>
      <c r="F12">
        <v>151</v>
      </c>
      <c r="G12" s="4">
        <f>24+_xlfn.IFNA(VLOOKUP($P12,[1]Weapon!$A$1:$M$352,12,FALSE),0)+_xlfn.IFNA(VLOOKUP($S12,[1]Weapon!$A$1:$M$352,12,FALSE),0)+_xlfn.IFNA(VLOOKUP($V12,[1]Weapon!$A$1:$M$352,12,FALSE),0)+_xlfn.IFNA(VLOOKUP($Y12,[1]Weapon!$A$1:$M$352,12,FALSE),0)+_xlfn.IFNA(VLOOKUP($AB12,[1]Weapon!$A$1:$M$352,12,FALSE),0)+_xlfn.IFNA(VLOOKUP($AE12,[1]Weapon!$A$1:$M$352,12,FALSE),0)+_xlfn.IFNA(VLOOKUP($AH12,[1]Weapon!$A$1:$M$352,12,FALSE),0)+_xlfn.IFNA(VLOOKUP($AK12,[1]Weapon!$A$1:$M$352,12,FALSE),0)</f>
        <v>168</v>
      </c>
      <c r="H12">
        <v>0</v>
      </c>
      <c r="I12" s="38">
        <f>H12+_xlfn.IFNA(IF(VLOOKUP($P12,[1]Weapon!$B$2:$O$352,13,FALSE)="Str",VLOOKUP($P12,[1]Weapon!$B$2:$O$352,14,FALSE),0),0)+_xlfn.IFNA(IF(VLOOKUP($S12,[1]Weapon!$B$2:$O$352,13,FALSE)="Str",VLOOKUP($S12,[1]Weapon!$B$2:$O$352,14,FALSE),0),0)+_xlfn.IFNA(IF(VLOOKUP($V12,[1]Weapon!$B$2:$O$352,13,FALSE)="Str",VLOOKUP($V12,[1]Weapon!$B$2:$O$352,14,FALSE),0),0)+_xlfn.IFNA(IF(VLOOKUP($Y12,[1]Weapon!$B$2:$O$352,13,FALSE)="Str",VLOOKUP($Y12,[1]Weapon!$B$2:$O$352,14,FALSE),0),0)+_xlfn.IFNA(IF(VLOOKUP($AB12,[1]Weapon!$B$2:$O$352,13,FALSE)="Str",VLOOKUP($AB12,[1]Weapon!$B$2:$O$352,14,FALSE),0),0)+_xlfn.IFNA(IF(VLOOKUP($AE12,[1]Weapon!$B$2:$O$352,13,FALSE)="Str",VLOOKUP($AE12,[1]Weapon!$B$2:$O$352,14,FALSE),0),0)+_xlfn.IFNA(IF(VLOOKUP($AH12,[1]Weapon!$B$2:$O$352,13,FALSE)="Str",VLOOKUP($AH12,[1]Weapon!$B$2:$O$352,14,FALSE),0),0)+_xlfn.IFNA(IF(VLOOKUP($AK12,[1]Weapon!$B$2:$O$352,13,FALSE)="Str",VLOOKUP($AK12,[1]Weapon!$B$2:$O$352,14,FALSE),0),0)</f>
        <v>14</v>
      </c>
      <c r="J12">
        <v>6</v>
      </c>
      <c r="K12" s="4">
        <f>J12+_xlfn.IFNA(IF(VLOOKUP($P12,[1]Weapon!$B$2:$O$352,13,FALSE)="Def",VLOOKUP($P12,[1]Weapon!$B$2:$O$352,14,FALSE),0),0)+_xlfn.IFNA(IF(VLOOKUP($S12,[1]Weapon!$B$2:$O$352,13,FALSE)="Def",VLOOKUP($S12,[1]Weapon!$B$2:$O$352,14,FALSE),0),0)+_xlfn.IFNA(IF(VLOOKUP($V12,[1]Weapon!$B$2:$O$352,13,FALSE)="Def",VLOOKUP($V12,[1]Weapon!$B$2:$O$352,14,FALSE),0),0)+_xlfn.IFNA(IF(VLOOKUP($Y12,[1]Weapon!$B$2:$O$352,13,FALSE)="Def",VLOOKUP($Y12,[1]Weapon!$B$2:$O$352,14,FALSE),0),0)+_xlfn.IFNA(IF(VLOOKUP($AB12,[1]Weapon!$B$2:$O$352,13,FALSE)="Def",VLOOKUP($AB12,[1]Weapon!$B$2:$O$352,14,FALSE),0),0)+_xlfn.IFNA(IF(VLOOKUP($AE12,[1]Weapon!$B$2:$O$352,13,FALSE)="Def",VLOOKUP($AE12,[1]Weapon!$B$2:$O$352,14,FALSE),0),0)+_xlfn.IFNA(IF(VLOOKUP($AH12,[1]Weapon!$B$2:$O$352,13,FALSE)="Def",VLOOKUP($AH12,[1]Weapon!$B$2:$O$352,14,FALSE),0),0)+_xlfn.IFNA(IF(VLOOKUP($AK12,[1]Weapon!$B$2:$O$352,13,FALSE)="Def",VLOOKUP($AK12,[1]Weapon!$B$2:$O$352,14,FALSE),0),0)</f>
        <v>10</v>
      </c>
      <c r="L12">
        <v>5</v>
      </c>
      <c r="M12" s="4">
        <f>L12+_xlfn.IFNA(IF(VLOOKUP($P12,[1]Weapon!$B$2:$O$352,13,FALSE)="Agl",VLOOKUP($P12,[1]Weapon!$B$2:$O$352,14,FALSE),0),0)+_xlfn.IFNA(IF(VLOOKUP($S12,[1]Weapon!$B$2:$O$352,13,FALSE)="Agl",VLOOKUP($S12,[1]Weapon!$B$2:$O$352,14,FALSE),0),0)+_xlfn.IFNA(IF(VLOOKUP($V12,[1]Weapon!$B$2:$O$352,13,FALSE)="Agl",VLOOKUP($V12,[1]Weapon!$B$2:$O$352,14,FALSE),0),0)+_xlfn.IFNA(IF(VLOOKUP($Y12,[1]Weapon!$B$2:$O$352,13,FALSE)="Agl",VLOOKUP($Y12,[1]Weapon!$B$2:$O$352,14,FALSE),0),0)+_xlfn.IFNA(IF(VLOOKUP($AB12,[1]Weapon!$B$2:$O$352,13,FALSE)="Agl",VLOOKUP($AB12,[1]Weapon!$B$2:$O$352,14,FALSE),0),0)+_xlfn.IFNA(IF(VLOOKUP($AE12,[1]Weapon!$B$2:$O$352,13,FALSE)="Agl",VLOOKUP($AE12,[1]Weapon!$B$2:$O$352,14,FALSE),0),0)+_xlfn.IFNA(IF(VLOOKUP($AH12,[1]Weapon!$B$2:$O$352,13,FALSE)="Agl",VLOOKUP($AH12,[1]Weapon!$B$2:$O$352,14,FALSE),0),0)+_xlfn.IFNA(IF(VLOOKUP($AK12,[1]Weapon!$B$2:$O$352,13,FALSE)="Agl",VLOOKUP($AK12,[1]Weapon!$B$2:$O$352,14,FALSE),0),0)</f>
        <v>8</v>
      </c>
      <c r="N12">
        <v>0</v>
      </c>
      <c r="O12" s="2">
        <f>N12+_xlfn.IFNA(IF(VLOOKUP($P12,[1]Weapon!$B$2:$O$352,13,FALSE)="Mana",VLOOKUP($P12,[1]Weapon!$B$2:$O$352,14,FALSE),0),0)+_xlfn.IFNA(IF(VLOOKUP($S12,[1]Weapon!$B$2:$O$352,13,FALSE)="Mana",VLOOKUP($S12,[1]Weapon!$B$2:$O$352,14,FALSE),0),0)+_xlfn.IFNA(IF(VLOOKUP($V12,[1]Weapon!$B$2:$O$352,13,FALSE)="Mana",VLOOKUP($V12,[1]Weapon!$B$2:$O$352,14,FALSE),0),0)+_xlfn.IFNA(IF(VLOOKUP($Y12,[1]Weapon!$B$2:$O$352,13,FALSE)="Mana",VLOOKUP($Y12,[1]Weapon!$B$2:$O$352,14,FALSE),0),0)+_xlfn.IFNA(IF(VLOOKUP($AB12,[1]Weapon!$B$2:$O$352,13,FALSE)="Mana",VLOOKUP($AB12,[1]Weapon!$B$2:$O$352,14,FALSE),0),0)+_xlfn.IFNA(IF(VLOOKUP($AE12,[1]Weapon!$B$2:$O$352,13,FALSE)="Mana",VLOOKUP($AE12,[1]Weapon!$B$2:$O$352,14,FALSE),0),0)+_xlfn.IFNA(IF(VLOOKUP($AH12,[1]Weapon!$B$2:$O$352,13,FALSE)="Mana",VLOOKUP($AH12,[1]Weapon!$B$2:$O$352,14,FALSE),0),0)+_xlfn.IFNA(IF(VLOOKUP($AK12,[1]Weapon!$B$2:$O$352,13,FALSE)="Mana",VLOOKUP($AK12,[1]Weapon!$B$2:$O$352,14,FALSE),0),0)</f>
        <v>0</v>
      </c>
      <c r="P12" s="35" t="s">
        <v>100</v>
      </c>
      <c r="Q12">
        <v>-1</v>
      </c>
      <c r="R12" s="5">
        <f>_xlfn.IFNA(IF($E12="Robot",VLOOKUP(P12,[1]Weapon!$B$1:$G$354,6,FALSE)/2,VLOOKUP(P12,[1]Weapon!$B$1:$G$354,6,FALSE)),0)</f>
        <v>-1</v>
      </c>
      <c r="S12" s="35" t="s">
        <v>112</v>
      </c>
      <c r="T12">
        <v>17</v>
      </c>
      <c r="U12" s="5">
        <f>_xlfn.IFNA(IF($E12="Robot",VLOOKUP(S12,[1]Weapon!$B$1:$G$354,6,FALSE)/2,VLOOKUP(S12,[1]Weapon!$B$1:$G$354,6,FALSE)),0)</f>
        <v>20</v>
      </c>
      <c r="V12" s="108" t="s">
        <v>189</v>
      </c>
      <c r="W12">
        <v>18</v>
      </c>
      <c r="X12" s="5">
        <f>_xlfn.IFNA(IF($E12="Robot",VLOOKUP(V12,[1]Weapon!$B$1:$G$354,6,FALSE)/2,VLOOKUP(V12,[1]Weapon!$B$1:$G$354,6,FALSE)),0)</f>
        <v>25</v>
      </c>
      <c r="Y12" s="64" t="s">
        <v>38</v>
      </c>
      <c r="Z12">
        <v>12</v>
      </c>
      <c r="AA12" s="5">
        <f>_xlfn.IFNA(IF($E12="Robot",VLOOKUP(Y12,[1]Weapon!$B$1:$G$354,6,FALSE)/2,VLOOKUP(Y12,[1]Weapon!$B$1:$G$354,6,FALSE)),0)</f>
        <v>25</v>
      </c>
      <c r="AB12" s="68" t="s">
        <v>148</v>
      </c>
      <c r="AC12">
        <v>-1</v>
      </c>
      <c r="AD12" s="5">
        <f>_xlfn.IFNA(IF($E12="Robot",VLOOKUP(AB12,[1]Weapon!$B$1:$G$354,6,FALSE)/2,VLOOKUP(AB12,[1]Weapon!$B$1:$G$354,6,FALSE)),0)</f>
        <v>-1</v>
      </c>
      <c r="AE12" s="68" t="s">
        <v>120</v>
      </c>
      <c r="AF12">
        <v>14</v>
      </c>
      <c r="AG12" s="5">
        <f>_xlfn.IFNA(IF($E12="Robot",VLOOKUP(AE12,[1]Weapon!$B$1:$G$354,6,FALSE)/2,VLOOKUP(AE12,[1]Weapon!$B$1:$G$354,6,FALSE)),0)</f>
        <v>25</v>
      </c>
      <c r="AH12" s="147" t="s">
        <v>38</v>
      </c>
      <c r="AI12">
        <v>6</v>
      </c>
      <c r="AJ12" s="5">
        <f>_xlfn.IFNA(IF($E12="Robot",VLOOKUP(AH12,[1]Weapon!$B$1:$G$354,6,FALSE)/2,VLOOKUP(AH12,[1]Weapon!$B$1:$G$354,6,FALSE)),0)</f>
        <v>25</v>
      </c>
      <c r="AK12" s="108" t="s">
        <v>173</v>
      </c>
      <c r="AL12">
        <v>2</v>
      </c>
      <c r="AM12" s="5">
        <f>_xlfn.IFNA(IF($E12="Robot",VLOOKUP(AK12,[1]Weapon!$B$1:$G$354,6,FALSE)/2,VLOOKUP(AK12,[1]Weapon!$B$1:$G$354,6,FALSE)),0)</f>
        <v>10</v>
      </c>
      <c r="AN12" s="108"/>
      <c r="AO12">
        <v>0</v>
      </c>
      <c r="AP12" s="5">
        <f>IF(ISTEXT(AN12),_xlfn.IFNA(VLOOKUP(LEFT(AN12,FIND("-",AN12)-1),[1]Weapon!$B$1:$G$354,6,FALSE),0),0)</f>
        <v>0</v>
      </c>
      <c r="AQ12" s="3"/>
      <c r="AR12" s="146" t="s">
        <v>214</v>
      </c>
      <c r="AS12">
        <v>1911</v>
      </c>
      <c r="AT12" t="s">
        <v>195</v>
      </c>
    </row>
    <row r="13" spans="1:47" x14ac:dyDescent="0.3">
      <c r="A13" s="56" t="str">
        <f t="shared" ref="A13:A23" si="9">B13</f>
        <v>Tankbot</v>
      </c>
      <c r="B13" s="34" t="s">
        <v>113</v>
      </c>
      <c r="C13" s="105"/>
      <c r="D13" s="34" t="s">
        <v>114</v>
      </c>
      <c r="E13" s="85" t="s">
        <v>87</v>
      </c>
      <c r="F13">
        <v>80</v>
      </c>
      <c r="G13" s="4">
        <f>24+_xlfn.IFNA(VLOOKUP($P13,[1]Weapon!$A$1:$M$352,12,FALSE),0)+_xlfn.IFNA(VLOOKUP($S13,[1]Weapon!$A$1:$M$352,12,FALSE),0)+_xlfn.IFNA(VLOOKUP($V13,[1]Weapon!$A$1:$M$352,12,FALSE),0)+_xlfn.IFNA(VLOOKUP($Y13,[1]Weapon!$A$1:$M$352,12,FALSE),0)+_xlfn.IFNA(VLOOKUP($AB13,[1]Weapon!$A$1:$M$352,12,FALSE),0)+_xlfn.IFNA(VLOOKUP($AE13,[1]Weapon!$A$1:$M$352,12,FALSE),0)+_xlfn.IFNA(VLOOKUP($AH13,[1]Weapon!$A$1:$M$352,12,FALSE),0)+_xlfn.IFNA(VLOOKUP($AK13,[1]Weapon!$A$1:$M$352,12,FALSE),0)</f>
        <v>105</v>
      </c>
      <c r="H13">
        <v>0</v>
      </c>
      <c r="I13" s="38">
        <f>H13+_xlfn.IFNA(IF(VLOOKUP($P13,[1]Weapon!$B$2:$O$352,13,FALSE)="Str",VLOOKUP($P13,[1]Weapon!$B$2:$O$352,14,FALSE),0),0)+_xlfn.IFNA(IF(VLOOKUP($S13,[1]Weapon!$B$2:$O$352,13,FALSE)="Str",VLOOKUP($S13,[1]Weapon!$B$2:$O$352,14,FALSE),0),0)+_xlfn.IFNA(IF(VLOOKUP($V13,[1]Weapon!$B$2:$O$352,13,FALSE)="Str",VLOOKUP($V13,[1]Weapon!$B$2:$O$352,14,FALSE),0),0)+_xlfn.IFNA(IF(VLOOKUP($Y13,[1]Weapon!$B$2:$O$352,13,FALSE)="Str",VLOOKUP($Y13,[1]Weapon!$B$2:$O$352,14,FALSE),0),0)+_xlfn.IFNA(IF(VLOOKUP($AB13,[1]Weapon!$B$2:$O$352,13,FALSE)="Str",VLOOKUP($AB13,[1]Weapon!$B$2:$O$352,14,FALSE),0),0)+_xlfn.IFNA(IF(VLOOKUP($AE13,[1]Weapon!$B$2:$O$352,13,FALSE)="Str",VLOOKUP($AE13,[1]Weapon!$B$2:$O$352,14,FALSE),0),0)+_xlfn.IFNA(IF(VLOOKUP($AH13,[1]Weapon!$B$2:$O$352,13,FALSE)="Str",VLOOKUP($AH13,[1]Weapon!$B$2:$O$352,14,FALSE),0),0)+_xlfn.IFNA(IF(VLOOKUP($AK13,[1]Weapon!$B$2:$O$352,13,FALSE)="Str",VLOOKUP($AK13,[1]Weapon!$B$2:$O$352,14,FALSE),0),0)</f>
        <v>4</v>
      </c>
      <c r="J13">
        <v>6</v>
      </c>
      <c r="K13" s="4">
        <f>J13+_xlfn.IFNA(IF(VLOOKUP($P13,[1]Weapon!$B$2:$O$352,13,FALSE)="Def",VLOOKUP($P13,[1]Weapon!$B$2:$O$352,14,FALSE),0),0)+_xlfn.IFNA(IF(VLOOKUP($S13,[1]Weapon!$B$2:$O$352,13,FALSE)="Def",VLOOKUP($S13,[1]Weapon!$B$2:$O$352,14,FALSE),0),0)+_xlfn.IFNA(IF(VLOOKUP($V13,[1]Weapon!$B$2:$O$352,13,FALSE)="Def",VLOOKUP($V13,[1]Weapon!$B$2:$O$352,14,FALSE),0),0)+_xlfn.IFNA(IF(VLOOKUP($Y13,[1]Weapon!$B$2:$O$352,13,FALSE)="Def",VLOOKUP($Y13,[1]Weapon!$B$2:$O$352,14,FALSE),0),0)+_xlfn.IFNA(IF(VLOOKUP($AB13,[1]Weapon!$B$2:$O$352,13,FALSE)="Def",VLOOKUP($AB13,[1]Weapon!$B$2:$O$352,14,FALSE),0),0)+_xlfn.IFNA(IF(VLOOKUP($AE13,[1]Weapon!$B$2:$O$352,13,FALSE)="Def",VLOOKUP($AE13,[1]Weapon!$B$2:$O$352,14,FALSE),0),0)+_xlfn.IFNA(IF(VLOOKUP($AH13,[1]Weapon!$B$2:$O$352,13,FALSE)="Def",VLOOKUP($AH13,[1]Weapon!$B$2:$O$352,14,FALSE),0),0)+_xlfn.IFNA(IF(VLOOKUP($AK13,[1]Weapon!$B$2:$O$352,13,FALSE)="Def",VLOOKUP($AK13,[1]Weapon!$B$2:$O$352,14,FALSE),0),0)</f>
        <v>14</v>
      </c>
      <c r="L13">
        <v>5</v>
      </c>
      <c r="M13" s="4">
        <f>L13+_xlfn.IFNA(IF(VLOOKUP($P13,[1]Weapon!$B$2:$O$352,13,FALSE)="Agl",VLOOKUP($P13,[1]Weapon!$B$2:$O$352,14,FALSE),0),0)+_xlfn.IFNA(IF(VLOOKUP($S13,[1]Weapon!$B$2:$O$352,13,FALSE)="Agl",VLOOKUP($S13,[1]Weapon!$B$2:$O$352,14,FALSE),0),0)+_xlfn.IFNA(IF(VLOOKUP($V13,[1]Weapon!$B$2:$O$352,13,FALSE)="Agl",VLOOKUP($V13,[1]Weapon!$B$2:$O$352,14,FALSE),0),0)+_xlfn.IFNA(IF(VLOOKUP($Y13,[1]Weapon!$B$2:$O$352,13,FALSE)="Agl",VLOOKUP($Y13,[1]Weapon!$B$2:$O$352,14,FALSE),0),0)+_xlfn.IFNA(IF(VLOOKUP($AB13,[1]Weapon!$B$2:$O$352,13,FALSE)="Agl",VLOOKUP($AB13,[1]Weapon!$B$2:$O$352,14,FALSE),0),0)+_xlfn.IFNA(IF(VLOOKUP($AE13,[1]Weapon!$B$2:$O$352,13,FALSE)="Agl",VLOOKUP($AE13,[1]Weapon!$B$2:$O$352,14,FALSE),0),0)+_xlfn.IFNA(IF(VLOOKUP($AH13,[1]Weapon!$B$2:$O$352,13,FALSE)="Agl",VLOOKUP($AH13,[1]Weapon!$B$2:$O$352,14,FALSE),0),0)+_xlfn.IFNA(IF(VLOOKUP($AK13,[1]Weapon!$B$2:$O$352,13,FALSE)="Agl",VLOOKUP($AK13,[1]Weapon!$B$2:$O$352,14,FALSE),0),0)</f>
        <v>5</v>
      </c>
      <c r="N13">
        <v>0</v>
      </c>
      <c r="O13" s="2">
        <f>N13+_xlfn.IFNA(IF(VLOOKUP($P13,[1]Weapon!$B$2:$O$352,13,FALSE)="Mana",VLOOKUP($P13,[1]Weapon!$B$2:$O$352,14,FALSE),0),0)+_xlfn.IFNA(IF(VLOOKUP($S13,[1]Weapon!$B$2:$O$352,13,FALSE)="Mana",VLOOKUP($S13,[1]Weapon!$B$2:$O$352,14,FALSE),0),0)+_xlfn.IFNA(IF(VLOOKUP($V13,[1]Weapon!$B$2:$O$352,13,FALSE)="Mana",VLOOKUP($V13,[1]Weapon!$B$2:$O$352,14,FALSE),0),0)+_xlfn.IFNA(IF(VLOOKUP($Y13,[1]Weapon!$B$2:$O$352,13,FALSE)="Mana",VLOOKUP($Y13,[1]Weapon!$B$2:$O$352,14,FALSE),0),0)+_xlfn.IFNA(IF(VLOOKUP($AB13,[1]Weapon!$B$2:$O$352,13,FALSE)="Mana",VLOOKUP($AB13,[1]Weapon!$B$2:$O$352,14,FALSE),0),0)+_xlfn.IFNA(IF(VLOOKUP($AE13,[1]Weapon!$B$2:$O$352,13,FALSE)="Mana",VLOOKUP($AE13,[1]Weapon!$B$2:$O$352,14,FALSE),0),0)+_xlfn.IFNA(IF(VLOOKUP($AH13,[1]Weapon!$B$2:$O$352,13,FALSE)="Mana",VLOOKUP($AH13,[1]Weapon!$B$2:$O$352,14,FALSE),0),0)+_xlfn.IFNA(IF(VLOOKUP($AK13,[1]Weapon!$B$2:$O$352,13,FALSE)="Mana",VLOOKUP($AK13,[1]Weapon!$B$2:$O$352,14,FALSE),0),0)</f>
        <v>0</v>
      </c>
      <c r="P13" s="35" t="s">
        <v>100</v>
      </c>
      <c r="Q13">
        <v>-1</v>
      </c>
      <c r="R13" s="5">
        <f>_xlfn.IFNA(IF($E13="Robot",VLOOKUP(P13,[1]Weapon!$B$1:$G$354,6,FALSE)/2,VLOOKUP(P13,[1]Weapon!$B$1:$G$354,6,FALSE)),0)</f>
        <v>-1</v>
      </c>
      <c r="S13" s="108" t="s">
        <v>120</v>
      </c>
      <c r="T13">
        <v>0</v>
      </c>
      <c r="U13" s="5">
        <f>_xlfn.IFNA(IF($E13="Robot",VLOOKUP(S13,[1]Weapon!$B$1:$G$354,6,FALSE)/2,VLOOKUP(S13,[1]Weapon!$B$1:$G$354,6,FALSE)),0)</f>
        <v>25</v>
      </c>
      <c r="V13" s="59" t="s">
        <v>136</v>
      </c>
      <c r="W13">
        <v>-1</v>
      </c>
      <c r="X13" s="5">
        <f>_xlfn.IFNA(IF($E13="Robot",VLOOKUP(V13,[1]Weapon!$B$1:$G$354,6,FALSE)/2,VLOOKUP(V13,[1]Weapon!$B$1:$G$354,6,FALSE)),0)</f>
        <v>-1</v>
      </c>
      <c r="Y13" s="71" t="s">
        <v>120</v>
      </c>
      <c r="Z13">
        <v>14</v>
      </c>
      <c r="AA13" s="5">
        <f>_xlfn.IFNA(IF($E13="Robot",VLOOKUP(Y13,[1]Weapon!$B$1:$G$354,6,FALSE)/2,VLOOKUP(Y13,[1]Weapon!$B$1:$G$354,6,FALSE)),0)</f>
        <v>25</v>
      </c>
      <c r="AB13" s="98" t="s">
        <v>158</v>
      </c>
      <c r="AC13">
        <v>14</v>
      </c>
      <c r="AD13" s="5">
        <f>_xlfn.IFNA(IF($E13="Robot",VLOOKUP(AB13,[1]Weapon!$B$1:$G$354,6,FALSE)/2,VLOOKUP(AB13,[1]Weapon!$B$1:$G$354,6,FALSE)),0)</f>
        <v>25</v>
      </c>
      <c r="AE13" s="71" t="s">
        <v>148</v>
      </c>
      <c r="AF13">
        <v>-1</v>
      </c>
      <c r="AG13" s="5">
        <f>_xlfn.IFNA(IF($E13="Robot",VLOOKUP(AE13,[1]Weapon!$B$1:$G$354,6,FALSE)/2,VLOOKUP(AE13,[1]Weapon!$B$1:$G$354,6,FALSE)),0)</f>
        <v>-1</v>
      </c>
      <c r="AH13" s="71" t="s">
        <v>138</v>
      </c>
      <c r="AI13">
        <v>1</v>
      </c>
      <c r="AJ13" s="5">
        <f>_xlfn.IFNA(IF($E13="Robot",VLOOKUP(AH13,[1]Weapon!$B$1:$G$354,6,FALSE)/2,VLOOKUP(AH13,[1]Weapon!$B$1:$G$354,6,FALSE)),0)</f>
        <v>2</v>
      </c>
      <c r="AK13" s="71" t="s">
        <v>138</v>
      </c>
      <c r="AL13">
        <v>0</v>
      </c>
      <c r="AM13" s="5">
        <f>_xlfn.IFNA(IF($E13="Robot",VLOOKUP(AK13,[1]Weapon!$B$1:$G$354,6,FALSE)/2,VLOOKUP(AK13,[1]Weapon!$B$1:$G$354,6,FALSE)),0)</f>
        <v>2</v>
      </c>
      <c r="AO13">
        <v>0</v>
      </c>
      <c r="AP13" s="5">
        <f>IF(ISTEXT(AN13),_xlfn.IFNA(VLOOKUP(LEFT(AN13,FIND("-",AN13)-1),[1]Weapon!$B$1:$G$354,6,FALSE),0),0)</f>
        <v>0</v>
      </c>
      <c r="AQ13" s="3"/>
      <c r="AR13" s="104" t="s">
        <v>198</v>
      </c>
      <c r="AS13">
        <v>1949</v>
      </c>
      <c r="AT13" t="s">
        <v>195</v>
      </c>
    </row>
    <row r="14" spans="1:47" x14ac:dyDescent="0.3">
      <c r="A14" s="56" t="str">
        <f t="shared" si="9"/>
        <v>DM</v>
      </c>
      <c r="B14" s="61" t="s">
        <v>115</v>
      </c>
      <c r="C14" s="145"/>
      <c r="D14" s="136" t="s">
        <v>116</v>
      </c>
      <c r="E14" s="90" t="s">
        <v>235</v>
      </c>
      <c r="F14">
        <v>138</v>
      </c>
      <c r="G14" s="4">
        <f>IF(ISBLANK(VLOOKUP($E14,[1]Monster!$A$2:$X$261,10,FALSE)),"",VLOOKUP($E14,[1]Monster!$A$2:$X$261,10,FALSE))+12</f>
        <v>138</v>
      </c>
      <c r="H14">
        <v>1</v>
      </c>
      <c r="I14" s="4">
        <f>IF(ISBLANK(VLOOKUP($E14,[1]Monster!$A$2:$X$261,11,FALSE)),"",VLOOKUP($E14,[1]Monster!$A$2:$X$261,11,FALSE))+H14</f>
        <v>13</v>
      </c>
      <c r="J14">
        <v>1</v>
      </c>
      <c r="K14" s="4">
        <f>IF(ISBLANK(VLOOKUP($E14,[1]Monster!$A$2:$X$261,14,FALSE)),"",VLOOKUP($E14,[1]Monster!$A$2:$X$261,14,FALSE))+J14</f>
        <v>12</v>
      </c>
      <c r="L14">
        <v>1</v>
      </c>
      <c r="M14" s="4">
        <f>IF(ISBLANK(VLOOKUP($E14,[1]Monster!$A$2:$X$261,12,FALSE)),"",VLOOKUP($E14,[1]Monster!$A$2:$X$261,12,FALSE))+L14</f>
        <v>14</v>
      </c>
      <c r="N14">
        <v>1</v>
      </c>
      <c r="O14" s="2">
        <f>IF(ISBLANK(VLOOKUP($E14,[1]Monster!$A$2:$X$261,13,FALSE)),"",VLOOKUP($E14,[1]Monster!$A$2:$X$261,13,FALSE))+N14</f>
        <v>17</v>
      </c>
      <c r="P14" s="28" t="str">
        <f>IF(ISBLANK(VLOOKUP($E14,[1]Monster!$A$2:$X$261,16,FALSE)),"",VLOOKUP($E14,[1]Monster!$A$2:$X$261,16,FALSE))</f>
        <v>Tail</v>
      </c>
      <c r="Q14">
        <v>13</v>
      </c>
      <c r="R14" s="5">
        <f>_xlfn.IFNA(IF($E14="Robot",VLOOKUP(P14,[1]Weapon!$B$1:$G$354,6,FALSE)/2,VLOOKUP(P14,[1]Weapon!$B$1:$G$354,6,FALSE)),0)</f>
        <v>15</v>
      </c>
      <c r="S14" s="28" t="str">
        <f>IF(ISBLANK(VLOOKUP($E14,[1]Monster!$A$2:$X$261,17,FALSE)),"",VLOOKUP($E14,[1]Monster!$A$2:$X$261,17,FALSE))</f>
        <v>Charm</v>
      </c>
      <c r="T14">
        <v>15</v>
      </c>
      <c r="U14" s="5">
        <f>_xlfn.IFNA(IF($E14="Robot",VLOOKUP(S14,[1]Weapon!$B$1:$G$354,6,FALSE)/2,VLOOKUP(S14,[1]Weapon!$B$1:$G$354,6,FALSE)),0)</f>
        <v>15</v>
      </c>
      <c r="V14" s="29" t="str">
        <f>IF(ISBLANK(VLOOKUP($E14,[1]Monster!$A$2:$X$261,18,FALSE)),"",VLOOKUP($E14,[1]Monster!$A$2:$X$261,18,FALSE))</f>
        <v>O-Poison</v>
      </c>
      <c r="W14">
        <v>-2</v>
      </c>
      <c r="X14" s="5">
        <f>_xlfn.IFNA(IF($E14="Robot",VLOOKUP(V14,[1]Weapon!$B$1:$G$354,6,FALSE)/2,VLOOKUP(V14,[1]Weapon!$B$1:$G$354,6,FALSE)),0)</f>
        <v>-2</v>
      </c>
      <c r="Y14" s="28" t="str">
        <f>IF(ISBLANK(VLOOKUP($E14,[1]Monster!$A$2:$X$261,19,FALSE)),"",VLOOKUP($E14,[1]Monster!$A$2:$X$261,19,FALSE))</f>
        <v/>
      </c>
      <c r="Z14">
        <v>0</v>
      </c>
      <c r="AA14" s="5">
        <f>_xlfn.IFNA(IF($E14="Robot",VLOOKUP(Y14,[1]Weapon!$B$1:$G$354,6,FALSE)/2,VLOOKUP(Y14,[1]Weapon!$B$1:$G$354,6,FALSE)),0)</f>
        <v>0</v>
      </c>
      <c r="AB14" s="28" t="str">
        <f>IF(ISBLANK(VLOOKUP($E14,[1]Monster!$A$2:$X$261,20,FALSE)),"",VLOOKUP($E14,[1]Monster!$A$2:$X$261,20,FALSE))</f>
        <v/>
      </c>
      <c r="AC14">
        <v>0</v>
      </c>
      <c r="AD14" s="5">
        <f>_xlfn.IFNA(IF($E14="Robot",VLOOKUP(AB14,[1]Weapon!$B$1:$G$354,6,FALSE)/2,VLOOKUP(AB14,[1]Weapon!$B$1:$G$354,6,FALSE)),0)</f>
        <v>0</v>
      </c>
      <c r="AE14" s="28" t="str">
        <f>IF(ISBLANK(VLOOKUP($E14,[1]Monster!$A$2:$X$261,21,FALSE)),"",VLOOKUP($E14,[1]Monster!$A$2:$X$261,21,FALSE))</f>
        <v/>
      </c>
      <c r="AF14">
        <v>0</v>
      </c>
      <c r="AG14" s="5">
        <f>_xlfn.IFNA(IF($E14="Robot",VLOOKUP(AE14,[1]Weapon!$B$1:$G$354,6,FALSE)/2,VLOOKUP(AE14,[1]Weapon!$B$1:$G$354,6,FALSE)),0)</f>
        <v>0</v>
      </c>
      <c r="AH14" s="29" t="str">
        <f>IF(ISBLANK(VLOOKUP($E14,[1]Monster!$A$2:$X$261,22,FALSE)),"",VLOOKUP($E14,[1]Monster!$A$2:$X$261,22,FALSE))</f>
        <v/>
      </c>
      <c r="AI14">
        <v>0</v>
      </c>
      <c r="AJ14" s="5">
        <f>_xlfn.IFNA(IF($E14="Robot",VLOOKUP(AH14,[1]Weapon!$B$1:$G$354,6,FALSE)/2,VLOOKUP(AH14,[1]Weapon!$B$1:$G$354,6,FALSE)),0)</f>
        <v>0</v>
      </c>
      <c r="AK14" s="147" t="s">
        <v>236</v>
      </c>
      <c r="AL14">
        <v>15</v>
      </c>
      <c r="AM14" s="5">
        <f>_xlfn.IFNA(IF($E14="Robot",VLOOKUP(AK14,[1]Weapon!$B$1:$G$354,6,FALSE)/2,VLOOKUP(AK14,[1]Weapon!$B$1:$G$354,6,FALSE)),0)</f>
        <v>15</v>
      </c>
      <c r="AO14">
        <v>0</v>
      </c>
      <c r="AP14" s="5">
        <f>IF(ISTEXT(AN14),_xlfn.IFNA(VLOOKUP(LEFT(AN14,FIND("-",AN14)-1),[1]Weapon!$B$1:$G$354,6,FALSE),0),0)</f>
        <v>0</v>
      </c>
      <c r="AQ14" s="3"/>
      <c r="AR14" s="146" t="s">
        <v>213</v>
      </c>
      <c r="AS14">
        <v>2585</v>
      </c>
      <c r="AT14" t="s">
        <v>195</v>
      </c>
      <c r="AU14" s="104" t="s">
        <v>176</v>
      </c>
    </row>
    <row r="15" spans="1:47" x14ac:dyDescent="0.3">
      <c r="A15" s="56" t="str">
        <f t="shared" si="9"/>
        <v>Lictus</v>
      </c>
      <c r="B15" s="78" t="s">
        <v>123</v>
      </c>
      <c r="C15" s="67"/>
      <c r="D15" s="37" t="s">
        <v>118</v>
      </c>
      <c r="E15" s="91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4">
        <f>J15+_xlfn.IFNA(VLOOKUP($P15,[1]Weapon!$A$1:$M$352,9,FALSE),0)+_xlfn.IFNA(VLOOKUP($S15,[1]Weapon!$A$1:$M$352,9,FALSE),0)+_xlfn.IFNA(VLOOKUP($V15,[1]Weapon!$A$1:$M$352,9,FALSE),0)+_xlfn.IFNA(VLOOKUP($Y15,[1]Weapon!$A$1:$M$352,9,FALSE),0)+_xlfn.IFNA(VLOOKUP($AB15,[1]Weapon!$A$1:$M$352,9,FALSE),0)+_xlfn.IFNA(VLOOKUP($AE15,[1]Weapon!$A$1:$M$352,9,FALSE),0)+_xlfn.IFNA(VLOOKUP($AH15,[1]Weapon!$A$1:$M$352,9,FALSE),0)+_xlfn.IFNA(VLOOKUP($AK15,[1]Weapon!$A$1:$M$352,9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6" t="s">
        <v>119</v>
      </c>
      <c r="Q15">
        <v>24</v>
      </c>
      <c r="R15" s="5">
        <f>_xlfn.IFNA(IF($E15="Robot",VLOOKUP(P15,[1]Weapon!$B$1:$G$354,6,FALSE)/2,VLOOKUP(P15,[1]Weapon!$B$1:$G$354,6,FALSE)),0)</f>
        <v>50</v>
      </c>
      <c r="S15" s="36" t="s">
        <v>93</v>
      </c>
      <c r="T15">
        <v>-1</v>
      </c>
      <c r="U15" s="5">
        <f>_xlfn.IFNA(IF($E15="Robot",VLOOKUP(S15,[1]Weapon!$B$1:$G$354,6,FALSE)/2,VLOOKUP(S15,[1]Weapon!$B$1:$G$354,6,FALSE)),0)</f>
        <v>-2</v>
      </c>
      <c r="V15" s="65" t="s">
        <v>92</v>
      </c>
      <c r="W15">
        <v>50</v>
      </c>
      <c r="X15" s="5">
        <f>_xlfn.IFNA(IF($E15="Robot",VLOOKUP(V15,[1]Weapon!$B$1:$G$354,6,FALSE)/2,VLOOKUP(V15,[1]Weapon!$B$1:$G$354,6,FALSE)),0)</f>
        <v>50</v>
      </c>
      <c r="Y15" s="68" t="s">
        <v>136</v>
      </c>
      <c r="Z15">
        <v>-1</v>
      </c>
      <c r="AA15" s="5">
        <f>_xlfn.IFNA(IF($E15="Robot",VLOOKUP(Y15,[1]Weapon!$B$1:$G$354,6,FALSE)/2,VLOOKUP(Y15,[1]Weapon!$B$1:$G$354,6,FALSE)),0)</f>
        <v>-2</v>
      </c>
      <c r="AB15" s="68" t="s">
        <v>148</v>
      </c>
      <c r="AC15">
        <v>-1</v>
      </c>
      <c r="AD15" s="5">
        <f>_xlfn.IFNA(IF($E15="Robot",VLOOKUP(AB15,[1]Weapon!$B$1:$G$354,6,FALSE)/2,VLOOKUP(AB15,[1]Weapon!$B$1:$G$354,6,FALSE)),0)</f>
        <v>-2</v>
      </c>
      <c r="AE15" s="28"/>
      <c r="AF15">
        <v>-1</v>
      </c>
      <c r="AG15" s="5">
        <f>_xlfn.IFNA(IF($E15="Robot",VLOOKUP(AE15,[1]Weapon!$B$1:$G$354,6,FALSE)/2,VLOOKUP(AE15,[1]Weapon!$B$1:$G$354,6,FALSE)),0)</f>
        <v>0</v>
      </c>
      <c r="AH15" s="28"/>
      <c r="AI15">
        <v>-1</v>
      </c>
      <c r="AJ15" s="5">
        <f>_xlfn.IFNA(IF($E15="Robot",VLOOKUP(AH15,[1]Weapon!$B$1:$G$354,6,FALSE)/2,VLOOKUP(AH15,[1]Weapon!$B$1:$G$354,6,FALSE)),0)</f>
        <v>0</v>
      </c>
      <c r="AL15">
        <v>0</v>
      </c>
      <c r="AM15" s="5">
        <f>_xlfn.IFNA(IF($E15="Robot",VLOOKUP(AK15,[1]Weapon!$B$1:$G$354,6,FALSE)/2,VLOOKUP(AK15,[1]Weapon!$B$1:$G$354,6,FALSE)),0)</f>
        <v>0</v>
      </c>
      <c r="AO15">
        <v>0</v>
      </c>
      <c r="AP15" s="5">
        <f>IF(ISTEXT(AN15),_xlfn.IFNA(VLOOKUP(LEFT(AN15,FIND("-",AN15)-1),[1]Weapon!$B$1:$G$354,6,FALSE),0),0)</f>
        <v>0</v>
      </c>
      <c r="AQ15" s="3"/>
      <c r="AR15" s="93" t="s">
        <v>155</v>
      </c>
      <c r="AS15">
        <v>562</v>
      </c>
      <c r="AT15" t="s">
        <v>196</v>
      </c>
    </row>
    <row r="16" spans="1:47" x14ac:dyDescent="0.3">
      <c r="A16" s="56" t="str">
        <f t="shared" si="9"/>
        <v>BYTE</v>
      </c>
      <c r="B16" s="78" t="s">
        <v>121</v>
      </c>
      <c r="C16" s="105"/>
      <c r="D16" s="39" t="s">
        <v>122</v>
      </c>
      <c r="E16" s="85" t="s">
        <v>87</v>
      </c>
      <c r="F16">
        <v>86</v>
      </c>
      <c r="G16" s="4">
        <f>24+_xlfn.IFNA(VLOOKUP($P16,[1]Weapon!$A$1:$M$352,12,FALSE),0)+_xlfn.IFNA(VLOOKUP($S16,[1]Weapon!$A$1:$M$352,12,FALSE),0)+_xlfn.IFNA(VLOOKUP($V16,[1]Weapon!$A$1:$M$352,12,FALSE),0)+_xlfn.IFNA(VLOOKUP($Y16,[1]Weapon!$A$1:$M$352,12,FALSE),0)+_xlfn.IFNA(VLOOKUP($AB16,[1]Weapon!$A$1:$M$352,12,FALSE),0)+_xlfn.IFNA(VLOOKUP($AE16,[1]Weapon!$A$1:$M$352,12,FALSE),0)+_xlfn.IFNA(VLOOKUP($AH16,[1]Weapon!$A$1:$M$352,12,FALSE),0)+_xlfn.IFNA(VLOOKUP($AK16,[1]Weapon!$A$1:$M$352,12,FALSE),0)</f>
        <v>195</v>
      </c>
      <c r="H16">
        <v>0</v>
      </c>
      <c r="I16" s="38">
        <f>H16+_xlfn.IFNA(IF(VLOOKUP($P16,[1]Weapon!$B$2:$O$352,13,FALSE)="Str",VLOOKUP($P16,[1]Weapon!$B$2:$O$352,14,FALSE),0),0)+_xlfn.IFNA(IF(VLOOKUP($S16,[1]Weapon!$B$2:$O$352,13,FALSE)="Str",VLOOKUP($S16,[1]Weapon!$B$2:$O$352,14,FALSE),0),0)+_xlfn.IFNA(IF(VLOOKUP($V16,[1]Weapon!$B$2:$O$352,13,FALSE)="Str",VLOOKUP($V16,[1]Weapon!$B$2:$O$352,14,FALSE),0),0)+_xlfn.IFNA(IF(VLOOKUP($Y16,[1]Weapon!$B$2:$O$352,13,FALSE)="Str",VLOOKUP($Y16,[1]Weapon!$B$2:$O$352,14,FALSE),0),0)+_xlfn.IFNA(IF(VLOOKUP($AB16,[1]Weapon!$B$2:$O$352,13,FALSE)="Str",VLOOKUP($AB16,[1]Weapon!$B$2:$O$352,14,FALSE),0),0)+_xlfn.IFNA(IF(VLOOKUP($AE16,[1]Weapon!$B$2:$O$352,13,FALSE)="Str",VLOOKUP($AE16,[1]Weapon!$B$2:$O$352,14,FALSE),0),0)+_xlfn.IFNA(IF(VLOOKUP($AH16,[1]Weapon!$B$2:$O$352,13,FALSE)="Str",VLOOKUP($AH16,[1]Weapon!$B$2:$O$352,14,FALSE),0),0)+_xlfn.IFNA(IF(VLOOKUP($AK16,[1]Weapon!$B$2:$O$352,13,FALSE)="Str",VLOOKUP($AK16,[1]Weapon!$B$2:$O$352,14,FALSE),0),0)</f>
        <v>36</v>
      </c>
      <c r="J16">
        <v>6</v>
      </c>
      <c r="K16" s="4">
        <f>J16+_xlfn.IFNA(IF(VLOOKUP($P16,[1]Weapon!$B$2:$O$352,13,FALSE)="Def",VLOOKUP($P16,[1]Weapon!$B$2:$O$352,14,FALSE),0),0)+_xlfn.IFNA(IF(VLOOKUP($S16,[1]Weapon!$B$2:$O$352,13,FALSE)="Def",VLOOKUP($S16,[1]Weapon!$B$2:$O$352,14,FALSE),0),0)+_xlfn.IFNA(IF(VLOOKUP($V16,[1]Weapon!$B$2:$O$352,13,FALSE)="Def",VLOOKUP($V16,[1]Weapon!$B$2:$O$352,14,FALSE),0),0)+_xlfn.IFNA(IF(VLOOKUP($Y16,[1]Weapon!$B$2:$O$352,13,FALSE)="Def",VLOOKUP($Y16,[1]Weapon!$B$2:$O$352,14,FALSE),0),0)+_xlfn.IFNA(IF(VLOOKUP($AB16,[1]Weapon!$B$2:$O$352,13,FALSE)="Def",VLOOKUP($AB16,[1]Weapon!$B$2:$O$352,14,FALSE),0),0)+_xlfn.IFNA(IF(VLOOKUP($AE16,[1]Weapon!$B$2:$O$352,13,FALSE)="Def",VLOOKUP($AE16,[1]Weapon!$B$2:$O$352,14,FALSE),0),0)+_xlfn.IFNA(IF(VLOOKUP($AH16,[1]Weapon!$B$2:$O$352,13,FALSE)="Def",VLOOKUP($AH16,[1]Weapon!$B$2:$O$352,14,FALSE),0),0)+_xlfn.IFNA(IF(VLOOKUP($AK16,[1]Weapon!$B$2:$O$352,13,FALSE)="Def",VLOOKUP($AK16,[1]Weapon!$B$2:$O$352,14,FALSE),0),0)</f>
        <v>6</v>
      </c>
      <c r="L16">
        <v>5</v>
      </c>
      <c r="M16" s="4">
        <f>L16+_xlfn.IFNA(IF(VLOOKUP($P16,[1]Weapon!$B$2:$O$352,13,FALSE)="Agl",VLOOKUP($P16,[1]Weapon!$B$2:$O$352,14,FALSE),0),0)+_xlfn.IFNA(IF(VLOOKUP($S16,[1]Weapon!$B$2:$O$352,13,FALSE)="Agl",VLOOKUP($S16,[1]Weapon!$B$2:$O$352,14,FALSE),0),0)+_xlfn.IFNA(IF(VLOOKUP($V16,[1]Weapon!$B$2:$O$352,13,FALSE)="Agl",VLOOKUP($V16,[1]Weapon!$B$2:$O$352,14,FALSE),0),0)+_xlfn.IFNA(IF(VLOOKUP($Y16,[1]Weapon!$B$2:$O$352,13,FALSE)="Agl",VLOOKUP($Y16,[1]Weapon!$B$2:$O$352,14,FALSE),0),0)+_xlfn.IFNA(IF(VLOOKUP($AB16,[1]Weapon!$B$2:$O$352,13,FALSE)="Agl",VLOOKUP($AB16,[1]Weapon!$B$2:$O$352,14,FALSE),0),0)+_xlfn.IFNA(IF(VLOOKUP($AE16,[1]Weapon!$B$2:$O$352,13,FALSE)="Agl",VLOOKUP($AE16,[1]Weapon!$B$2:$O$352,14,FALSE),0),0)+_xlfn.IFNA(IF(VLOOKUP($AH16,[1]Weapon!$B$2:$O$352,13,FALSE)="Agl",VLOOKUP($AH16,[1]Weapon!$B$2:$O$352,14,FALSE),0),0)+_xlfn.IFNA(IF(VLOOKUP($AK16,[1]Weapon!$B$2:$O$352,13,FALSE)="Agl",VLOOKUP($AK16,[1]Weapon!$B$2:$O$352,14,FALSE),0),0)</f>
        <v>5</v>
      </c>
      <c r="N16">
        <v>0</v>
      </c>
      <c r="O16" s="2">
        <f>N16+_xlfn.IFNA(IF(VLOOKUP($P16,[1]Weapon!$B$2:$O$352,13,FALSE)="Mana",VLOOKUP($P16,[1]Weapon!$B$2:$O$352,14,FALSE),0),0)+_xlfn.IFNA(IF(VLOOKUP($S16,[1]Weapon!$B$2:$O$352,13,FALSE)="Mana",VLOOKUP($S16,[1]Weapon!$B$2:$O$352,14,FALSE),0),0)+_xlfn.IFNA(IF(VLOOKUP($V16,[1]Weapon!$B$2:$O$352,13,FALSE)="Mana",VLOOKUP($V16,[1]Weapon!$B$2:$O$352,14,FALSE),0),0)+_xlfn.IFNA(IF(VLOOKUP($Y16,[1]Weapon!$B$2:$O$352,13,FALSE)="Mana",VLOOKUP($Y16,[1]Weapon!$B$2:$O$352,14,FALSE),0),0)+_xlfn.IFNA(IF(VLOOKUP($AB16,[1]Weapon!$B$2:$O$352,13,FALSE)="Mana",VLOOKUP($AB16,[1]Weapon!$B$2:$O$352,14,FALSE),0),0)+_xlfn.IFNA(IF(VLOOKUP($AE16,[1]Weapon!$B$2:$O$352,13,FALSE)="Mana",VLOOKUP($AE16,[1]Weapon!$B$2:$O$352,14,FALSE),0),0)+_xlfn.IFNA(IF(VLOOKUP($AH16,[1]Weapon!$B$2:$O$352,13,FALSE)="Mana",VLOOKUP($AH16,[1]Weapon!$B$2:$O$352,14,FALSE),0),0)+_xlfn.IFNA(IF(VLOOKUP($AK16,[1]Weapon!$B$2:$O$352,13,FALSE)="Mana",VLOOKUP($AK16,[1]Weapon!$B$2:$O$352,14,FALSE),0),0)</f>
        <v>0</v>
      </c>
      <c r="P16" s="35" t="s">
        <v>100</v>
      </c>
      <c r="Q16">
        <v>-1</v>
      </c>
      <c r="R16" s="5">
        <f>_xlfn.IFNA(IF($E16="Robot",VLOOKUP(P16,[1]Weapon!$B$1:$G$354,6,FALSE)/2,VLOOKUP(P16,[1]Weapon!$B$1:$G$354,6,FALSE)),0)</f>
        <v>-1</v>
      </c>
      <c r="S16" s="108" t="s">
        <v>177</v>
      </c>
      <c r="T16">
        <v>23</v>
      </c>
      <c r="U16" s="5">
        <f>_xlfn.IFNA(IF($E16="Robot",VLOOKUP(S16,[1]Weapon!$B$1:$G$354,6,FALSE)/2,VLOOKUP(S16,[1]Weapon!$B$1:$G$354,6,FALSE)),0)</f>
        <v>25</v>
      </c>
      <c r="V16" s="108" t="s">
        <v>177</v>
      </c>
      <c r="W16">
        <v>25</v>
      </c>
      <c r="X16" s="5">
        <f>_xlfn.IFNA(IF($E16="Robot",VLOOKUP(V16,[1]Weapon!$B$1:$G$354,6,FALSE)/2,VLOOKUP(V16,[1]Weapon!$B$1:$G$354,6,FALSE)),0)</f>
        <v>25</v>
      </c>
      <c r="Y16" s="108" t="s">
        <v>189</v>
      </c>
      <c r="Z16">
        <v>25</v>
      </c>
      <c r="AA16" s="5">
        <f>_xlfn.IFNA(IF($E16="Robot",VLOOKUP(Y16,[1]Weapon!$B$1:$G$354,6,FALSE)/2,VLOOKUP(Y16,[1]Weapon!$B$1:$G$354,6,FALSE)),0)</f>
        <v>25</v>
      </c>
      <c r="AB16" s="108" t="s">
        <v>38</v>
      </c>
      <c r="AC16">
        <v>2</v>
      </c>
      <c r="AD16" s="5">
        <f>_xlfn.IFNA(IF($E16="Robot",VLOOKUP(AB16,[1]Weapon!$B$1:$G$354,6,FALSE)/2,VLOOKUP(AB16,[1]Weapon!$B$1:$G$354,6,FALSE)),0)</f>
        <v>25</v>
      </c>
      <c r="AE16" s="147" t="s">
        <v>164</v>
      </c>
      <c r="AF16">
        <v>21</v>
      </c>
      <c r="AG16" s="5">
        <f>_xlfn.IFNA(IF($E16="Robot",VLOOKUP(AE16,[1]Weapon!$B$1:$G$354,6,FALSE)/2,VLOOKUP(AE16,[1]Weapon!$B$1:$G$354,6,FALSE)),0)</f>
        <v>25</v>
      </c>
      <c r="AH16" s="68" t="s">
        <v>38</v>
      </c>
      <c r="AI16">
        <v>25</v>
      </c>
      <c r="AJ16" s="5">
        <f>_xlfn.IFNA(IF($E16="Robot",VLOOKUP(AH16,[1]Weapon!$B$1:$G$354,6,FALSE)/2,VLOOKUP(AH16,[1]Weapon!$B$1:$G$354,6,FALSE)),0)</f>
        <v>25</v>
      </c>
      <c r="AK16" s="71" t="s">
        <v>38</v>
      </c>
      <c r="AL16">
        <v>25</v>
      </c>
      <c r="AM16" s="5">
        <f>_xlfn.IFNA(IF($E16="Robot",VLOOKUP(AK16,[1]Weapon!$B$1:$G$354,6,FALSE)/2,VLOOKUP(AK16,[1]Weapon!$B$1:$G$354,6,FALSE)),0)</f>
        <v>25</v>
      </c>
      <c r="AO16">
        <v>0</v>
      </c>
      <c r="AP16" s="5">
        <f>IF(ISTEXT(AN16),_xlfn.IFNA(VLOOKUP(LEFT(AN16,FIND("-",AN16)-1),[1]Weapon!$B$1:$G$354,6,FALSE),0),0)</f>
        <v>0</v>
      </c>
      <c r="AQ16" s="3"/>
      <c r="AR16" s="146" t="s">
        <v>244</v>
      </c>
      <c r="AS16">
        <v>2019</v>
      </c>
      <c r="AT16" t="s">
        <v>195</v>
      </c>
    </row>
    <row r="17" spans="1:47" hidden="1" x14ac:dyDescent="0.3">
      <c r="A17" s="56" t="str">
        <f t="shared" si="9"/>
        <v>Mr. S</v>
      </c>
      <c r="B17" s="62" t="s">
        <v>129</v>
      </c>
      <c r="C17" s="6"/>
      <c r="D17" s="86" t="s">
        <v>130</v>
      </c>
      <c r="E17" s="90" t="s">
        <v>131</v>
      </c>
      <c r="F17">
        <v>185</v>
      </c>
      <c r="G17" s="4">
        <f>IF(ISBLANK(VLOOKUP($E17,[1]Monster!$A$2:$X$261,10,FALSE)),"",VLOOKUP($E17,[1]Monster!$A$2:$X$261,10,FALSE))</f>
        <v>185</v>
      </c>
      <c r="H17">
        <v>0</v>
      </c>
      <c r="I17" s="4">
        <f>IF(ISBLANK(VLOOKUP($E17,[1]Monster!$A$2:$X$261,11,FALSE)),"",VLOOKUP($E17,[1]Monster!$A$2:$X$261,11,FALSE))+H17</f>
        <v>18</v>
      </c>
      <c r="J17">
        <v>0</v>
      </c>
      <c r="K17" s="4">
        <f>IF(ISBLANK(VLOOKUP($E17,[1]Monster!$A$2:$X$261,14,FALSE)),"",VLOOKUP($E17,[1]Monster!$A$2:$X$261,14,FALSE))+J17</f>
        <v>18</v>
      </c>
      <c r="L17">
        <v>0</v>
      </c>
      <c r="M17" s="4">
        <f>IF(ISBLANK(VLOOKUP($E17,[1]Monster!$A$2:$X$261,12,FALSE)),"",VLOOKUP($E17,[1]Monster!$A$2:$X$261,12,FALSE))+L17</f>
        <v>15</v>
      </c>
      <c r="N17">
        <v>0</v>
      </c>
      <c r="O17" s="2">
        <f>IF(ISBLANK(VLOOKUP($E17,[1]Monster!$A$2:$X$261,13,FALSE)),"",VLOOKUP($E17,[1]Monster!$A$2:$X$261,13,FALSE))+N17</f>
        <v>19</v>
      </c>
      <c r="P17" s="28" t="str">
        <f>IF(ISBLANK(VLOOKUP($E17,[1]Monster!$A$2:$X$261,16,FALSE)),"",VLOOKUP($E17,[1]Monster!$A$2:$X$261,16,FALSE))</f>
        <v>Dissolve</v>
      </c>
      <c r="Q17">
        <v>15</v>
      </c>
      <c r="R17" s="5">
        <f>_xlfn.IFNA(IF($E17="Robot",VLOOKUP(P17,[1]Weapon!$B$1:$G$354,6,FALSE)/2,VLOOKUP(P17,[1]Weapon!$B$1:$G$354,6,FALSE)),0)</f>
        <v>15</v>
      </c>
      <c r="S17" s="28" t="str">
        <f>IF(ISBLANK(VLOOKUP($E17,[1]Monster!$A$2:$X$261,17,FALSE)),"",VLOOKUP($E17,[1]Monster!$A$2:$X$261,17,FALSE))</f>
        <v>Fire</v>
      </c>
      <c r="T17">
        <v>15</v>
      </c>
      <c r="U17" s="5">
        <f>_xlfn.IFNA(IF($E17="Robot",VLOOKUP(S17,[1]Weapon!$B$1:$G$354,6,FALSE)/2,VLOOKUP(S17,[1]Weapon!$B$1:$G$354,6,FALSE)),0)</f>
        <v>15</v>
      </c>
      <c r="V17" s="29" t="str">
        <f>IF(ISBLANK(VLOOKUP($E17,[1]Monster!$A$2:$X$261,18,FALSE)),"",VLOOKUP($E17,[1]Monster!$A$2:$X$261,18,FALSE))</f>
        <v>Cure</v>
      </c>
      <c r="W17">
        <v>15</v>
      </c>
      <c r="X17" s="5">
        <f>_xlfn.IFNA(IF($E17="Robot",VLOOKUP(V17,[1]Weapon!$B$1:$G$354,6,FALSE)/2,VLOOKUP(V17,[1]Weapon!$B$1:$G$354,6,FALSE)),0)</f>
        <v>15</v>
      </c>
      <c r="Y17" s="28" t="str">
        <f>IF(ISBLANK(VLOOKUP($E17,[1]Monster!$A$2:$X$261,19,FALSE)),"",VLOOKUP($E17,[1]Monster!$A$2:$X$261,19,FALSE))</f>
        <v/>
      </c>
      <c r="Z17">
        <v>-1</v>
      </c>
      <c r="AA17" s="5">
        <f>_xlfn.IFNA(IF($E17="Robot",VLOOKUP(Y17,[1]Weapon!$B$1:$G$354,6,FALSE)/2,VLOOKUP(Y17,[1]Weapon!$B$1:$G$354,6,FALSE)),0)</f>
        <v>0</v>
      </c>
      <c r="AB17" s="28" t="str">
        <f>IF(ISBLANK(VLOOKUP($E17,[1]Monster!$A$2:$X$261,20,FALSE)),"",VLOOKUP($E17,[1]Monster!$A$2:$X$261,20,FALSE))</f>
        <v/>
      </c>
      <c r="AC17">
        <v>-1</v>
      </c>
      <c r="AD17" s="5">
        <f>_xlfn.IFNA(IF($E17="Robot",VLOOKUP(AB17,[1]Weapon!$B$1:$G$354,6,FALSE)/2,VLOOKUP(AB17,[1]Weapon!$B$1:$G$354,6,FALSE)),0)</f>
        <v>0</v>
      </c>
      <c r="AE17" s="28" t="str">
        <f>IF(ISBLANK(VLOOKUP($E17,[1]Monster!$A$2:$X$261,21,FALSE)),"",VLOOKUP($E17,[1]Monster!$A$2:$X$261,21,FALSE))</f>
        <v/>
      </c>
      <c r="AF17">
        <v>-1</v>
      </c>
      <c r="AG17" s="5">
        <f>_xlfn.IFNA(IF($E17="Robot",VLOOKUP(AE17,[1]Weapon!$B$1:$G$354,6,FALSE)/2,VLOOKUP(AE17,[1]Weapon!$B$1:$G$354,6,FALSE)),0)</f>
        <v>0</v>
      </c>
      <c r="AH17" s="29" t="str">
        <f>IF(ISBLANK(VLOOKUP($E17,[1]Monster!$A$2:$X$261,22,FALSE)),"",VLOOKUP($E17,[1]Monster!$A$2:$X$261,22,FALSE))</f>
        <v/>
      </c>
      <c r="AI17">
        <v>-1</v>
      </c>
      <c r="AJ17" s="5">
        <f>_xlfn.IFNA(IF($E17="Robot",VLOOKUP(AH17,[1]Weapon!$B$1:$G$354,6,FALSE)/2,VLOOKUP(AH17,[1]Weapon!$B$1:$G$354,6,FALSE)),0)</f>
        <v>0</v>
      </c>
      <c r="AK17" s="21" t="str">
        <f>IF(ISBLANK(VLOOKUP($E17,[1]Monster!$A$2:$X$261,23,FALSE)),"",VLOOKUP($E17,[1]Monster!$A$2:$X$261,23,FALSE))</f>
        <v/>
      </c>
      <c r="AL17">
        <v>-1</v>
      </c>
      <c r="AM17" s="5">
        <f>_xlfn.IFNA(IF($E17="Robot",VLOOKUP(AK17,[1]Weapon!$B$1:$G$354,6,FALSE)/2,VLOOKUP(AK17,[1]Weapon!$B$1:$G$354,6,FALSE)),0)</f>
        <v>0</v>
      </c>
      <c r="AO17">
        <v>0</v>
      </c>
      <c r="AP17" s="5">
        <f>IF(ISTEXT(AN17),_xlfn.IFNA(VLOOKUP(LEFT(AN17,FIND("-",AN17)-1),[1]Weapon!$B$1:$G$354,6,FALSE),0),0)</f>
        <v>0</v>
      </c>
      <c r="AQ17" s="3"/>
      <c r="AR17" s="8"/>
      <c r="AS17">
        <v>0</v>
      </c>
      <c r="AT17" t="s">
        <v>196</v>
      </c>
    </row>
    <row r="18" spans="1:47" x14ac:dyDescent="0.3">
      <c r="A18" s="1" t="str">
        <f t="shared" si="9"/>
        <v>Doma</v>
      </c>
      <c r="B18" s="79" t="s">
        <v>149</v>
      </c>
      <c r="C18" s="105"/>
      <c r="D18" s="69" t="s">
        <v>150</v>
      </c>
      <c r="E18" s="83" t="s">
        <v>88</v>
      </c>
      <c r="F18">
        <v>115</v>
      </c>
      <c r="G18">
        <v>135</v>
      </c>
      <c r="H18">
        <v>9</v>
      </c>
      <c r="I18" s="4">
        <f t="shared" ref="I18:I20" si="12">H18</f>
        <v>9</v>
      </c>
      <c r="J18">
        <v>2</v>
      </c>
      <c r="K18" s="4">
        <f>J18+_xlfn.IFNA(VLOOKUP($P18,[1]Weapon!$A$1:$M$352,9,FALSE),0)+_xlfn.IFNA(VLOOKUP($S18,[1]Weapon!$A$1:$M$352,9,FALSE),0)+_xlfn.IFNA(VLOOKUP($V18,[1]Weapon!$A$1:$M$352,9,FALSE),0)+_xlfn.IFNA(VLOOKUP($Y18,[1]Weapon!$A$1:$M$352,9,FALSE),0)+_xlfn.IFNA(VLOOKUP($AB18,[1]Weapon!$A$1:$M$352,9,FALSE),0)+_xlfn.IFNA(VLOOKUP($AE18,[1]Weapon!$A$1:$M$352,9,FALSE),0)+_xlfn.IFNA(VLOOKUP($AH18,[1]Weapon!$A$1:$M$352,9,FALSE),0)+_xlfn.IFNA(VLOOKUP($AK18,[1]Weapon!$A$1:$M$352,9,FALSE),0)</f>
        <v>7</v>
      </c>
      <c r="L18">
        <v>4</v>
      </c>
      <c r="M18" s="38">
        <f>L18</f>
        <v>4</v>
      </c>
      <c r="N18">
        <v>13</v>
      </c>
      <c r="O18" s="2">
        <f t="shared" ref="O18:O20" si="13">N18</f>
        <v>13</v>
      </c>
      <c r="P18" s="76" t="s">
        <v>85</v>
      </c>
      <c r="Q18">
        <v>7</v>
      </c>
      <c r="R18" s="5">
        <f>_xlfn.IFNA(IF($E18="Robot",VLOOKUP(P18,[1]Weapon!$B$1:$G$354,6,FALSE)/2,VLOOKUP(P18,[1]Weapon!$B$1:$G$354,6,FALSE)),0)</f>
        <v>15</v>
      </c>
      <c r="S18" s="109" t="s">
        <v>139</v>
      </c>
      <c r="T18">
        <v>-2</v>
      </c>
      <c r="U18" s="5">
        <v>-2</v>
      </c>
      <c r="V18" s="109" t="s">
        <v>168</v>
      </c>
      <c r="W18">
        <v>11</v>
      </c>
      <c r="X18" s="5">
        <f>_xlfn.IFNA(IF($E18="Robot",VLOOKUP(V18,[1]Weapon!$B$1:$G$354,6,FALSE)/2,VLOOKUP(V18,[1]Weapon!$B$1:$G$354,6,FALSE)),0)</f>
        <v>15</v>
      </c>
      <c r="Y18" s="109" t="s">
        <v>160</v>
      </c>
      <c r="Z18">
        <v>13</v>
      </c>
      <c r="AA18" s="5">
        <f>_xlfn.IFNA(IF($E18="Robot",VLOOKUP(Y18,[1]Weapon!$B$1:$G$354,6,FALSE)/2,VLOOKUP(Y18,[1]Weapon!$B$1:$G$354,6,FALSE)),0)</f>
        <v>15</v>
      </c>
      <c r="AB18" s="108" t="s">
        <v>180</v>
      </c>
      <c r="AC18">
        <v>38</v>
      </c>
      <c r="AD18" s="5">
        <f>_xlfn.IFNA(IF($E18="Robot",VLOOKUP(AB18,[1]Weapon!$B$1:$G$354,6,FALSE)/2,VLOOKUP(AB18,[1]Weapon!$B$1:$G$354,6,FALSE)),0)</f>
        <v>50</v>
      </c>
      <c r="AE18" s="71" t="s">
        <v>93</v>
      </c>
      <c r="AF18">
        <v>-1</v>
      </c>
      <c r="AG18" s="5">
        <f>_xlfn.IFNA(IF($E18="Robot",VLOOKUP(AE18,[1]Weapon!$B$1:$G$354,6,FALSE)/2,VLOOKUP(AE18,[1]Weapon!$B$1:$G$354,6,FALSE)),0)</f>
        <v>-2</v>
      </c>
      <c r="AH18" s="71" t="s">
        <v>136</v>
      </c>
      <c r="AI18">
        <v>-1</v>
      </c>
      <c r="AJ18" s="5">
        <f>_xlfn.IFNA(IF($E18="Robot",VLOOKUP(AH18,[1]Weapon!$B$1:$G$354,6,FALSE)/2,VLOOKUP(AH18,[1]Weapon!$B$1:$G$354,6,FALSE)),0)</f>
        <v>-2</v>
      </c>
      <c r="AK18" s="108" t="s">
        <v>120</v>
      </c>
      <c r="AL18">
        <v>41</v>
      </c>
      <c r="AM18" s="5">
        <f>_xlfn.IFNA(IF($E18="Robot",VLOOKUP(AK18,[1]Weapon!$B$1:$G$354,6,FALSE)/2,VLOOKUP(AK18,[1]Weapon!$B$1:$G$354,6,FALSE)),0)</f>
        <v>50</v>
      </c>
      <c r="AO18">
        <v>0</v>
      </c>
      <c r="AP18" s="5">
        <f>IF(ISTEXT(AN18),_xlfn.IFNA(VLOOKUP(LEFT(AN18,FIND("-",AN18)-1),[1]Weapon!$B$1:$G$354,6,FALSE),0),0)</f>
        <v>0</v>
      </c>
      <c r="AQ18" s="3"/>
      <c r="AR18" s="146" t="s">
        <v>247</v>
      </c>
      <c r="AS18">
        <v>1919</v>
      </c>
      <c r="AT18" t="s">
        <v>195</v>
      </c>
    </row>
    <row r="19" spans="1:47" hidden="1" x14ac:dyDescent="0.3">
      <c r="A19" s="1" t="str">
        <f t="shared" si="9"/>
        <v>Ella</v>
      </c>
      <c r="B19" s="100" t="s">
        <v>152</v>
      </c>
      <c r="C19" s="6"/>
      <c r="D19" s="87" t="s">
        <v>130</v>
      </c>
      <c r="E19" s="70" t="s">
        <v>57</v>
      </c>
      <c r="F19">
        <v>52</v>
      </c>
      <c r="G19">
        <v>62</v>
      </c>
      <c r="H19">
        <v>5</v>
      </c>
      <c r="I19" s="4">
        <f t="shared" si="12"/>
        <v>5</v>
      </c>
      <c r="J19">
        <v>0</v>
      </c>
      <c r="K19" s="4">
        <f>J19+_xlfn.IFNA(VLOOKUP($P19,[1]Weapon!$A$1:$M$352,9,FALSE),0)+_xlfn.IFNA(VLOOKUP($S19,[1]Weapon!$A$1:$M$352,9,FALSE),0)+_xlfn.IFNA(VLOOKUP($V19,[1]Weapon!$A$1:$M$352,9,FALSE),0)+_xlfn.IFNA(VLOOKUP($Y19,[1]Weapon!$A$1:$M$352,9,FALSE),0)+_xlfn.IFNA(VLOOKUP($AB19,[1]Weapon!$A$1:$M$352,9,FALSE),0)+_xlfn.IFNA(VLOOKUP($AE19,[1]Weapon!$A$1:$M$352,9,FALSE),0)+_xlfn.IFNA(VLOOKUP($AH19,[1]Weapon!$A$1:$M$352,9,FALSE),0)+_xlfn.IFNA(VLOOKUP($AK19,[1]Weapon!$A$1:$M$352,9,FALSE),0)</f>
        <v>5</v>
      </c>
      <c r="L19">
        <v>8</v>
      </c>
      <c r="M19" s="38">
        <f t="shared" ref="M19:M20" si="14">L19</f>
        <v>8</v>
      </c>
      <c r="N19">
        <v>4</v>
      </c>
      <c r="O19" s="2">
        <f t="shared" si="13"/>
        <v>4</v>
      </c>
      <c r="P19" s="71" t="s">
        <v>119</v>
      </c>
      <c r="Q19">
        <v>36</v>
      </c>
      <c r="R19" s="5">
        <f>_xlfn.IFNA(IF($E19="Robot",VLOOKUP(P19,[1]Weapon!$B$1:$G$354,6,FALSE)/2,VLOOKUP(P19,[1]Weapon!$B$1:$G$354,6,FALSE)),0)</f>
        <v>50</v>
      </c>
      <c r="S19" s="71" t="s">
        <v>93</v>
      </c>
      <c r="T19">
        <v>-1</v>
      </c>
      <c r="U19" s="5">
        <f>_xlfn.IFNA(IF($E19="Robot",VLOOKUP(S19,[1]Weapon!$B$1:$G$354,6,FALSE)/2,VLOOKUP(S19,[1]Weapon!$B$1:$G$354,6,FALSE)),0)</f>
        <v>-2</v>
      </c>
      <c r="V19" s="108" t="s">
        <v>136</v>
      </c>
      <c r="W19">
        <v>-1</v>
      </c>
      <c r="X19" s="5">
        <f>_xlfn.IFNA(IF($E19="Robot",VLOOKUP(V19,[1]Weapon!$B$1:$G$354,6,FALSE)/2,VLOOKUP(V19,[1]Weapon!$B$1:$G$354,6,FALSE)),0)</f>
        <v>-2</v>
      </c>
      <c r="Y19" s="108" t="s">
        <v>138</v>
      </c>
      <c r="Z19">
        <v>4</v>
      </c>
      <c r="AA19" s="5">
        <f>_xlfn.IFNA(IF($E19="Robot",VLOOKUP(Y19,[1]Weapon!$B$1:$G$354,6,FALSE)/2,VLOOKUP(Y19,[1]Weapon!$B$1:$G$354,6,FALSE)),0)</f>
        <v>4</v>
      </c>
      <c r="AB19" s="29"/>
      <c r="AC19">
        <v>-1</v>
      </c>
      <c r="AD19" s="5">
        <f>_xlfn.IFNA(IF($E19="Robot",VLOOKUP(AB19,[1]Weapon!$B$1:$G$354,6,FALSE)/2,VLOOKUP(AB19,[1]Weapon!$B$1:$G$354,6,FALSE)),0)</f>
        <v>0</v>
      </c>
      <c r="AF19">
        <v>-1</v>
      </c>
      <c r="AG19" s="5">
        <f>_xlfn.IFNA(IF($E19="Robot",VLOOKUP(AE19,[1]Weapon!$B$1:$G$354,6,FALSE)/2,VLOOKUP(AE19,[1]Weapon!$B$1:$G$354,6,FALSE)),0)</f>
        <v>0</v>
      </c>
      <c r="AI19">
        <v>-1</v>
      </c>
      <c r="AJ19" s="5">
        <f>_xlfn.IFNA(IF($E19="Robot",VLOOKUP(AH19,[1]Weapon!$B$1:$G$354,6,FALSE)/2,VLOOKUP(AH19,[1]Weapon!$B$1:$G$354,6,FALSE)),0)</f>
        <v>0</v>
      </c>
      <c r="AL19">
        <v>-1</v>
      </c>
      <c r="AM19" s="5">
        <f>_xlfn.IFNA(IF($E19="Robot",VLOOKUP(AK19,[1]Weapon!$B$1:$G$354,6,FALSE)/2,VLOOKUP(AK19,[1]Weapon!$B$1:$G$354,6,FALSE)),0)</f>
        <v>0</v>
      </c>
      <c r="AO19">
        <v>0</v>
      </c>
      <c r="AP19" s="5">
        <f>IF(ISTEXT(AN19),_xlfn.IFNA(VLOOKUP(LEFT(AN19,FIND("-",AN19)-1),[1]Weapon!$B$1:$G$354,6,FALSE),0),0)</f>
        <v>0</v>
      </c>
      <c r="AR19" s="8"/>
      <c r="AS19">
        <v>0</v>
      </c>
      <c r="AT19" t="s">
        <v>196</v>
      </c>
    </row>
    <row r="20" spans="1:47" hidden="1" x14ac:dyDescent="0.3">
      <c r="A20" s="1" t="str">
        <f t="shared" si="9"/>
        <v>Vince</v>
      </c>
      <c r="B20" s="101" t="s">
        <v>153</v>
      </c>
      <c r="D20" s="87" t="s">
        <v>130</v>
      </c>
      <c r="E20" s="70" t="s">
        <v>57</v>
      </c>
      <c r="F20">
        <v>52</v>
      </c>
      <c r="G20">
        <v>59</v>
      </c>
      <c r="H20">
        <v>6</v>
      </c>
      <c r="I20" s="4">
        <f t="shared" si="12"/>
        <v>6</v>
      </c>
      <c r="J20">
        <v>0</v>
      </c>
      <c r="K20" s="4">
        <f>J20+_xlfn.IFNA(VLOOKUP($P20,[1]Weapon!$A$1:$M$352,9,FALSE),0)+_xlfn.IFNA(VLOOKUP($S20,[1]Weapon!$A$1:$M$352,9,FALSE),0)+_xlfn.IFNA(VLOOKUP($V20,[1]Weapon!$A$1:$M$352,9,FALSE),0)+_xlfn.IFNA(VLOOKUP($Y20,[1]Weapon!$A$1:$M$352,9,FALSE),0)+_xlfn.IFNA(VLOOKUP($AB20,[1]Weapon!$A$1:$M$352,9,FALSE),0)+_xlfn.IFNA(VLOOKUP($AE20,[1]Weapon!$A$1:$M$352,9,FALSE),0)+_xlfn.IFNA(VLOOKUP($AH20,[1]Weapon!$A$1:$M$352,9,FALSE),0)+_xlfn.IFNA(VLOOKUP($AK20,[1]Weapon!$A$1:$M$352,9,FALSE),0)</f>
        <v>5</v>
      </c>
      <c r="L20">
        <v>5</v>
      </c>
      <c r="M20" s="38">
        <f t="shared" si="14"/>
        <v>5</v>
      </c>
      <c r="N20">
        <v>3</v>
      </c>
      <c r="O20" s="2">
        <f t="shared" si="13"/>
        <v>3</v>
      </c>
      <c r="P20" s="71" t="s">
        <v>38</v>
      </c>
      <c r="Q20">
        <v>39</v>
      </c>
      <c r="R20" s="5">
        <f>_xlfn.IFNA(IF($E20="Robot",VLOOKUP(P20,[1]Weapon!$B$1:$G$354,6,FALSE)/2,VLOOKUP(P20,[1]Weapon!$B$1:$G$354,6,FALSE)),0)</f>
        <v>50</v>
      </c>
      <c r="S20" s="71" t="s">
        <v>93</v>
      </c>
      <c r="T20">
        <v>-1</v>
      </c>
      <c r="U20" s="5">
        <f>_xlfn.IFNA(IF($E20="Robot",VLOOKUP(S20,[1]Weapon!$B$1:$G$354,6,FALSE)/2,VLOOKUP(S20,[1]Weapon!$B$1:$G$354,6,FALSE)),0)</f>
        <v>-2</v>
      </c>
      <c r="V20" s="108" t="s">
        <v>136</v>
      </c>
      <c r="W20">
        <v>-1</v>
      </c>
      <c r="X20" s="5">
        <f>_xlfn.IFNA(IF($E20="Robot",VLOOKUP(V20,[1]Weapon!$B$1:$G$354,6,FALSE)/2,VLOOKUP(V20,[1]Weapon!$B$1:$G$354,6,FALSE)),0)</f>
        <v>-2</v>
      </c>
      <c r="Y20" s="108" t="s">
        <v>138</v>
      </c>
      <c r="Z20">
        <v>3</v>
      </c>
      <c r="AA20" s="5">
        <f>_xlfn.IFNA(IF($E20="Robot",VLOOKUP(Y20,[1]Weapon!$B$1:$G$354,6,FALSE)/2,VLOOKUP(Y20,[1]Weapon!$B$1:$G$354,6,FALSE)),0)</f>
        <v>4</v>
      </c>
      <c r="AB20" s="30"/>
      <c r="AC20">
        <v>-1</v>
      </c>
      <c r="AD20" s="5">
        <f>_xlfn.IFNA(IF($E20="Robot",VLOOKUP(AB20,[1]Weapon!$B$1:$G$354,6,FALSE)/2,VLOOKUP(AB20,[1]Weapon!$B$1:$G$354,6,FALSE)),0)</f>
        <v>0</v>
      </c>
      <c r="AF20">
        <v>-1</v>
      </c>
      <c r="AG20" s="5">
        <f>_xlfn.IFNA(IF($E20="Robot",VLOOKUP(AE20,[1]Weapon!$B$1:$G$354,6,FALSE)/2,VLOOKUP(AE20,[1]Weapon!$B$1:$G$354,6,FALSE)),0)</f>
        <v>0</v>
      </c>
      <c r="AH20" s="22"/>
      <c r="AI20">
        <v>-1</v>
      </c>
      <c r="AJ20" s="5">
        <f>_xlfn.IFNA(IF($E20="Robot",VLOOKUP(AH20,[1]Weapon!$B$1:$G$354,6,FALSE)/2,VLOOKUP(AH20,[1]Weapon!$B$1:$G$354,6,FALSE)),0)</f>
        <v>0</v>
      </c>
      <c r="AK20" s="22"/>
      <c r="AL20">
        <v>-1</v>
      </c>
      <c r="AM20" s="5">
        <f>_xlfn.IFNA(IF($E20="Robot",VLOOKUP(AK20,[1]Weapon!$B$1:$G$354,6,FALSE)/2,VLOOKUP(AK20,[1]Weapon!$B$1:$G$354,6,FALSE)),0)</f>
        <v>0</v>
      </c>
      <c r="AO20">
        <v>0</v>
      </c>
      <c r="AP20" s="5">
        <f>IF(ISTEXT(AN20),_xlfn.IFNA(VLOOKUP(LEFT(AN20,FIND("-",AN20)-1),[1]Weapon!$B$1:$G$354,6,FALSE),0),0)</f>
        <v>0</v>
      </c>
      <c r="AS20">
        <v>0</v>
      </c>
      <c r="AT20" t="s">
        <v>196</v>
      </c>
    </row>
    <row r="21" spans="1:47" hidden="1" x14ac:dyDescent="0.3">
      <c r="A21" s="1" t="str">
        <f t="shared" si="9"/>
        <v>Duridanya</v>
      </c>
      <c r="B21" s="106" t="s">
        <v>161</v>
      </c>
      <c r="D21" s="87" t="s">
        <v>130</v>
      </c>
      <c r="E21" s="83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$352,9,FALSE),0)+_xlfn.IFNA(VLOOKUP($S21,[1]Weapon!$A$1:$M$352,9,FALSE),0)+_xlfn.IFNA(VLOOKUP($V21,[1]Weapon!$A$1:$M$352,9,FALSE),0)+_xlfn.IFNA(VLOOKUP($Y21,[1]Weapon!$A$1:$M$352,9,FALSE),0)+_xlfn.IFNA(VLOOKUP($AB21,[1]Weapon!$A$1:$M$352,9,FALSE),0)+_xlfn.IFNA(VLOOKUP($AE21,[1]Weapon!$A$1:$M$352,9,FALSE),0)+_xlfn.IFNA(VLOOKUP($AH21,[1]Weapon!$A$1:$M$352,9,FALSE),0)+_xlfn.IFNA(VLOOKUP($AK21,[1]Weapon!$A$1:$M$352,9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09" t="s">
        <v>85</v>
      </c>
      <c r="Q21">
        <v>10</v>
      </c>
      <c r="R21" s="5">
        <f>_xlfn.IFNA(IF($E21="Robot",VLOOKUP(P21,[1]Weapon!$B$1:$G$354,6,FALSE)/2,VLOOKUP(P21,[1]Weapon!$B$1:$G$354,6,FALSE)),0)</f>
        <v>15</v>
      </c>
      <c r="S21" s="109" t="s">
        <v>137</v>
      </c>
      <c r="T21">
        <v>-2</v>
      </c>
      <c r="U21" s="5">
        <v>-2</v>
      </c>
      <c r="V21" s="109" t="s">
        <v>166</v>
      </c>
      <c r="W21">
        <v>30</v>
      </c>
      <c r="X21" s="5">
        <f>_xlfn.IFNA(IF($E21="Robot",VLOOKUP(V21,[1]Weapon!$B$1:$G$354,6,FALSE)/2,VLOOKUP(V21,[1]Weapon!$B$1:$G$354,6,FALSE)),0)</f>
        <v>30</v>
      </c>
      <c r="Y21" s="109" t="s">
        <v>165</v>
      </c>
      <c r="Z21">
        <v>-2</v>
      </c>
      <c r="AA21" s="5">
        <f>_xlfn.IFNA(IF($E21="Robot",VLOOKUP(Y21,[1]Weapon!$B$1:$G$354,6,FALSE)/2,VLOOKUP(Y21,[1]Weapon!$B$1:$G$354,6,FALSE)),0)</f>
        <v>-2</v>
      </c>
      <c r="AB21" s="108" t="s">
        <v>164</v>
      </c>
      <c r="AC21">
        <v>35</v>
      </c>
      <c r="AD21" s="5">
        <f>_xlfn.IFNA(IF($E21="Robot",VLOOKUP(AB21,[1]Weapon!$B$1:$G$354,6,FALSE)/2,VLOOKUP(AB21,[1]Weapon!$B$1:$G$354,6,FALSE)),0)</f>
        <v>50</v>
      </c>
      <c r="AE21" s="108" t="s">
        <v>162</v>
      </c>
      <c r="AF21">
        <v>-1</v>
      </c>
      <c r="AG21" s="5">
        <f>_xlfn.IFNA(IF($E21="Robot",VLOOKUP(AE21,[1]Weapon!$B$1:$G$354,6,FALSE)/2,VLOOKUP(AE21,[1]Weapon!$B$1:$G$354,6,FALSE)),0)</f>
        <v>-2</v>
      </c>
      <c r="AH21" s="108" t="s">
        <v>163</v>
      </c>
      <c r="AI21">
        <v>-1</v>
      </c>
      <c r="AJ21" s="5">
        <f>_xlfn.IFNA(IF($E21="Robot",VLOOKUP(AH21,[1]Weapon!$B$1:$G$354,6,FALSE)/2,VLOOKUP(AH21,[1]Weapon!$B$1:$G$354,6,FALSE)),0)</f>
        <v>-2</v>
      </c>
      <c r="AK21" s="71"/>
      <c r="AL21">
        <v>-1</v>
      </c>
      <c r="AM21" s="5">
        <f>_xlfn.IFNA(IF($E21="Robot",VLOOKUP(AK21,[1]Weapon!$B$1:$G$354,6,FALSE)/2,VLOOKUP(AK21,[1]Weapon!$B$1:$G$354,6,FALSE)),0)</f>
        <v>0</v>
      </c>
      <c r="AO21">
        <v>0</v>
      </c>
      <c r="AP21" s="5">
        <f>IF(ISTEXT(AN21),_xlfn.IFNA(VLOOKUP(LEFT(AN21,FIND("-",AN21)-1),[1]Weapon!$B$1:$G$354,6,FALSE),0),0)</f>
        <v>0</v>
      </c>
      <c r="AS21">
        <v>0</v>
      </c>
      <c r="AT21" t="s">
        <v>196</v>
      </c>
    </row>
    <row r="22" spans="1:47" hidden="1" x14ac:dyDescent="0.3">
      <c r="A22" s="1" t="str">
        <f t="shared" si="9"/>
        <v>W0LF</v>
      </c>
      <c r="B22" s="137" t="s">
        <v>181</v>
      </c>
      <c r="D22" s="87" t="s">
        <v>130</v>
      </c>
      <c r="E22" s="85" t="s">
        <v>87</v>
      </c>
      <c r="F22">
        <v>150</v>
      </c>
      <c r="G22" s="4">
        <f>24+_xlfn.IFNA(VLOOKUP($P22,[1]Weapon!$A$1:$M$352,12,FALSE),0)+_xlfn.IFNA(VLOOKUP($S22,[1]Weapon!$A$1:$M$352,12,FALSE),0)+_xlfn.IFNA(VLOOKUP($V22,[1]Weapon!$A$1:$M$352,12,FALSE),0)+_xlfn.IFNA(VLOOKUP($Y22,[1]Weapon!$A$1:$M$352,12,FALSE),0)+_xlfn.IFNA(VLOOKUP($AB22,[1]Weapon!$A$1:$M$352,12,FALSE),0)+_xlfn.IFNA(VLOOKUP($AE22,[1]Weapon!$A$1:$M$352,12,FALSE),0)+_xlfn.IFNA(VLOOKUP($AH22,[1]Weapon!$A$1:$M$352,12,FALSE),0)+_xlfn.IFNA(VLOOKUP($AK22,[1]Weapon!$A$1:$M$352,12,FALSE),0)</f>
        <v>150</v>
      </c>
      <c r="H22">
        <v>0</v>
      </c>
      <c r="I22" s="38">
        <f>H22+_xlfn.IFNA(IF(VLOOKUP($P22,[1]Weapon!$B$2:$O$352,13,FALSE)="Str",VLOOKUP($P22,[1]Weapon!$B$2:$O$352,14,FALSE),0),0)+_xlfn.IFNA(IF(VLOOKUP($S22,[1]Weapon!$B$2:$O$352,13,FALSE)="Str",VLOOKUP($S22,[1]Weapon!$B$2:$O$352,14,FALSE),0),0)+_xlfn.IFNA(IF(VLOOKUP($V22,[1]Weapon!$B$2:$O$352,13,FALSE)="Str",VLOOKUP($V22,[1]Weapon!$B$2:$O$352,14,FALSE),0),0)+_xlfn.IFNA(IF(VLOOKUP($Y22,[1]Weapon!$B$2:$O$352,13,FALSE)="Str",VLOOKUP($Y22,[1]Weapon!$B$2:$O$352,14,FALSE),0),0)+_xlfn.IFNA(IF(VLOOKUP($AB22,[1]Weapon!$B$2:$O$352,13,FALSE)="Str",VLOOKUP($AB22,[1]Weapon!$B$2:$O$352,14,FALSE),0),0)+_xlfn.IFNA(IF(VLOOKUP($AE22,[1]Weapon!$B$2:$O$352,13,FALSE)="Str",VLOOKUP($AE22,[1]Weapon!$B$2:$O$352,14,FALSE),0),0)+_xlfn.IFNA(IF(VLOOKUP($AH22,[1]Weapon!$B$2:$O$352,13,FALSE)="Str",VLOOKUP($AH22,[1]Weapon!$B$2:$O$352,14,FALSE),0),0)+_xlfn.IFNA(IF(VLOOKUP($AK22,[1]Weapon!$B$2:$O$352,13,FALSE)="Str",VLOOKUP($AK22,[1]Weapon!$B$2:$O$352,14,FALSE),0),0)</f>
        <v>16</v>
      </c>
      <c r="J22">
        <v>6</v>
      </c>
      <c r="K22" s="4">
        <f>J22+_xlfn.IFNA(IF(VLOOKUP($P22,[1]Weapon!$B$2:$O$352,13,FALSE)="Def",VLOOKUP($P22,[1]Weapon!$B$2:$O$352,14,FALSE),0),0)+_xlfn.IFNA(IF(VLOOKUP($S22,[1]Weapon!$B$2:$O$352,13,FALSE)="Def",VLOOKUP($S22,[1]Weapon!$B$2:$O$352,14,FALSE),0),0)+_xlfn.IFNA(IF(VLOOKUP($V22,[1]Weapon!$B$2:$O$352,13,FALSE)="Def",VLOOKUP($V22,[1]Weapon!$B$2:$O$352,14,FALSE),0),0)+_xlfn.IFNA(IF(VLOOKUP($Y22,[1]Weapon!$B$2:$O$352,13,FALSE)="Def",VLOOKUP($Y22,[1]Weapon!$B$2:$O$352,14,FALSE),0),0)+_xlfn.IFNA(IF(VLOOKUP($AB22,[1]Weapon!$B$2:$O$352,13,FALSE)="Def",VLOOKUP($AB22,[1]Weapon!$B$2:$O$352,14,FALSE),0),0)+_xlfn.IFNA(IF(VLOOKUP($AE22,[1]Weapon!$B$2:$O$352,13,FALSE)="Def",VLOOKUP($AE22,[1]Weapon!$B$2:$O$352,14,FALSE),0),0)+_xlfn.IFNA(IF(VLOOKUP($AH22,[1]Weapon!$B$2:$O$352,13,FALSE)="Def",VLOOKUP($AH22,[1]Weapon!$B$2:$O$352,14,FALSE),0),0)+_xlfn.IFNA(IF(VLOOKUP($AK22,[1]Weapon!$B$2:$O$352,13,FALSE)="Def",VLOOKUP($AK22,[1]Weapon!$B$2:$O$352,14,FALSE),0),0)</f>
        <v>10</v>
      </c>
      <c r="L22">
        <v>5</v>
      </c>
      <c r="M22" s="4">
        <f>L22+_xlfn.IFNA(IF(VLOOKUP($P22,[1]Weapon!$B$2:$O$352,13,FALSE)="Agl",VLOOKUP($P22,[1]Weapon!$B$2:$O$352,14,FALSE),0),0)+_xlfn.IFNA(IF(VLOOKUP($S22,[1]Weapon!$B$2:$O$352,13,FALSE)="Agl",VLOOKUP($S22,[1]Weapon!$B$2:$O$352,14,FALSE),0),0)+_xlfn.IFNA(IF(VLOOKUP($V22,[1]Weapon!$B$2:$O$352,13,FALSE)="Agl",VLOOKUP($V22,[1]Weapon!$B$2:$O$352,14,FALSE),0),0)+_xlfn.IFNA(IF(VLOOKUP($Y22,[1]Weapon!$B$2:$O$352,13,FALSE)="Agl",VLOOKUP($Y22,[1]Weapon!$B$2:$O$352,14,FALSE),0),0)+_xlfn.IFNA(IF(VLOOKUP($AB22,[1]Weapon!$B$2:$O$352,13,FALSE)="Agl",VLOOKUP($AB22,[1]Weapon!$B$2:$O$352,14,FALSE),0),0)+_xlfn.IFNA(IF(VLOOKUP($AE22,[1]Weapon!$B$2:$O$352,13,FALSE)="Agl",VLOOKUP($AE22,[1]Weapon!$B$2:$O$352,14,FALSE),0),0)+_xlfn.IFNA(IF(VLOOKUP($AH22,[1]Weapon!$B$2:$O$352,13,FALSE)="Agl",VLOOKUP($AH22,[1]Weapon!$B$2:$O$352,14,FALSE),0),0)+_xlfn.IFNA(IF(VLOOKUP($AK22,[1]Weapon!$B$2:$O$352,13,FALSE)="Agl",VLOOKUP($AK22,[1]Weapon!$B$2:$O$352,14,FALSE),0),0)</f>
        <v>8</v>
      </c>
      <c r="N22">
        <v>0</v>
      </c>
      <c r="O22" s="2">
        <f>N22+_xlfn.IFNA(IF(VLOOKUP($P22,[1]Weapon!$B$2:$O$352,13,FALSE)="Mana",VLOOKUP($P22,[1]Weapon!$B$2:$O$352,14,FALSE),0),0)+_xlfn.IFNA(IF(VLOOKUP($S22,[1]Weapon!$B$2:$O$352,13,FALSE)="Mana",VLOOKUP($S22,[1]Weapon!$B$2:$O$352,14,FALSE),0),0)+_xlfn.IFNA(IF(VLOOKUP($V22,[1]Weapon!$B$2:$O$352,13,FALSE)="Mana",VLOOKUP($V22,[1]Weapon!$B$2:$O$352,14,FALSE),0),0)+_xlfn.IFNA(IF(VLOOKUP($Y22,[1]Weapon!$B$2:$O$352,13,FALSE)="Mana",VLOOKUP($Y22,[1]Weapon!$B$2:$O$352,14,FALSE),0),0)+_xlfn.IFNA(IF(VLOOKUP($AB22,[1]Weapon!$B$2:$O$352,13,FALSE)="Mana",VLOOKUP($AB22,[1]Weapon!$B$2:$O$352,14,FALSE),0),0)+_xlfn.IFNA(IF(VLOOKUP($AE22,[1]Weapon!$B$2:$O$352,13,FALSE)="Mana",VLOOKUP($AE22,[1]Weapon!$B$2:$O$352,14,FALSE),0),0)+_xlfn.IFNA(IF(VLOOKUP($AH22,[1]Weapon!$B$2:$O$352,13,FALSE)="Mana",VLOOKUP($AH22,[1]Weapon!$B$2:$O$352,14,FALSE),0),0)+_xlfn.IFNA(IF(VLOOKUP($AK22,[1]Weapon!$B$2:$O$352,13,FALSE)="Mana",VLOOKUP($AK22,[1]Weapon!$B$2:$O$352,14,FALSE),0),0)</f>
        <v>0</v>
      </c>
      <c r="P22" s="35" t="s">
        <v>100</v>
      </c>
      <c r="Q22">
        <v>-1</v>
      </c>
      <c r="R22" s="5">
        <f>_xlfn.IFNA(IF($E22="Robot",VLOOKUP(P22,[1]Weapon!$B$1:$G$354,6,FALSE)/2,VLOOKUP(P22,[1]Weapon!$B$1:$G$354,6,FALSE)),0)</f>
        <v>-1</v>
      </c>
      <c r="S22" s="108" t="s">
        <v>177</v>
      </c>
      <c r="T22">
        <v>25</v>
      </c>
      <c r="U22" s="5">
        <f>_xlfn.IFNA(IF($E22="Robot",VLOOKUP(S22,[1]Weapon!$B$1:$G$354,6,FALSE)/2,VLOOKUP(S22,[1]Weapon!$B$1:$G$354,6,FALSE)),0)</f>
        <v>25</v>
      </c>
      <c r="V22" s="108" t="s">
        <v>136</v>
      </c>
      <c r="W22">
        <v>-1</v>
      </c>
      <c r="X22" s="5">
        <f>_xlfn.IFNA(IF($E22="Robot",VLOOKUP(V22,[1]Weapon!$B$1:$G$354,6,FALSE)/2,VLOOKUP(V22,[1]Weapon!$B$1:$G$354,6,FALSE)),0)</f>
        <v>-1</v>
      </c>
      <c r="Y22" s="108" t="s">
        <v>148</v>
      </c>
      <c r="Z22">
        <v>-1</v>
      </c>
      <c r="AA22" s="5">
        <f>_xlfn.IFNA(IF($E22="Robot",VLOOKUP(Y22,[1]Weapon!$B$1:$G$354,6,FALSE)/2,VLOOKUP(Y22,[1]Weapon!$B$1:$G$354,6,FALSE)),0)</f>
        <v>-1</v>
      </c>
      <c r="AB22" s="108"/>
      <c r="AC22">
        <v>-1</v>
      </c>
      <c r="AD22" s="5">
        <f>_xlfn.IFNA(IF($E22="Robot",VLOOKUP(AB22,[1]Weapon!$B$1:$G$354,6,FALSE)/2,VLOOKUP(AB22,[1]Weapon!$B$1:$G$354,6,FALSE)),0)</f>
        <v>0</v>
      </c>
      <c r="AE22" s="108" t="s">
        <v>164</v>
      </c>
      <c r="AF22">
        <v>25</v>
      </c>
      <c r="AG22" s="5">
        <f>_xlfn.IFNA(IF($E22="Robot",VLOOKUP(AE22,[1]Weapon!$B$1:$G$354,6,FALSE)/2,VLOOKUP(AE22,[1]Weapon!$B$1:$G$354,6,FALSE)),0)</f>
        <v>25</v>
      </c>
      <c r="AH22" s="108" t="s">
        <v>112</v>
      </c>
      <c r="AI22">
        <v>20</v>
      </c>
      <c r="AJ22" s="5">
        <f>_xlfn.IFNA(IF($E22="Robot",VLOOKUP(AH22,[1]Weapon!$B$1:$G$354,6,FALSE)/2,VLOOKUP(AH22,[1]Weapon!$B$1:$G$354,6,FALSE)),0)</f>
        <v>20</v>
      </c>
      <c r="AK22" s="108" t="s">
        <v>38</v>
      </c>
      <c r="AL22">
        <v>25</v>
      </c>
      <c r="AM22" s="5">
        <f>_xlfn.IFNA(IF($E22="Robot",VLOOKUP(AK22,[1]Weapon!$B$1:$G$354,6,FALSE)/2,VLOOKUP(AK22,[1]Weapon!$B$1:$G$354,6,FALSE)),0)</f>
        <v>25</v>
      </c>
      <c r="AO22">
        <v>0</v>
      </c>
      <c r="AP22" s="5">
        <f>IF(ISTEXT(AN22),_xlfn.IFNA(VLOOKUP(LEFT(AN22,FIND("-",AN22)-1),[1]Weapon!$B$1:$G$354,6,FALSE),0),0)</f>
        <v>0</v>
      </c>
      <c r="AS22">
        <v>0</v>
      </c>
      <c r="AT22" t="s">
        <v>196</v>
      </c>
    </row>
    <row r="23" spans="1:47" hidden="1" x14ac:dyDescent="0.3">
      <c r="A23" s="1" t="str">
        <f t="shared" si="9"/>
        <v>Draz</v>
      </c>
      <c r="B23" s="137" t="s">
        <v>182</v>
      </c>
      <c r="D23" s="87" t="s">
        <v>130</v>
      </c>
      <c r="E23" s="104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$352,9,FALSE),0)+_xlfn.IFNA(VLOOKUP($S23,[1]Weapon!$A$1:$M$352,9,FALSE),0)+_xlfn.IFNA(VLOOKUP($V23,[1]Weapon!$A$1:$M$352,9,FALSE),0)+_xlfn.IFNA(VLOOKUP($Y23,[1]Weapon!$A$1:$M$352,9,FALSE),0)+_xlfn.IFNA(VLOOKUP($AB23,[1]Weapon!$A$1:$M$352,9,FALSE),0)+_xlfn.IFNA(VLOOKUP($AE23,[1]Weapon!$A$1:$M$352,9,FALSE),0)+_xlfn.IFNA(VLOOKUP($AH23,[1]Weapon!$A$1:$M$352,9,FALSE),0)+_xlfn.IFNA(VLOOKUP($AK23,[1]Weapon!$A$1:$M$352,9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108" t="s">
        <v>119</v>
      </c>
      <c r="Q23">
        <v>20</v>
      </c>
      <c r="R23" s="5">
        <v>50</v>
      </c>
      <c r="S23" s="71" t="s">
        <v>93</v>
      </c>
      <c r="T23">
        <v>-1</v>
      </c>
      <c r="U23" s="5">
        <f>_xlfn.IFNA(IF($E23="Robot",VLOOKUP(S23,[1]Weapon!$B$1:$G$354,6,FALSE)/2,VLOOKUP(S23,[1]Weapon!$B$1:$G$354,6,FALSE)),0)</f>
        <v>-2</v>
      </c>
      <c r="V23" s="108" t="s">
        <v>136</v>
      </c>
      <c r="W23">
        <v>-1</v>
      </c>
      <c r="X23" s="5">
        <f>_xlfn.IFNA(IF($E23="Robot",VLOOKUP(V23,[1]Weapon!$B$1:$G$354,6,FALSE)/2,VLOOKUP(V23,[1]Weapon!$B$1:$G$354,6,FALSE)),0)</f>
        <v>-2</v>
      </c>
      <c r="Y23" s="108" t="s">
        <v>148</v>
      </c>
      <c r="Z23">
        <v>-1</v>
      </c>
      <c r="AA23" s="5">
        <f>_xlfn.IFNA(IF($E23="Robot",VLOOKUP(Y23,[1]Weapon!$B$1:$G$354,6,FALSE)/2,VLOOKUP(Y23,[1]Weapon!$B$1:$G$354,6,FALSE)),0)</f>
        <v>-2</v>
      </c>
      <c r="AB23" s="108" t="s">
        <v>158</v>
      </c>
      <c r="AC23">
        <v>50</v>
      </c>
      <c r="AD23" s="5">
        <f>_xlfn.IFNA(IF($E23="Robot",VLOOKUP(AB23,[1]Weapon!$B$1:$G$354,6,FALSE)/2,VLOOKUP(AB23,[1]Weapon!$B$1:$G$354,6,FALSE)),0)</f>
        <v>50</v>
      </c>
      <c r="AF23">
        <v>-1</v>
      </c>
      <c r="AG23" s="5">
        <f>_xlfn.IFNA(IF($E23="Robot",VLOOKUP(AE23,[1]Weapon!$B$1:$G$354,6,FALSE)/2,VLOOKUP(AE23,[1]Weapon!$B$1:$G$354,6,FALSE)),0)</f>
        <v>0</v>
      </c>
      <c r="AH23" s="22"/>
      <c r="AI23">
        <v>-1</v>
      </c>
      <c r="AJ23" s="5">
        <f>_xlfn.IFNA(IF($E23="Robot",VLOOKUP(AH23,[1]Weapon!$B$1:$G$354,6,FALSE)/2,VLOOKUP(AH23,[1]Weapon!$B$1:$G$354,6,FALSE)),0)</f>
        <v>0</v>
      </c>
      <c r="AK23" s="22"/>
      <c r="AL23">
        <v>-1</v>
      </c>
      <c r="AM23" s="5">
        <f>_xlfn.IFNA(IF($E23="Robot",VLOOKUP(AK23,[1]Weapon!$B$1:$G$354,6,FALSE)/2,VLOOKUP(AK23,[1]Weapon!$B$1:$G$354,6,FALSE)),0)</f>
        <v>0</v>
      </c>
      <c r="AO23">
        <v>0</v>
      </c>
      <c r="AP23" s="5">
        <f>IF(ISTEXT(AN23),_xlfn.IFNA(VLOOKUP(LEFT(AN23,FIND("-",AN23)-1),[1]Weapon!$B$1:$G$354,6,FALSE),0),0)</f>
        <v>0</v>
      </c>
      <c r="AS23">
        <v>0</v>
      </c>
      <c r="AT23" t="s">
        <v>196</v>
      </c>
    </row>
    <row r="24" spans="1:47" x14ac:dyDescent="0.3">
      <c r="A24" s="56" t="str">
        <f t="shared" ref="A24" si="15">B24</f>
        <v>Ki</v>
      </c>
      <c r="B24" s="143" t="s">
        <v>199</v>
      </c>
      <c r="C24" s="6"/>
      <c r="D24" s="86" t="s">
        <v>130</v>
      </c>
      <c r="E24" s="90" t="s">
        <v>200</v>
      </c>
      <c r="F24">
        <v>69</v>
      </c>
      <c r="G24" s="4">
        <f>IF(ISBLANK(VLOOKUP($E24,[1]Monster!$A$2:$X$261,10,FALSE)),"",VLOOKUP($E24,[1]Monster!$A$2:$X$261,10,FALSE))</f>
        <v>80</v>
      </c>
      <c r="H24">
        <v>0</v>
      </c>
      <c r="I24" s="4">
        <f>IF(ISBLANK(VLOOKUP($E24,[1]Monster!$A$2:$X$261,11,FALSE)),"",VLOOKUP($E24,[1]Monster!$A$2:$X$261,11,FALSE))+H24</f>
        <v>8</v>
      </c>
      <c r="J24">
        <v>0</v>
      </c>
      <c r="K24" s="4">
        <f>IF(ISBLANK(VLOOKUP($E24,[1]Monster!$A$2:$X$261,14,FALSE)),"",VLOOKUP($E24,[1]Monster!$A$2:$X$261,14,FALSE))+J24</f>
        <v>11</v>
      </c>
      <c r="L24">
        <v>0</v>
      </c>
      <c r="M24" s="4">
        <f>IF(ISBLANK(VLOOKUP($E24,[1]Monster!$A$2:$X$261,12,FALSE)),"",VLOOKUP($E24,[1]Monster!$A$2:$X$261,12,FALSE))+L24</f>
        <v>13</v>
      </c>
      <c r="N24">
        <v>0</v>
      </c>
      <c r="O24" s="2">
        <f>IF(ISBLANK(VLOOKUP($E24,[1]Monster!$A$2:$X$261,13,FALSE)),"",VLOOKUP($E24,[1]Monster!$A$2:$X$261,13,FALSE))+N24</f>
        <v>14</v>
      </c>
      <c r="P24" s="28" t="str">
        <f>IF(ISBLANK(VLOOKUP($E24,[1]Monster!$A$2:$X$261,16,FALSE)),"",VLOOKUP($E24,[1]Monster!$A$2:$X$261,16,FALSE))</f>
        <v>Hammer</v>
      </c>
      <c r="Q24">
        <v>45</v>
      </c>
      <c r="R24" s="5">
        <f>_xlfn.IFNA(IF($E24="Robot",VLOOKUP(P24,[1]Weapon!$B$1:$G$354,6,FALSE)/2,VLOOKUP(P24,[1]Weapon!$B$1:$G$354,6,FALSE)),0)</f>
        <v>50</v>
      </c>
      <c r="S24" s="28" t="str">
        <f>IF(ISBLANK(VLOOKUP($E24,[1]Monster!$A$2:$X$261,17,FALSE)),"",VLOOKUP($E24,[1]Monster!$A$2:$X$261,17,FALSE))</f>
        <v>Bronze Shield</v>
      </c>
      <c r="T24">
        <v>44</v>
      </c>
      <c r="U24" s="5">
        <f>_xlfn.IFNA(IF($E24="Robot",VLOOKUP(S24,[1]Weapon!$B$1:$G$354,6,FALSE)/2,VLOOKUP(S24,[1]Weapon!$B$1:$G$354,6,FALSE)),0)</f>
        <v>50</v>
      </c>
      <c r="V24" s="29" t="str">
        <f>IF(ISBLANK(VLOOKUP($E24,[1]Monster!$A$2:$X$261,18,FALSE)),"",VLOOKUP($E24,[1]Monster!$A$2:$X$261,18,FALSE))</f>
        <v>Thunder Book</v>
      </c>
      <c r="W24">
        <v>19</v>
      </c>
      <c r="X24" s="5">
        <f>_xlfn.IFNA(IF($E24="Robot",VLOOKUP(V24,[1]Weapon!$B$1:$G$354,6,FALSE)/2,VLOOKUP(V24,[1]Weapon!$B$1:$G$354,6,FALSE)),0)</f>
        <v>30</v>
      </c>
      <c r="Y24" s="28" t="str">
        <f>IF(ISBLANK(VLOOKUP($E24,[1]Monster!$A$2:$X$261,19,FALSE)),"",VLOOKUP($E24,[1]Monster!$A$2:$X$261,19,FALSE))</f>
        <v>Cure Book</v>
      </c>
      <c r="Z24">
        <v>4</v>
      </c>
      <c r="AA24" s="5">
        <f>_xlfn.IFNA(IF($E24="Robot",VLOOKUP(Y24,[1]Weapon!$B$1:$G$354,6,FALSE)/2,VLOOKUP(Y24,[1]Weapon!$B$1:$G$354,6,FALSE)),0)</f>
        <v>30</v>
      </c>
      <c r="AB24" s="28" t="str">
        <f>IF(ISBLANK(VLOOKUP($E24,[1]Monster!$A$2:$X$261,20,FALSE)),"",VLOOKUP($E24,[1]Monster!$A$2:$X$261,20,FALSE))</f>
        <v>Bronze Armor</v>
      </c>
      <c r="AC24">
        <v>-1</v>
      </c>
      <c r="AD24" s="5">
        <f>_xlfn.IFNA(IF($E24="Robot",VLOOKUP(AB24,[1]Weapon!$B$1:$G$354,6,FALSE)/2,VLOOKUP(AB24,[1]Weapon!$B$1:$G$354,6,FALSE)),0)</f>
        <v>-2</v>
      </c>
      <c r="AE24" s="28" t="str">
        <f>IF(ISBLANK(VLOOKUP($E24,[1]Monster!$A$2:$X$261,21,FALSE)),"",VLOOKUP($E24,[1]Monster!$A$2:$X$261,21,FALSE))</f>
        <v>Bronze Helm</v>
      </c>
      <c r="AF24">
        <v>-1</v>
      </c>
      <c r="AG24" s="5">
        <f>_xlfn.IFNA(IF($E24="Robot",VLOOKUP(AE24,[1]Weapon!$B$1:$G$354,6,FALSE)/2,VLOOKUP(AE24,[1]Weapon!$B$1:$G$354,6,FALSE)),0)</f>
        <v>-2</v>
      </c>
      <c r="AH24" s="29" t="str">
        <f>IF(ISBLANK(VLOOKUP($E24,[1]Monster!$A$2:$X$261,22,FALSE)),"",VLOOKUP($E24,[1]Monster!$A$2:$X$261,22,FALSE))</f>
        <v>Bronze Glove</v>
      </c>
      <c r="AI24">
        <v>-1</v>
      </c>
      <c r="AJ24" s="5">
        <f>_xlfn.IFNA(IF($E24="Robot",VLOOKUP(AH24,[1]Weapon!$B$1:$G$354,6,FALSE)/2,VLOOKUP(AH24,[1]Weapon!$B$1:$G$354,6,FALSE)),0)</f>
        <v>-2</v>
      </c>
      <c r="AK24" s="21" t="str">
        <f>IF(ISBLANK(VLOOKUP($E24,[1]Monster!$A$2:$X$261,23,FALSE)),"",VLOOKUP($E24,[1]Monster!$A$2:$X$261,23,FALSE))</f>
        <v/>
      </c>
      <c r="AL24">
        <v>-1</v>
      </c>
      <c r="AM24" s="5">
        <f>_xlfn.IFNA(IF($E24="Robot",VLOOKUP(AK24,[1]Weapon!$B$1:$G$354,6,FALSE)/2,VLOOKUP(AK24,[1]Weapon!$B$1:$G$354,6,FALSE)),0)</f>
        <v>0</v>
      </c>
      <c r="AO24">
        <v>0</v>
      </c>
      <c r="AP24" s="5">
        <f>IF(ISTEXT(AN24),_xlfn.IFNA(VLOOKUP(LEFT(AN24,FIND("-",AN24)-1),[1]Weapon!$B$1:$G$354,6,FALSE),0),0)</f>
        <v>0</v>
      </c>
      <c r="AQ24" s="3"/>
      <c r="AR24" s="146" t="s">
        <v>243</v>
      </c>
      <c r="AS24">
        <v>0</v>
      </c>
      <c r="AT24" t="s">
        <v>196</v>
      </c>
      <c r="AU24" s="1">
        <v>3</v>
      </c>
    </row>
    <row r="25" spans="1:47" x14ac:dyDescent="0.3">
      <c r="A25" s="56" t="str">
        <f t="shared" ref="A25" si="16">B25</f>
        <v>Styx</v>
      </c>
      <c r="B25" s="143" t="s">
        <v>201</v>
      </c>
      <c r="C25" s="6"/>
      <c r="D25" s="86" t="s">
        <v>130</v>
      </c>
      <c r="E25" s="90" t="s">
        <v>202</v>
      </c>
      <c r="F25">
        <v>79</v>
      </c>
      <c r="G25" s="4">
        <f>IF(ISBLANK(VLOOKUP($E25,[1]Monster!$A$2:$X$261,10,FALSE)),"",VLOOKUP($E25,[1]Monster!$A$2:$X$261,10,FALSE))</f>
        <v>104</v>
      </c>
      <c r="H25">
        <v>0</v>
      </c>
      <c r="I25" s="4">
        <f>IF(ISBLANK(VLOOKUP($E25,[1]Monster!$A$2:$X$261,11,FALSE)),"",VLOOKUP($E25,[1]Monster!$A$2:$X$261,11,FALSE))+H25</f>
        <v>9</v>
      </c>
      <c r="J25">
        <v>0</v>
      </c>
      <c r="K25" s="4">
        <f>IF(ISBLANK(VLOOKUP($E25,[1]Monster!$A$2:$X$261,14,FALSE)),"",VLOOKUP($E25,[1]Monster!$A$2:$X$261,14,FALSE))+J25</f>
        <v>12</v>
      </c>
      <c r="L25">
        <v>0</v>
      </c>
      <c r="M25" s="4">
        <f>IF(ISBLANK(VLOOKUP($E25,[1]Monster!$A$2:$X$261,12,FALSE)),"",VLOOKUP($E25,[1]Monster!$A$2:$X$261,12,FALSE))+L25</f>
        <v>16</v>
      </c>
      <c r="N25">
        <v>0</v>
      </c>
      <c r="O25" s="2">
        <f>IF(ISBLANK(VLOOKUP($E25,[1]Monster!$A$2:$X$261,13,FALSE)),"",VLOOKUP($E25,[1]Monster!$A$2:$X$261,13,FALSE))+N25</f>
        <v>17</v>
      </c>
      <c r="P25" s="28" t="str">
        <f>IF(ISBLANK(VLOOKUP($E25,[1]Monster!$A$2:$X$261,16,FALSE)),"",VLOOKUP($E25,[1]Monster!$A$2:$X$261,16,FALSE))</f>
        <v>Sleep</v>
      </c>
      <c r="Q25">
        <v>4</v>
      </c>
      <c r="R25" s="5">
        <f>_xlfn.IFNA(IF($E25="Robot",VLOOKUP(P25,[1]Weapon!$B$1:$G$354,6,FALSE)/2,VLOOKUP(P25,[1]Weapon!$B$1:$G$354,6,FALSE)),0)</f>
        <v>15</v>
      </c>
      <c r="S25" s="28" t="str">
        <f>IF(ISBLANK(VLOOKUP($E25,[1]Monster!$A$2:$X$261,17,FALSE)),"",VLOOKUP($E25,[1]Monster!$A$2:$X$261,17,FALSE))</f>
        <v>Thunder</v>
      </c>
      <c r="T25">
        <v>8</v>
      </c>
      <c r="U25" s="5">
        <f>_xlfn.IFNA(IF($E25="Robot",VLOOKUP(S25,[1]Weapon!$B$1:$G$354,6,FALSE)/2,VLOOKUP(S25,[1]Weapon!$B$1:$G$354,6,FALSE)),0)</f>
        <v>15</v>
      </c>
      <c r="V25" s="29" t="str">
        <f>IF(ISBLANK(VLOOKUP($E25,[1]Monster!$A$2:$X$261,18,FALSE)),"",VLOOKUP($E25,[1]Monster!$A$2:$X$261,18,FALSE))</f>
        <v>Cure</v>
      </c>
      <c r="W25">
        <v>4</v>
      </c>
      <c r="X25" s="5">
        <f>_xlfn.IFNA(IF($E25="Robot",VLOOKUP(V25,[1]Weapon!$B$1:$G$354,6,FALSE)/2,VLOOKUP(V25,[1]Weapon!$B$1:$G$354,6,FALSE)),0)</f>
        <v>15</v>
      </c>
      <c r="Y25" s="28" t="str">
        <f>IF(ISBLANK(VLOOKUP($E25,[1]Monster!$A$2:$X$261,19,FALSE)),"",VLOOKUP($E25,[1]Monster!$A$2:$X$261,19,FALSE))</f>
        <v>O-Quake</v>
      </c>
      <c r="Z25">
        <v>-1</v>
      </c>
      <c r="AA25" s="5">
        <f>_xlfn.IFNA(IF($E25="Robot",VLOOKUP(Y25,[1]Weapon!$B$1:$G$354,6,FALSE)/2,VLOOKUP(Y25,[1]Weapon!$B$1:$G$354,6,FALSE)),0)</f>
        <v>-2</v>
      </c>
      <c r="AB25" s="28" t="str">
        <f>IF(ISBLANK(VLOOKUP($E25,[1]Monster!$A$2:$X$261,20,FALSE)),"",VLOOKUP($E25,[1]Monster!$A$2:$X$261,20,FALSE))</f>
        <v/>
      </c>
      <c r="AC25">
        <v>-1</v>
      </c>
      <c r="AD25" s="5">
        <f>_xlfn.IFNA(IF($E25="Robot",VLOOKUP(AB25,[1]Weapon!$B$1:$G$354,6,FALSE)/2,VLOOKUP(AB25,[1]Weapon!$B$1:$G$354,6,FALSE)),0)</f>
        <v>0</v>
      </c>
      <c r="AE25" s="28" t="str">
        <f>IF(ISBLANK(VLOOKUP($E25,[1]Monster!$A$2:$X$261,21,FALSE)),"",VLOOKUP($E25,[1]Monster!$A$2:$X$261,21,FALSE))</f>
        <v/>
      </c>
      <c r="AF25">
        <v>-1</v>
      </c>
      <c r="AG25" s="5">
        <f>_xlfn.IFNA(IF($E25="Robot",VLOOKUP(AE25,[1]Weapon!$B$1:$G$354,6,FALSE)/2,VLOOKUP(AE25,[1]Weapon!$B$1:$G$354,6,FALSE)),0)</f>
        <v>0</v>
      </c>
      <c r="AH25" s="29" t="str">
        <f>IF(ISBLANK(VLOOKUP($E25,[1]Monster!$A$2:$X$261,22,FALSE)),"",VLOOKUP($E25,[1]Monster!$A$2:$X$261,22,FALSE))</f>
        <v/>
      </c>
      <c r="AI25">
        <v>-1</v>
      </c>
      <c r="AJ25" s="5">
        <f>_xlfn.IFNA(IF($E25="Robot",VLOOKUP(AH25,[1]Weapon!$B$1:$G$354,6,FALSE)/2,VLOOKUP(AH25,[1]Weapon!$B$1:$G$354,6,FALSE)),0)</f>
        <v>0</v>
      </c>
      <c r="AK25" s="21" t="str">
        <f>IF(ISBLANK(VLOOKUP($E25,[1]Monster!$A$2:$X$261,23,FALSE)),"",VLOOKUP($E25,[1]Monster!$A$2:$X$261,23,FALSE))</f>
        <v/>
      </c>
      <c r="AL25">
        <v>-1</v>
      </c>
      <c r="AM25" s="5">
        <f>_xlfn.IFNA(IF($E25="Robot",VLOOKUP(AK25,[1]Weapon!$B$1:$G$354,6,FALSE)/2,VLOOKUP(AK25,[1]Weapon!$B$1:$G$354,6,FALSE)),0)</f>
        <v>0</v>
      </c>
      <c r="AO25">
        <v>0</v>
      </c>
      <c r="AP25" s="5">
        <f>IF(ISTEXT(AN25),_xlfn.IFNA(VLOOKUP(LEFT(AN25,FIND("-",AN25)-1),[1]Weapon!$B$1:$G$354,6,FALSE),0),0)</f>
        <v>0</v>
      </c>
      <c r="AQ25" s="3"/>
      <c r="AR25" s="8"/>
      <c r="AS25">
        <v>0</v>
      </c>
      <c r="AT25" t="s">
        <v>195</v>
      </c>
      <c r="AU25" s="1">
        <v>2</v>
      </c>
    </row>
    <row r="26" spans="1:47" x14ac:dyDescent="0.3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  <c r="AT26"/>
    </row>
    <row r="27" spans="1:47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  <c r="AT27"/>
    </row>
    <row r="28" spans="1:47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  <c r="AT28"/>
    </row>
    <row r="29" spans="1:47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  <c r="AT29"/>
    </row>
    <row r="30" spans="1:47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  <c r="AT30"/>
    </row>
    <row r="31" spans="1:47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conditionalFormatting sqref="A1:A12 A20:A23 A26:A1048576">
    <cfRule type="notContainsBlanks" dxfId="41" priority="60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N3:AO12 AM3:AM17 AE6:AF12 S20:T20 V20:AC20 Z2:AJ2 AL6 AL2:AP2 AP2:AP23 AE20:AF20 AH20:AI20 AK20:AL20 AN20:AO20">
    <cfRule type="cellIs" dxfId="40" priority="58" operator="lessThan">
      <formula>0</formula>
    </cfRule>
  </conditionalFormatting>
  <conditionalFormatting sqref="A13:A19">
    <cfRule type="notContainsBlanks" dxfId="39" priority="49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38" priority="48" operator="lessThan">
      <formula>0</formula>
    </cfRule>
  </conditionalFormatting>
  <conditionalFormatting sqref="AH9">
    <cfRule type="cellIs" dxfId="37" priority="47" operator="lessThan">
      <formula>0</formula>
    </cfRule>
  </conditionalFormatting>
  <conditionalFormatting sqref="AH6">
    <cfRule type="cellIs" dxfId="36" priority="46" operator="lessThan">
      <formula>0</formula>
    </cfRule>
  </conditionalFormatting>
  <conditionalFormatting sqref="AH3">
    <cfRule type="cellIs" dxfId="35" priority="45" operator="lessThan">
      <formula>0</formula>
    </cfRule>
  </conditionalFormatting>
  <conditionalFormatting sqref="Y9">
    <cfRule type="cellIs" dxfId="34" priority="44" operator="lessThan">
      <formula>0</formula>
    </cfRule>
  </conditionalFormatting>
  <conditionalFormatting sqref="Q5 Z5 S5:T5 W5 AB5:AC5 AE5:AF5 AH5:AI5 AL5">
    <cfRule type="cellIs" dxfId="33" priority="42" operator="lessThan">
      <formula>0</formula>
    </cfRule>
  </conditionalFormatting>
  <conditionalFormatting sqref="Q14 S14:T14 V14:W14 Z14 AB14:AC14 AE14:AF14 AH14:AI14 AL14">
    <cfRule type="cellIs" dxfId="32" priority="40" operator="lessThan">
      <formula>0</formula>
    </cfRule>
  </conditionalFormatting>
  <conditionalFormatting sqref="Q16 S16:T16">
    <cfRule type="cellIs" dxfId="31" priority="39" operator="lessThan">
      <formula>0</formula>
    </cfRule>
  </conditionalFormatting>
  <conditionalFormatting sqref="Q17 S17:T17 V17:W17 Z17 AB17:AC17 AE17:AF17 AH17:AI17 AK17:AL17">
    <cfRule type="cellIs" dxfId="30" priority="38" operator="lessThan">
      <formula>0</formula>
    </cfRule>
  </conditionalFormatting>
  <conditionalFormatting sqref="Q18:AO18 R19:R20 U19:U20 AA18:AA20 X18:X20 AD19:AD20 AG19:AG20 AJ19:AJ20 AM19:AM20">
    <cfRule type="cellIs" dxfId="29" priority="37" operator="lessThan">
      <formula>0</formula>
    </cfRule>
  </conditionalFormatting>
  <conditionalFormatting sqref="V5">
    <cfRule type="cellIs" dxfId="28" priority="36" operator="lessThan">
      <formula>0</formula>
    </cfRule>
  </conditionalFormatting>
  <conditionalFormatting sqref="Y2">
    <cfRule type="cellIs" dxfId="27" priority="35" operator="lessThan">
      <formula>0</formula>
    </cfRule>
  </conditionalFormatting>
  <conditionalFormatting sqref="Y5">
    <cfRule type="cellIs" dxfId="26" priority="34" operator="lessThan">
      <formula>0</formula>
    </cfRule>
  </conditionalFormatting>
  <conditionalFormatting sqref="Y14">
    <cfRule type="cellIs" dxfId="25" priority="33" operator="lessThan">
      <formula>0</formula>
    </cfRule>
  </conditionalFormatting>
  <conditionalFormatting sqref="Q21:AM21">
    <cfRule type="cellIs" dxfId="24" priority="32" operator="lessThan">
      <formula>0</formula>
    </cfRule>
  </conditionalFormatting>
  <conditionalFormatting sqref="AK6">
    <cfRule type="cellIs" dxfId="23" priority="27" operator="lessThan">
      <formula>0</formula>
    </cfRule>
  </conditionalFormatting>
  <conditionalFormatting sqref="AK5">
    <cfRule type="cellIs" dxfId="22" priority="25" operator="lessThan">
      <formula>0</formula>
    </cfRule>
  </conditionalFormatting>
  <conditionalFormatting sqref="V22:W22 Y22:Z22 AB22:AC22 AE22:AF22 AH22:AI22 AK22:AL22 AN22:AO22">
    <cfRule type="cellIs" dxfId="21" priority="22" operator="lessThan">
      <formula>0</formula>
    </cfRule>
  </conditionalFormatting>
  <conditionalFormatting sqref="R22 U22 X22 AA22 AD22 AG22 AJ22 AM22">
    <cfRule type="cellIs" dxfId="20" priority="23" operator="lessThan">
      <formula>0</formula>
    </cfRule>
  </conditionalFormatting>
  <conditionalFormatting sqref="Q22 S22:T22">
    <cfRule type="cellIs" dxfId="19" priority="21" operator="lessThan">
      <formula>0</formula>
    </cfRule>
  </conditionalFormatting>
  <conditionalFormatting sqref="S23:T23 V23:AC23 AE23:AF23 AH23:AI23 AK23:AL23 AN23:AO23">
    <cfRule type="cellIs" dxfId="18" priority="20" operator="lessThan">
      <formula>0</formula>
    </cfRule>
  </conditionalFormatting>
  <conditionalFormatting sqref="U23 AA23 X23">
    <cfRule type="cellIs" dxfId="17" priority="19" operator="lessThan">
      <formula>0</formula>
    </cfRule>
  </conditionalFormatting>
  <conditionalFormatting sqref="AD23">
    <cfRule type="cellIs" dxfId="16" priority="18" operator="lessThan">
      <formula>0</formula>
    </cfRule>
  </conditionalFormatting>
  <conditionalFormatting sqref="AG23">
    <cfRule type="cellIs" dxfId="15" priority="17" operator="lessThan">
      <formula>0</formula>
    </cfRule>
  </conditionalFormatting>
  <conditionalFormatting sqref="AJ23">
    <cfRule type="cellIs" dxfId="14" priority="16" operator="lessThan">
      <formula>0</formula>
    </cfRule>
  </conditionalFormatting>
  <conditionalFormatting sqref="AM23">
    <cfRule type="cellIs" dxfId="13" priority="15" operator="lessThan">
      <formula>0</formula>
    </cfRule>
  </conditionalFormatting>
  <conditionalFormatting sqref="R24 U24 X24 AA24 AD24 AG24 AJ24 AM24 AP24">
    <cfRule type="cellIs" dxfId="12" priority="13" operator="lessThan">
      <formula>0</formula>
    </cfRule>
  </conditionalFormatting>
  <conditionalFormatting sqref="A24">
    <cfRule type="notContainsBlanks" dxfId="11" priority="12">
      <formula>LEN(TRIM(A24))&gt;0</formula>
    </cfRule>
  </conditionalFormatting>
  <conditionalFormatting sqref="AN24:AO24">
    <cfRule type="cellIs" dxfId="10" priority="11" operator="lessThan">
      <formula>0</formula>
    </cfRule>
  </conditionalFormatting>
  <conditionalFormatting sqref="Q24 S24:T24 V24:W24 Z24 AB24:AC24 AE24:AF24 AH24:AI24 AK24:AL24">
    <cfRule type="cellIs" dxfId="9" priority="10" operator="lessThan">
      <formula>0</formula>
    </cfRule>
  </conditionalFormatting>
  <conditionalFormatting sqref="Y17">
    <cfRule type="cellIs" dxfId="8" priority="9" operator="lessThan">
      <formula>0</formula>
    </cfRule>
  </conditionalFormatting>
  <conditionalFormatting sqref="Y24">
    <cfRule type="cellIs" dxfId="7" priority="8" operator="lessThan">
      <formula>0</formula>
    </cfRule>
  </conditionalFormatting>
  <conditionalFormatting sqref="R25 U25 X25 AA25 AD25 AG25 AJ25 AM25 AP25">
    <cfRule type="cellIs" dxfId="6" priority="7" operator="lessThan">
      <formula>0</formula>
    </cfRule>
  </conditionalFormatting>
  <conditionalFormatting sqref="A25">
    <cfRule type="notContainsBlanks" dxfId="5" priority="6">
      <formula>LEN(TRIM(A25))&gt;0</formula>
    </cfRule>
  </conditionalFormatting>
  <conditionalFormatting sqref="AN25:AO25">
    <cfRule type="cellIs" dxfId="4" priority="5" operator="lessThan">
      <formula>0</formula>
    </cfRule>
  </conditionalFormatting>
  <conditionalFormatting sqref="Q25 S25:T25 V25:W25 Z25 AB25:AC25 AE25:AF25 AH25:AI25 AK25:AL25">
    <cfRule type="cellIs" dxfId="3" priority="4" operator="lessThan">
      <formula>0</formula>
    </cfRule>
  </conditionalFormatting>
  <conditionalFormatting sqref="Y25">
    <cfRule type="cellIs" dxfId="2" priority="3" operator="lessThan">
      <formula>0</formula>
    </cfRule>
  </conditionalFormatting>
  <conditionalFormatting sqref="AK2">
    <cfRule type="cellIs" dxfId="1" priority="2" operator="lessThan">
      <formula>0</formula>
    </cfRule>
  </conditionalFormatting>
  <conditionalFormatting sqref="AK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45"/>
  <sheetViews>
    <sheetView tabSelected="1" workbookViewId="0">
      <selection activeCell="N11" sqref="N11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8" t="s">
        <v>127</v>
      </c>
      <c r="B1" s="149"/>
      <c r="C1" s="149"/>
      <c r="D1" s="149"/>
      <c r="E1" s="149"/>
      <c r="F1" s="149"/>
      <c r="G1" s="149"/>
      <c r="H1" s="149"/>
      <c r="I1" s="150"/>
      <c r="K1" s="151" t="s">
        <v>128</v>
      </c>
      <c r="L1" s="152"/>
      <c r="M1" s="152"/>
      <c r="N1" s="152"/>
      <c r="O1" s="153"/>
      <c r="Q1" s="154" t="s">
        <v>143</v>
      </c>
      <c r="R1" s="155"/>
      <c r="S1" s="155"/>
      <c r="T1" s="155"/>
      <c r="U1" s="156"/>
    </row>
    <row r="2" spans="1:21" x14ac:dyDescent="0.25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124</v>
      </c>
      <c r="L2" s="46" t="s">
        <v>135</v>
      </c>
      <c r="M2" s="46" t="s">
        <v>66</v>
      </c>
      <c r="N2" s="46" t="s">
        <v>125</v>
      </c>
      <c r="O2" s="47" t="s">
        <v>126</v>
      </c>
      <c r="Q2" s="114" t="s">
        <v>124</v>
      </c>
      <c r="R2" s="115" t="s">
        <v>132</v>
      </c>
      <c r="S2" s="115" t="s">
        <v>133</v>
      </c>
      <c r="T2" s="115" t="s">
        <v>144</v>
      </c>
      <c r="U2" s="116" t="s">
        <v>134</v>
      </c>
    </row>
    <row r="3" spans="1:21" ht="14.4" x14ac:dyDescent="0.3">
      <c r="A3" s="135" t="s">
        <v>121</v>
      </c>
      <c r="B3" s="48">
        <f>VLOOKUP(A3,Players!$B$2:$O$40,5,FALSE)</f>
        <v>86</v>
      </c>
      <c r="C3" s="48">
        <f>VLOOKUP(A3,Players!$B$2:$O$40,6,FALSE)</f>
        <v>195</v>
      </c>
      <c r="D3" s="48">
        <f>VLOOKUP(A3,Players!$B$2:$O$40,14,FALSE)</f>
        <v>0</v>
      </c>
      <c r="E3" s="48" t="s">
        <v>173</v>
      </c>
      <c r="F3" s="48" t="s">
        <v>110</v>
      </c>
      <c r="G3" s="48">
        <f>VLOOKUP(F3,Players!$B$2:$O$40,14,FALSE)</f>
        <v>0</v>
      </c>
      <c r="H3" s="48">
        <f t="shared" ref="H3:H4" si="0">IF(E3="Cure Potion",40,IF(E3="Spell",PRODUCT(4,D3+G3),IF(E3="Cure Beam",75,IF(E3="Hi-Cure Potion",150,0))))</f>
        <v>75</v>
      </c>
      <c r="I3" s="49">
        <f>IF(SUM(H3+B3)&lt;C3,SUM(H3+B3),C3)</f>
        <v>161</v>
      </c>
      <c r="K3" s="42" t="s">
        <v>89</v>
      </c>
      <c r="L3" s="144" t="s">
        <v>208</v>
      </c>
      <c r="M3" s="60">
        <f ca="1">VLOOKUP($K3,INDIRECT("'"&amp;L3&amp;"'!$A$2:$F$10"),6,FALSE)</f>
        <v>79</v>
      </c>
      <c r="N3" s="48" t="s">
        <v>248</v>
      </c>
      <c r="O3" s="49" t="s">
        <v>245</v>
      </c>
      <c r="Q3" s="117" t="s">
        <v>89</v>
      </c>
      <c r="R3" s="118">
        <f>Players!AS2</f>
        <v>3631</v>
      </c>
      <c r="S3" s="119"/>
      <c r="T3" s="119"/>
      <c r="U3" s="120">
        <f t="shared" ref="U3:U17" si="1">S3+R3-T3</f>
        <v>3631</v>
      </c>
    </row>
    <row r="4" spans="1:21" ht="14.4" x14ac:dyDescent="0.3">
      <c r="A4" s="135" t="s">
        <v>98</v>
      </c>
      <c r="B4" s="48">
        <f>VLOOKUP(A4,Players!$B$2:$O$40,5,FALSE)</f>
        <v>67</v>
      </c>
      <c r="C4" s="48">
        <f>VLOOKUP(A4,Players!$B$2:$O$40,6,FALSE)</f>
        <v>159</v>
      </c>
      <c r="D4" s="48">
        <f>VLOOKUP(A4,Players!$B$2:$O$40,14,FALSE)</f>
        <v>0</v>
      </c>
      <c r="E4" s="48" t="s">
        <v>81</v>
      </c>
      <c r="F4" s="48" t="s">
        <v>201</v>
      </c>
      <c r="G4" s="48">
        <f>VLOOKUP(F4,Players!$B$2:$O$40,14,FALSE)</f>
        <v>17</v>
      </c>
      <c r="H4" s="48">
        <f t="shared" si="0"/>
        <v>68</v>
      </c>
      <c r="I4" s="49">
        <f>IF(SUM(H4+B4)&lt;C4,SUM(H4+B4),C4)</f>
        <v>135</v>
      </c>
      <c r="K4" s="42" t="s">
        <v>90</v>
      </c>
      <c r="L4" s="107" t="s">
        <v>172</v>
      </c>
      <c r="M4" s="60" t="e">
        <f t="shared" ref="M4:M17" ca="1" si="2">VLOOKUP($K4,INDIRECT("'"&amp;L4&amp;"'!$A$2:$F$10"),6,FALSE)</f>
        <v>#REF!</v>
      </c>
      <c r="N4" s="48"/>
      <c r="O4" s="49"/>
      <c r="Q4" s="117" t="s">
        <v>90</v>
      </c>
      <c r="R4" s="118">
        <f>Players!AS3</f>
        <v>2255</v>
      </c>
      <c r="S4" s="119"/>
      <c r="T4" s="119"/>
      <c r="U4" s="120">
        <f t="shared" si="1"/>
        <v>2255</v>
      </c>
    </row>
    <row r="5" spans="1:21" ht="14.4" x14ac:dyDescent="0.3">
      <c r="A5" s="135"/>
      <c r="B5" s="48" t="e">
        <f>VLOOKUP(A5,Players!$B$2:$O$40,5,FALSE)</f>
        <v>#N/A</v>
      </c>
      <c r="C5" s="48" t="e">
        <f>VLOOKUP(A5,Players!$B$2:$O$40,6,FALSE)</f>
        <v>#N/A</v>
      </c>
      <c r="D5" s="48" t="e">
        <f>VLOOKUP(A5,Players!$B$2:$O$40,14,FALSE)</f>
        <v>#N/A</v>
      </c>
      <c r="E5" s="48" t="s">
        <v>207</v>
      </c>
      <c r="F5" s="48" t="s">
        <v>121</v>
      </c>
      <c r="G5" s="48">
        <f>VLOOKUP(F5,Players!$B$2:$O$40,14,FALSE)</f>
        <v>0</v>
      </c>
      <c r="H5" s="48">
        <f>IF(E5="Cure Potion",40,IF(E5="Spell",PRODUCT(4,D5+G5),IF(E5="Cure Beam",75,IF(E5="Hi-Cure Potion",150,0))))</f>
        <v>150</v>
      </c>
      <c r="I5" s="49" t="e">
        <f t="shared" ref="I5:I10" si="3">IF(SUM(H5+B5)&lt;C5,SUM(H5+B5),C5)</f>
        <v>#N/A</v>
      </c>
      <c r="K5" s="42" t="s">
        <v>94</v>
      </c>
      <c r="L5" s="107" t="s">
        <v>172</v>
      </c>
      <c r="M5" s="60" t="e">
        <f t="shared" ca="1" si="2"/>
        <v>#REF!</v>
      </c>
      <c r="N5" s="48"/>
      <c r="O5" s="49"/>
      <c r="Q5" s="117" t="s">
        <v>94</v>
      </c>
      <c r="R5" s="118">
        <f>Players!AS4</f>
        <v>2072</v>
      </c>
      <c r="S5" s="119"/>
      <c r="T5" s="119"/>
      <c r="U5" s="120">
        <f t="shared" si="1"/>
        <v>2072</v>
      </c>
    </row>
    <row r="6" spans="1:21" ht="14.4" x14ac:dyDescent="0.3">
      <c r="A6" s="135"/>
      <c r="B6" s="48" t="e">
        <f>VLOOKUP(A6,Players!$B$2:$O$40,5,FALSE)</f>
        <v>#N/A</v>
      </c>
      <c r="C6" s="48" t="e">
        <f>VLOOKUP(A6,Players!$B$2:$O$40,6,FALSE)</f>
        <v>#N/A</v>
      </c>
      <c r="D6" s="48" t="e">
        <f>VLOOKUP(A6,Players!$B$2:$O$40,14,FALSE)</f>
        <v>#N/A</v>
      </c>
      <c r="E6" s="48" t="s">
        <v>207</v>
      </c>
      <c r="F6" s="48" t="s">
        <v>121</v>
      </c>
      <c r="G6" s="48">
        <f>VLOOKUP(F6,Players!$B$2:$O$40,14,FALSE)</f>
        <v>0</v>
      </c>
      <c r="H6" s="48">
        <f t="shared" ref="H6:H10" si="4">IF(E6="Cure Potion",40,IF(E6="Spell",PRODUCT(4,D6+G6),IF(E6="Cure Beam",75,IF(E6="Hi-Cure Potion",150,0))))</f>
        <v>150</v>
      </c>
      <c r="I6" s="49" t="e">
        <f t="shared" si="3"/>
        <v>#N/A</v>
      </c>
      <c r="K6" s="42" t="s">
        <v>95</v>
      </c>
      <c r="L6" s="144" t="s">
        <v>208</v>
      </c>
      <c r="M6" s="60">
        <f t="shared" ca="1" si="2"/>
        <v>126</v>
      </c>
      <c r="N6" s="48" t="s">
        <v>249</v>
      </c>
      <c r="O6" s="49" t="s">
        <v>245</v>
      </c>
      <c r="Q6" s="117" t="s">
        <v>95</v>
      </c>
      <c r="R6" s="118">
        <f>Players!AS5</f>
        <v>2559</v>
      </c>
      <c r="S6" s="119"/>
      <c r="T6" s="119"/>
      <c r="U6" s="120">
        <f t="shared" si="1"/>
        <v>2559</v>
      </c>
    </row>
    <row r="7" spans="1:21" ht="14.4" x14ac:dyDescent="0.3">
      <c r="A7" s="135"/>
      <c r="B7" s="48" t="e">
        <f>VLOOKUP(A7,Players!$B$2:$O$40,5,FALSE)</f>
        <v>#N/A</v>
      </c>
      <c r="C7" s="48" t="e">
        <f>VLOOKUP(A7,Players!$B$2:$O$40,6,FALSE)</f>
        <v>#N/A</v>
      </c>
      <c r="D7" s="48" t="e">
        <f>VLOOKUP(A7,Players!$B$2:$O$40,14,FALSE)</f>
        <v>#N/A</v>
      </c>
      <c r="E7" s="48" t="s">
        <v>81</v>
      </c>
      <c r="F7" s="48" t="s">
        <v>73</v>
      </c>
      <c r="G7" s="48">
        <f>VLOOKUP(F7,Players!$B$2:$O$40,14,FALSE)</f>
        <v>10</v>
      </c>
      <c r="H7" s="48" t="e">
        <f t="shared" si="4"/>
        <v>#N/A</v>
      </c>
      <c r="I7" s="49" t="e">
        <f t="shared" ref="I7" si="5">IF(SUM(H7+B7)&lt;C7,SUM(H7+B7),C7)</f>
        <v>#N/A</v>
      </c>
      <c r="K7" s="42" t="s">
        <v>73</v>
      </c>
      <c r="L7" s="107" t="s">
        <v>205</v>
      </c>
      <c r="M7" s="60">
        <f t="shared" ca="1" si="2"/>
        <v>140</v>
      </c>
      <c r="N7" s="48"/>
      <c r="O7" s="49"/>
      <c r="Q7" s="117" t="s">
        <v>73</v>
      </c>
      <c r="R7" s="118">
        <f>Players!AS6</f>
        <v>2083</v>
      </c>
      <c r="S7" s="119"/>
      <c r="T7" s="119"/>
      <c r="U7" s="120">
        <f t="shared" si="1"/>
        <v>2083</v>
      </c>
    </row>
    <row r="8" spans="1:21" ht="14.4" x14ac:dyDescent="0.3">
      <c r="A8" s="135"/>
      <c r="B8" s="48" t="e">
        <f>VLOOKUP(A8,Players!$B$2:$O$40,5,FALSE)</f>
        <v>#N/A</v>
      </c>
      <c r="C8" s="48" t="e">
        <f>VLOOKUP(A8,Players!$B$2:$O$40,6,FALSE)</f>
        <v>#N/A</v>
      </c>
      <c r="D8" s="48" t="e">
        <f>VLOOKUP(A8,Players!$B$2:$O$40,14,FALSE)</f>
        <v>#N/A</v>
      </c>
      <c r="E8" s="48" t="s">
        <v>207</v>
      </c>
      <c r="F8" s="48" t="s">
        <v>71</v>
      </c>
      <c r="G8" s="48">
        <f>VLOOKUP(F8,Players!$B$2:$O$40,14,FALSE)</f>
        <v>13</v>
      </c>
      <c r="H8" s="48">
        <f t="shared" si="4"/>
        <v>150</v>
      </c>
      <c r="I8" s="49" t="e">
        <f t="shared" si="3"/>
        <v>#N/A</v>
      </c>
      <c r="K8" s="43" t="s">
        <v>98</v>
      </c>
      <c r="L8" s="144" t="s">
        <v>209</v>
      </c>
      <c r="M8" s="60">
        <f t="shared" ca="1" si="2"/>
        <v>120</v>
      </c>
      <c r="N8" s="48"/>
      <c r="O8" s="49"/>
      <c r="Q8" s="121" t="s">
        <v>98</v>
      </c>
      <c r="R8" s="118">
        <f>Players!AS7</f>
        <v>3981</v>
      </c>
      <c r="S8" s="119"/>
      <c r="T8" s="119"/>
      <c r="U8" s="120">
        <f t="shared" si="1"/>
        <v>3981</v>
      </c>
    </row>
    <row r="9" spans="1:21" ht="14.4" x14ac:dyDescent="0.3">
      <c r="A9" s="135"/>
      <c r="B9" s="48" t="e">
        <f>VLOOKUP(A9,Players!$B$2:$O$40,5,FALSE)</f>
        <v>#N/A</v>
      </c>
      <c r="C9" s="48" t="e">
        <f>VLOOKUP(A9,Players!$B$2:$O$40,6,FALSE)</f>
        <v>#N/A</v>
      </c>
      <c r="D9" s="48" t="e">
        <f>VLOOKUP(A9,Players!$B$2:$O$40,14,FALSE)</f>
        <v>#N/A</v>
      </c>
      <c r="E9" s="48" t="s">
        <v>138</v>
      </c>
      <c r="F9" s="48" t="s">
        <v>101</v>
      </c>
      <c r="G9" s="48">
        <f>VLOOKUP(F9,Players!$B$2:$O$40,14,FALSE)</f>
        <v>3</v>
      </c>
      <c r="H9" s="48">
        <f t="shared" si="4"/>
        <v>40</v>
      </c>
      <c r="I9" s="49" t="e">
        <f t="shared" si="3"/>
        <v>#N/A</v>
      </c>
      <c r="K9" s="43" t="s">
        <v>101</v>
      </c>
      <c r="L9" s="107" t="s">
        <v>172</v>
      </c>
      <c r="M9" s="60" t="e">
        <f t="shared" ca="1" si="2"/>
        <v>#REF!</v>
      </c>
      <c r="N9" s="48"/>
      <c r="O9" s="49"/>
      <c r="Q9" s="121" t="s">
        <v>101</v>
      </c>
      <c r="R9" s="118">
        <f>Players!AS8</f>
        <v>2259</v>
      </c>
      <c r="S9" s="119"/>
      <c r="T9" s="119"/>
      <c r="U9" s="120">
        <f t="shared" si="1"/>
        <v>2259</v>
      </c>
    </row>
    <row r="10" spans="1:21" ht="14.4" x14ac:dyDescent="0.3">
      <c r="A10" s="41"/>
      <c r="B10" s="48" t="e">
        <f>VLOOKUP(A10,Players!$B$2:$O$40,5,FALSE)</f>
        <v>#N/A</v>
      </c>
      <c r="C10" s="48" t="e">
        <f>VLOOKUP(A10,Players!$B$2:$O$40,6,FALSE)</f>
        <v>#N/A</v>
      </c>
      <c r="D10" s="48" t="e">
        <f>VLOOKUP(A10,Players!$B$2:$O$40,14,FALSE)</f>
        <v>#N/A</v>
      </c>
      <c r="E10" s="48" t="s">
        <v>173</v>
      </c>
      <c r="F10" s="48" t="s">
        <v>129</v>
      </c>
      <c r="G10" s="48">
        <f>VLOOKUP(F10,Players!$B$2:$O$40,14,FALSE)</f>
        <v>19</v>
      </c>
      <c r="H10" s="48">
        <f t="shared" si="4"/>
        <v>75</v>
      </c>
      <c r="I10" s="49" t="e">
        <f t="shared" si="3"/>
        <v>#N/A</v>
      </c>
      <c r="K10" s="43" t="s">
        <v>103</v>
      </c>
      <c r="L10" s="107" t="s">
        <v>172</v>
      </c>
      <c r="M10" s="60" t="e">
        <f t="shared" ca="1" si="2"/>
        <v>#REF!</v>
      </c>
      <c r="N10" s="48"/>
      <c r="O10" s="49"/>
      <c r="Q10" s="121" t="s">
        <v>103</v>
      </c>
      <c r="R10" s="118">
        <f>Players!AS9</f>
        <v>2179</v>
      </c>
      <c r="S10" s="119"/>
      <c r="T10" s="119"/>
      <c r="U10" s="120">
        <f t="shared" si="1"/>
        <v>2179</v>
      </c>
    </row>
    <row r="11" spans="1:21" ht="15" thickBot="1" x14ac:dyDescent="0.35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44" t="s">
        <v>208</v>
      </c>
      <c r="M11" s="60">
        <f t="shared" ca="1" si="2"/>
        <v>81</v>
      </c>
      <c r="N11" s="48" t="s">
        <v>86</v>
      </c>
      <c r="O11" s="49"/>
      <c r="Q11" s="121" t="s">
        <v>105</v>
      </c>
      <c r="R11" s="118">
        <f>Players!AS10</f>
        <v>1976</v>
      </c>
      <c r="S11" s="119"/>
      <c r="T11" s="119"/>
      <c r="U11" s="120">
        <f t="shared" si="1"/>
        <v>1976</v>
      </c>
    </row>
    <row r="12" spans="1:21" ht="14.4" x14ac:dyDescent="0.3">
      <c r="K12" s="43" t="s">
        <v>71</v>
      </c>
      <c r="L12" s="144" t="s">
        <v>209</v>
      </c>
      <c r="M12" s="60">
        <f t="shared" ca="1" si="2"/>
        <v>32</v>
      </c>
      <c r="N12" s="48"/>
      <c r="O12" s="49"/>
      <c r="Q12" s="121" t="s">
        <v>71</v>
      </c>
      <c r="R12" s="118">
        <f>Players!AS11</f>
        <v>2974</v>
      </c>
      <c r="S12" s="119"/>
      <c r="T12" s="119"/>
      <c r="U12" s="120">
        <f t="shared" si="1"/>
        <v>2974</v>
      </c>
    </row>
    <row r="13" spans="1:21" ht="14.4" x14ac:dyDescent="0.3">
      <c r="A13" t="s">
        <v>147</v>
      </c>
      <c r="K13" s="43" t="s">
        <v>110</v>
      </c>
      <c r="L13" s="107" t="s">
        <v>205</v>
      </c>
      <c r="M13" s="60">
        <f t="shared" ca="1" si="2"/>
        <v>0</v>
      </c>
      <c r="N13" s="48"/>
      <c r="O13" s="49"/>
      <c r="Q13" s="121" t="s">
        <v>110</v>
      </c>
      <c r="R13" s="118">
        <f>Players!AS12</f>
        <v>1911</v>
      </c>
      <c r="S13" s="119"/>
      <c r="T13" s="119"/>
      <c r="U13" s="120">
        <f t="shared" si="1"/>
        <v>1911</v>
      </c>
    </row>
    <row r="14" spans="1:21" ht="14.4" x14ac:dyDescent="0.3">
      <c r="A14" t="s">
        <v>71</v>
      </c>
      <c r="B14" t="s">
        <v>85</v>
      </c>
      <c r="C14">
        <v>1</v>
      </c>
      <c r="K14" s="43" t="s">
        <v>113</v>
      </c>
      <c r="L14" s="107" t="s">
        <v>172</v>
      </c>
      <c r="M14" s="60" t="e">
        <f t="shared" ca="1" si="2"/>
        <v>#REF!</v>
      </c>
      <c r="N14" s="48"/>
      <c r="O14" s="49"/>
      <c r="Q14" s="121" t="s">
        <v>113</v>
      </c>
      <c r="R14" s="118">
        <f>Players!AS13</f>
        <v>1949</v>
      </c>
      <c r="S14" s="119"/>
      <c r="T14" s="119"/>
      <c r="U14" s="120">
        <f t="shared" si="1"/>
        <v>1949</v>
      </c>
    </row>
    <row r="15" spans="1:21" ht="14.4" x14ac:dyDescent="0.3">
      <c r="K15" s="43" t="s">
        <v>115</v>
      </c>
      <c r="L15" s="144" t="s">
        <v>209</v>
      </c>
      <c r="M15" s="60">
        <f t="shared" ca="1" si="2"/>
        <v>138</v>
      </c>
      <c r="N15" s="48"/>
      <c r="O15" s="49"/>
      <c r="Q15" s="121" t="s">
        <v>115</v>
      </c>
      <c r="R15" s="118">
        <f>Players!AS14</f>
        <v>2585</v>
      </c>
      <c r="S15" s="119"/>
      <c r="T15" s="119"/>
      <c r="U15" s="120">
        <f>S15+R15-T15</f>
        <v>2585</v>
      </c>
    </row>
    <row r="16" spans="1:21" ht="14.4" x14ac:dyDescent="0.3">
      <c r="K16" s="44" t="s">
        <v>123</v>
      </c>
      <c r="L16" s="110"/>
      <c r="M16" s="111" t="e">
        <f t="shared" ca="1" si="2"/>
        <v>#REF!</v>
      </c>
      <c r="N16" s="112"/>
      <c r="O16" s="113"/>
      <c r="Q16" s="122" t="s">
        <v>123</v>
      </c>
      <c r="R16" s="118">
        <f>Players!AS15</f>
        <v>562</v>
      </c>
      <c r="S16" s="119"/>
      <c r="T16" s="119"/>
      <c r="U16" s="120">
        <f t="shared" si="1"/>
        <v>562</v>
      </c>
    </row>
    <row r="17" spans="1:21" ht="14.4" x14ac:dyDescent="0.3">
      <c r="K17" s="44" t="s">
        <v>121</v>
      </c>
      <c r="L17" s="107" t="s">
        <v>205</v>
      </c>
      <c r="M17" s="60">
        <f t="shared" ca="1" si="2"/>
        <v>92</v>
      </c>
      <c r="N17" s="48"/>
      <c r="O17" s="49"/>
      <c r="Q17" s="122" t="s">
        <v>121</v>
      </c>
      <c r="R17" s="118">
        <f>Players!AS16</f>
        <v>2019</v>
      </c>
      <c r="S17" s="119"/>
      <c r="T17" s="119"/>
      <c r="U17" s="120">
        <f t="shared" si="1"/>
        <v>2019</v>
      </c>
    </row>
    <row r="18" spans="1:21" ht="14.4" x14ac:dyDescent="0.3">
      <c r="A18" t="s">
        <v>192</v>
      </c>
      <c r="B18" t="s">
        <v>193</v>
      </c>
      <c r="C18" t="s">
        <v>191</v>
      </c>
      <c r="K18" s="41" t="s">
        <v>149</v>
      </c>
      <c r="L18" s="144" t="s">
        <v>208</v>
      </c>
      <c r="M18" s="57"/>
      <c r="N18" s="48" t="s">
        <v>160</v>
      </c>
      <c r="O18" s="49" t="s">
        <v>245</v>
      </c>
      <c r="Q18" s="123" t="s">
        <v>149</v>
      </c>
      <c r="R18" s="118">
        <f>Players!AS18</f>
        <v>1919</v>
      </c>
      <c r="S18" s="119"/>
      <c r="T18" s="119"/>
      <c r="U18" s="120">
        <f t="shared" ref="U18" si="6">S18+R18-T18</f>
        <v>1919</v>
      </c>
    </row>
    <row r="19" spans="1:21" x14ac:dyDescent="0.25">
      <c r="A19">
        <v>12</v>
      </c>
      <c r="B19">
        <v>50</v>
      </c>
      <c r="C19" s="142">
        <f>0.1+0.4*(B19-A19)/B19</f>
        <v>0.40400000000000003</v>
      </c>
      <c r="K19" s="41"/>
      <c r="L19" s="57"/>
      <c r="M19" s="57"/>
      <c r="N19" s="48"/>
      <c r="O19" s="49"/>
      <c r="Q19" s="123"/>
      <c r="R19" s="119"/>
      <c r="S19" s="119"/>
      <c r="T19" s="119"/>
      <c r="U19" s="120"/>
    </row>
    <row r="20" spans="1:21" x14ac:dyDescent="0.25">
      <c r="K20" s="41"/>
      <c r="L20" s="57"/>
      <c r="M20" s="57"/>
      <c r="N20" s="48"/>
      <c r="O20" s="49"/>
      <c r="Q20" s="123"/>
      <c r="R20" s="119"/>
      <c r="S20" s="119"/>
      <c r="T20" s="119"/>
      <c r="U20" s="120"/>
    </row>
    <row r="21" spans="1:21" x14ac:dyDescent="0.25">
      <c r="K21" s="41"/>
      <c r="L21" s="57"/>
      <c r="M21" s="57"/>
      <c r="N21" s="48"/>
      <c r="O21" s="49"/>
      <c r="Q21" s="123"/>
      <c r="R21" s="119"/>
      <c r="S21" s="119"/>
      <c r="T21" s="119"/>
      <c r="U21" s="120"/>
    </row>
    <row r="22" spans="1:21" ht="13.8" thickBot="1" x14ac:dyDescent="0.3">
      <c r="K22" s="40"/>
      <c r="L22" s="58"/>
      <c r="M22" s="58"/>
      <c r="N22" s="50"/>
      <c r="O22" s="51"/>
      <c r="Q22" s="124"/>
      <c r="R22" s="125"/>
      <c r="S22" s="125"/>
      <c r="T22" s="125"/>
      <c r="U22" s="126"/>
    </row>
    <row r="23" spans="1:21" ht="13.8" thickBot="1" x14ac:dyDescent="0.3"/>
    <row r="24" spans="1:21" ht="18" thickBot="1" x14ac:dyDescent="0.35">
      <c r="Q24" s="154" t="s">
        <v>146</v>
      </c>
      <c r="R24" s="155"/>
      <c r="S24" s="156"/>
    </row>
    <row r="25" spans="1:21" x14ac:dyDescent="0.25">
      <c r="Q25" s="127" t="s">
        <v>142</v>
      </c>
      <c r="R25" s="128" t="s">
        <v>141</v>
      </c>
      <c r="S25" s="129" t="s">
        <v>140</v>
      </c>
    </row>
    <row r="26" spans="1:21" x14ac:dyDescent="0.25">
      <c r="A26" t="str">
        <f>Players!B2</f>
        <v>Rando</v>
      </c>
      <c r="B26" t="str">
        <f>Players!P2</f>
        <v>Bite</v>
      </c>
      <c r="C26" t="str">
        <f>Players!S2</f>
        <v>Venom</v>
      </c>
      <c r="D26" t="str">
        <f>Players!V2</f>
        <v>O-Poison</v>
      </c>
      <c r="E26" t="str">
        <f>Players!Y2</f>
        <v>X-Ice</v>
      </c>
      <c r="F26" t="str">
        <f>Players!AB2</f>
        <v/>
      </c>
      <c r="G26" t="str">
        <f>Players!AE2</f>
        <v/>
      </c>
      <c r="H26" t="str">
        <f>Players!AH2</f>
        <v/>
      </c>
      <c r="I26" t="str">
        <f>Players!AK2</f>
        <v/>
      </c>
      <c r="J26" t="str">
        <f>Players!AN2</f>
        <v>Power Magi-1</v>
      </c>
      <c r="Q26" s="123">
        <v>4</v>
      </c>
      <c r="R26" s="130" t="str">
        <f t="shared" ref="R26:R31" si="7">INDEX(SheetNames,Q26)</f>
        <v>One Civilization's Trash</v>
      </c>
      <c r="S26" s="131"/>
    </row>
    <row r="27" spans="1:21" x14ac:dyDescent="0.25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Cure Potion</v>
      </c>
      <c r="G27" t="str">
        <f>Players!AE3</f>
        <v>Bronze Armor</v>
      </c>
      <c r="H27" t="str">
        <f>Players!AH3</f>
        <v>Bronze Helm</v>
      </c>
      <c r="I27" t="str">
        <f>Players!AK3</f>
        <v>Bronze Glove</v>
      </c>
      <c r="J27">
        <f>Players!AN3</f>
        <v>0</v>
      </c>
      <c r="Q27" s="123">
        <v>5</v>
      </c>
      <c r="R27" s="130" t="str">
        <f t="shared" si="7"/>
        <v>Vall-E of Bones</v>
      </c>
      <c r="S27" s="131"/>
    </row>
    <row r="28" spans="1:21" x14ac:dyDescent="0.25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 t="str">
        <f>Players!AK4</f>
        <v>Cure Potion</v>
      </c>
      <c r="J28">
        <f>Players!AN4</f>
        <v>0</v>
      </c>
      <c r="Q28" s="123">
        <v>6</v>
      </c>
      <c r="R28" s="130" t="str">
        <f>INDEX(SheetNames,Q28)</f>
        <v>Rockers</v>
      </c>
      <c r="S28" s="131"/>
    </row>
    <row r="29" spans="1:21" x14ac:dyDescent="0.25">
      <c r="A29" t="str">
        <f>Players!B5</f>
        <v>Cuthbert</v>
      </c>
      <c r="B29" t="str">
        <f>Players!P5</f>
        <v>Kick</v>
      </c>
      <c r="C29" t="str">
        <f>Players!S5</f>
        <v>Breath</v>
      </c>
      <c r="D29" t="str">
        <f>Players!V5</f>
        <v/>
      </c>
      <c r="E29" t="str">
        <f>Players!Y5</f>
        <v/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/>
      </c>
      <c r="J29">
        <f>Players!AN5</f>
        <v>0</v>
      </c>
      <c r="Q29" s="123">
        <v>7</v>
      </c>
      <c r="R29" s="130" t="str">
        <f t="shared" si="7"/>
        <v>Team Pragmatic</v>
      </c>
      <c r="S29" s="131"/>
    </row>
    <row r="30" spans="1:21" x14ac:dyDescent="0.25">
      <c r="A30" t="str">
        <f>Players!B6</f>
        <v>Sandy</v>
      </c>
      <c r="B30" t="str">
        <f>Players!P6</f>
        <v>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>
        <f>Players!AE6</f>
        <v>0</v>
      </c>
      <c r="H30" t="str">
        <f>Players!AH6</f>
        <v>Long Bow</v>
      </c>
      <c r="I30" t="str">
        <f>Players!AK6</f>
        <v>Strike</v>
      </c>
      <c r="J30">
        <f>Players!AN6</f>
        <v>0</v>
      </c>
      <c r="Q30" s="123">
        <v>8</v>
      </c>
      <c r="R30" s="130" t="str">
        <f t="shared" si="7"/>
        <v>Vall-E of Bones (2)</v>
      </c>
      <c r="S30" s="131"/>
    </row>
    <row r="31" spans="1:21" x14ac:dyDescent="0.25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Bronze Glove</v>
      </c>
      <c r="G31" t="str">
        <f>Players!AE7</f>
        <v>Bronze Glove</v>
      </c>
      <c r="H31" t="str">
        <f>Players!AH7</f>
        <v>Bronze Glove</v>
      </c>
      <c r="I31" t="str">
        <f>Players!AK7</f>
        <v>Clipper</v>
      </c>
      <c r="J31" t="str">
        <f>Players!AN7</f>
        <v>Speed Magi-1</v>
      </c>
      <c r="Q31" s="123">
        <v>9</v>
      </c>
      <c r="R31" s="130" t="e">
        <f t="shared" si="7"/>
        <v>#REF!</v>
      </c>
      <c r="S31" s="131"/>
    </row>
    <row r="32" spans="1:21" x14ac:dyDescent="0.25">
      <c r="A32" t="str">
        <f>Players!B8</f>
        <v>Saffron</v>
      </c>
      <c r="B32" t="str">
        <f>Players!P8</f>
        <v>Long Sword</v>
      </c>
      <c r="C32" t="str">
        <f>Players!S8</f>
        <v>Bronze Armor</v>
      </c>
      <c r="D32" t="str">
        <f>Players!V8</f>
        <v>Bow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>
        <f>Players!AK8</f>
        <v>0</v>
      </c>
      <c r="J32">
        <f>Players!AN8</f>
        <v>0</v>
      </c>
      <c r="Q32" s="123">
        <v>10</v>
      </c>
      <c r="R32" s="130" t="e">
        <f t="shared" ref="R32:R33" si="8">INDEX(SheetNames,Q32)</f>
        <v>#REF!</v>
      </c>
      <c r="S32" s="131"/>
    </row>
    <row r="33" spans="1:19" x14ac:dyDescent="0.25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Bronze Helm</v>
      </c>
      <c r="F33" t="str">
        <f>Players!AB9</f>
        <v>Bronze Glove</v>
      </c>
      <c r="G33" t="str">
        <f>Players!AE9</f>
        <v>Bronze Armor</v>
      </c>
      <c r="H33">
        <f>Players!AH9</f>
        <v>0</v>
      </c>
      <c r="I33" t="str">
        <f>Players!AK9</f>
        <v>Cure Potion</v>
      </c>
      <c r="J33">
        <f>Players!AN9</f>
        <v>0</v>
      </c>
      <c r="Q33" s="123">
        <v>11</v>
      </c>
      <c r="R33" s="130" t="e">
        <f t="shared" si="8"/>
        <v>#REF!</v>
      </c>
      <c r="S33" s="131"/>
    </row>
    <row r="34" spans="1:19" ht="13.8" thickBot="1" x14ac:dyDescent="0.3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 t="str">
        <f>Players!Y10</f>
        <v>O-Para</v>
      </c>
      <c r="F34" t="str">
        <f>Players!AB10</f>
        <v>Hammer</v>
      </c>
      <c r="G34" t="str">
        <f>Players!AE10</f>
        <v>Bronze Armor</v>
      </c>
      <c r="H34" t="str">
        <f>Players!AH10</f>
        <v>Long Bow</v>
      </c>
      <c r="I34" t="str">
        <f>Players!AK10</f>
        <v>Strike</v>
      </c>
      <c r="J34" t="str">
        <f>Players!AN10</f>
        <v>Mana Magi-1</v>
      </c>
      <c r="Q34" s="124">
        <v>12</v>
      </c>
      <c r="R34" s="132" t="s">
        <v>151</v>
      </c>
      <c r="S34" s="133">
        <v>0</v>
      </c>
    </row>
    <row r="35" spans="1:19" x14ac:dyDescent="0.25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Electroshock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5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Iron Spear</v>
      </c>
      <c r="E36" t="str">
        <f>Players!Y12</f>
        <v>Long Sword</v>
      </c>
      <c r="F36" t="str">
        <f>Players!AB12</f>
        <v>Bronze Glove</v>
      </c>
      <c r="G36" t="str">
        <f>Players!AE12</f>
        <v>Bronze Shield</v>
      </c>
      <c r="H36" t="str">
        <f>Players!AH12</f>
        <v>Long Sword</v>
      </c>
      <c r="I36" t="str">
        <f>Players!AK12</f>
        <v>Cure Beam</v>
      </c>
      <c r="J36">
        <f>Players!AN12</f>
        <v>0</v>
      </c>
    </row>
    <row r="37" spans="1:19" x14ac:dyDescent="0.25">
      <c r="A37" t="str">
        <f>Players!B13</f>
        <v>Tankbot</v>
      </c>
      <c r="B37" t="str">
        <f>Players!P13</f>
        <v>O-Pa/Po</v>
      </c>
      <c r="C37" t="str">
        <f>Players!S13</f>
        <v>Bronze Shield</v>
      </c>
      <c r="D37" t="str">
        <f>Players!V13</f>
        <v>Bronze Helm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Cure Potion</v>
      </c>
      <c r="J37">
        <f>Players!AN13</f>
        <v>0</v>
      </c>
    </row>
    <row r="38" spans="1:19" x14ac:dyDescent="0.25">
      <c r="A38" t="str">
        <f>Players!B14</f>
        <v>DM</v>
      </c>
      <c r="B38" t="str">
        <f>Players!P14</f>
        <v>Tail</v>
      </c>
      <c r="C38" t="str">
        <f>Players!S14</f>
        <v>Charm</v>
      </c>
      <c r="D38" t="str">
        <f>Players!V14</f>
        <v>O-Poison</v>
      </c>
      <c r="E38" t="str">
        <f>Players!Y14</f>
        <v/>
      </c>
      <c r="F38" t="str">
        <f>Players!AB14</f>
        <v/>
      </c>
      <c r="G38" t="str">
        <f>Players!AE14</f>
        <v/>
      </c>
      <c r="H38" t="str">
        <f>Players!AH14</f>
        <v/>
      </c>
      <c r="I38" t="str">
        <f>Players!AK14</f>
        <v>Poison</v>
      </c>
      <c r="J38">
        <f>Players!AN14</f>
        <v>0</v>
      </c>
    </row>
    <row r="39" spans="1:19" x14ac:dyDescent="0.25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5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Iron Spear</v>
      </c>
      <c r="F40" t="str">
        <f>Players!AB16</f>
        <v>Long Sword</v>
      </c>
      <c r="G40" t="str">
        <f>Players!AE16</f>
        <v>Axe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5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5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Ice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>
        <f>Players!AN18</f>
        <v>0</v>
      </c>
    </row>
    <row r="43" spans="1:19" x14ac:dyDescent="0.25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5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5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</sheetData>
  <mergeCells count="4">
    <mergeCell ref="A1:I1"/>
    <mergeCell ref="K1:O1"/>
    <mergeCell ref="Q1:U1"/>
    <mergeCell ref="Q24:S24"/>
  </mergeCells>
  <dataValidations count="3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A3" sqref="A3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152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159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6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113</v>
      </c>
      <c r="B2" t="s">
        <v>13</v>
      </c>
      <c r="C2">
        <v>1</v>
      </c>
      <c r="D2">
        <v>1</v>
      </c>
      <c r="F2">
        <f>VLOOKUP(A2,Players!B$2:G$39,5,FALSE)</f>
        <v>80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103</v>
      </c>
      <c r="B3" t="s">
        <v>13</v>
      </c>
      <c r="C3">
        <v>1</v>
      </c>
      <c r="D3">
        <v>2</v>
      </c>
      <c r="F3">
        <f>VLOOKUP(A3,Players!B$2:G$39,5,FALSE)</f>
        <v>110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101</v>
      </c>
      <c r="B4" t="s">
        <v>13</v>
      </c>
      <c r="C4">
        <v>1</v>
      </c>
      <c r="D4">
        <v>3</v>
      </c>
      <c r="F4">
        <f>VLOOKUP(A4,Players!B$2:G$39,5,FALSE)</f>
        <v>98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94</v>
      </c>
      <c r="B5" t="s">
        <v>13</v>
      </c>
      <c r="C5">
        <v>1</v>
      </c>
      <c r="D5">
        <v>4</v>
      </c>
      <c r="F5">
        <f>VLOOKUP(A5,Players!B$2:G$39,5,FALSE)</f>
        <v>114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90</v>
      </c>
      <c r="B6" t="s">
        <v>13</v>
      </c>
      <c r="C6">
        <v>1</v>
      </c>
      <c r="D6">
        <v>5</v>
      </c>
      <c r="F6">
        <f>VLOOKUP(A6,Players!B$2:G$39,5,FALSE)</f>
        <v>98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7"/>
  <sheetViews>
    <sheetView topLeftCell="E1" workbookViewId="0">
      <selection activeCell="V8" sqref="V8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95</v>
      </c>
      <c r="B2" t="s">
        <v>13</v>
      </c>
      <c r="C2">
        <v>1</v>
      </c>
      <c r="D2">
        <v>1</v>
      </c>
      <c r="F2">
        <f>VLOOKUP(A2,Players!B$2:G$39,5,FALSE)</f>
        <v>126</v>
      </c>
      <c r="K2" s="7" t="str">
        <f>IF(NOT($B2="Enemy"),VLOOKUP($A2,Toolkit!$K$2:$O$37,4,FALSE),"")</f>
        <v>Kick</v>
      </c>
      <c r="L2" s="7" t="str">
        <f>IF(NOT($B2="Enemy"),VLOOKUP($A2,Toolkit!$K$2:$O$37,5,FALSE),"")</f>
        <v>BabyWyrm</v>
      </c>
    </row>
    <row r="3" spans="1:22" x14ac:dyDescent="0.25">
      <c r="A3" t="s">
        <v>149</v>
      </c>
      <c r="B3" t="s">
        <v>13</v>
      </c>
      <c r="C3">
        <v>1</v>
      </c>
      <c r="D3">
        <v>2</v>
      </c>
      <c r="F3">
        <f>VLOOKUP(A3,Players!B$2:G$39,5,FALSE)</f>
        <v>115</v>
      </c>
      <c r="K3" s="7" t="str">
        <f>IF(NOT($B3="Enemy"),VLOOKUP($A3,Toolkit!$K$2:$O$37,4,FALSE),"")</f>
        <v>Ice</v>
      </c>
      <c r="L3" s="7" t="str">
        <f>IF(NOT($B3="Enemy"),VLOOKUP($A3,Toolkit!$K$2:$O$37,5,FALSE),"")</f>
        <v>BabyWyrm</v>
      </c>
    </row>
    <row r="4" spans="1:22" x14ac:dyDescent="0.25">
      <c r="A4" t="s">
        <v>89</v>
      </c>
      <c r="B4" t="s">
        <v>13</v>
      </c>
      <c r="C4">
        <v>1</v>
      </c>
      <c r="D4">
        <v>3</v>
      </c>
      <c r="F4">
        <f>VLOOKUP(A4,Players!B$2:G$39,5,FALSE)</f>
        <v>79</v>
      </c>
      <c r="K4" s="7" t="str">
        <f>IF(NOT($B4="Enemy"),VLOOKUP($A4,Toolkit!$K$2:$O$37,4,FALSE),"")</f>
        <v>Bite</v>
      </c>
      <c r="L4" s="7" t="str">
        <f>IF(NOT($B4="Enemy"),VLOOKUP($A4,Toolkit!$K$2:$O$37,5,FALSE),"")</f>
        <v>BabyWyrm</v>
      </c>
    </row>
    <row r="5" spans="1:22" x14ac:dyDescent="0.25">
      <c r="A5" t="s">
        <v>105</v>
      </c>
      <c r="B5" t="s">
        <v>13</v>
      </c>
      <c r="C5">
        <v>1</v>
      </c>
      <c r="D5">
        <v>4</v>
      </c>
      <c r="F5">
        <f>VLOOKUP(A5,Players!B$2:G$39,5,FALSE)</f>
        <v>81</v>
      </c>
      <c r="K5" s="7" t="str">
        <f>IF(NOT($B5="Enemy"),VLOOKUP($A5,Toolkit!$K$2:$O$37,4,FALSE),"")</f>
        <v>Blizzard</v>
      </c>
      <c r="L5" s="7">
        <f>IF(NOT($B5="Enemy"),VLOOKUP($A5,Toolkit!$K$2:$O$37,5,FALSE),"")</f>
        <v>0</v>
      </c>
    </row>
    <row r="6" spans="1:22" x14ac:dyDescent="0.25">
      <c r="A6" t="s">
        <v>245</v>
      </c>
      <c r="B6" t="s">
        <v>14</v>
      </c>
      <c r="C6">
        <v>2</v>
      </c>
      <c r="V6" t="s">
        <v>190</v>
      </c>
    </row>
    <row r="7" spans="1:22" x14ac:dyDescent="0.25">
      <c r="A7" t="s">
        <v>246</v>
      </c>
      <c r="B7" t="s">
        <v>14</v>
      </c>
      <c r="C7">
        <v>4</v>
      </c>
      <c r="V7" t="s">
        <v>190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A3E2B-C73A-4944-8BF2-D631BE5F1434}">
  <sheetPr codeName="Sheet13"/>
  <dimension ref="A1:V10"/>
  <sheetViews>
    <sheetView topLeftCell="D1" workbookViewId="0">
      <selection activeCell="K12" sqref="K1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9.1093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220</v>
      </c>
      <c r="B2" t="s">
        <v>14</v>
      </c>
      <c r="C2">
        <v>1</v>
      </c>
      <c r="D2">
        <v>2</v>
      </c>
      <c r="E2">
        <v>12.4</v>
      </c>
      <c r="F2">
        <v>4</v>
      </c>
      <c r="G2">
        <v>8</v>
      </c>
      <c r="H2">
        <v>10</v>
      </c>
      <c r="I2">
        <v>3</v>
      </c>
      <c r="J2">
        <v>4</v>
      </c>
      <c r="K2" s="7" t="str">
        <f>IF(NOT($B2="Enemy"),VLOOKUP($A2,Toolkit!$K$2:$O$37,4,FALSE),"")</f>
        <v/>
      </c>
      <c r="L2" s="7" t="str">
        <f>IF(NOT($B2="Enemy"),VLOOKUP($A2,Toolkit!$K$2:$O$37,5,FALSE),"")</f>
        <v/>
      </c>
      <c r="U2" t="s">
        <v>223</v>
      </c>
      <c r="V2" t="s">
        <v>190</v>
      </c>
    </row>
    <row r="3" spans="1:22" x14ac:dyDescent="0.25">
      <c r="A3" t="s">
        <v>73</v>
      </c>
      <c r="B3" t="s">
        <v>13</v>
      </c>
      <c r="C3">
        <v>1</v>
      </c>
      <c r="D3">
        <v>3</v>
      </c>
      <c r="E3">
        <v>12.1</v>
      </c>
      <c r="F3">
        <v>140</v>
      </c>
      <c r="G3">
        <v>13</v>
      </c>
      <c r="H3">
        <v>10</v>
      </c>
      <c r="I3">
        <v>10</v>
      </c>
      <c r="J3">
        <v>6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  <c r="P3" t="s">
        <v>216</v>
      </c>
      <c r="Q3" t="s">
        <v>216</v>
      </c>
      <c r="R3" t="s">
        <v>216</v>
      </c>
      <c r="S3" t="s">
        <v>216</v>
      </c>
      <c r="U3" t="s">
        <v>223</v>
      </c>
      <c r="V3" t="s">
        <v>190</v>
      </c>
    </row>
    <row r="4" spans="1:22" x14ac:dyDescent="0.25">
      <c r="A4" t="s">
        <v>220</v>
      </c>
      <c r="B4" t="s">
        <v>14</v>
      </c>
      <c r="C4">
        <v>1</v>
      </c>
      <c r="D4">
        <v>3</v>
      </c>
      <c r="E4">
        <v>12</v>
      </c>
      <c r="F4">
        <v>67</v>
      </c>
      <c r="G4">
        <v>8</v>
      </c>
      <c r="H4">
        <v>10</v>
      </c>
      <c r="I4">
        <v>3</v>
      </c>
      <c r="J4">
        <v>4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  <c r="U4" t="s">
        <v>223</v>
      </c>
      <c r="V4" t="s">
        <v>190</v>
      </c>
    </row>
    <row r="5" spans="1:22" x14ac:dyDescent="0.25">
      <c r="A5" t="s">
        <v>218</v>
      </c>
      <c r="B5" t="s">
        <v>14</v>
      </c>
      <c r="C5">
        <v>1</v>
      </c>
      <c r="D5">
        <v>1</v>
      </c>
      <c r="E5">
        <v>10.7</v>
      </c>
      <c r="F5">
        <v>85</v>
      </c>
      <c r="G5">
        <v>22</v>
      </c>
      <c r="H5">
        <v>10</v>
      </c>
      <c r="I5">
        <v>13</v>
      </c>
      <c r="J5">
        <v>11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O5" t="s">
        <v>204</v>
      </c>
      <c r="U5" t="s">
        <v>224</v>
      </c>
      <c r="V5" t="s">
        <v>225</v>
      </c>
    </row>
    <row r="6" spans="1:22" x14ac:dyDescent="0.25">
      <c r="A6" t="s">
        <v>199</v>
      </c>
      <c r="B6" t="s">
        <v>130</v>
      </c>
      <c r="C6">
        <v>1</v>
      </c>
      <c r="D6">
        <v>4</v>
      </c>
      <c r="E6">
        <v>10</v>
      </c>
      <c r="F6">
        <v>69</v>
      </c>
      <c r="G6">
        <v>8</v>
      </c>
      <c r="H6">
        <v>13</v>
      </c>
      <c r="I6">
        <v>14</v>
      </c>
      <c r="J6">
        <v>11</v>
      </c>
      <c r="U6" t="s">
        <v>226</v>
      </c>
      <c r="V6" t="s">
        <v>227</v>
      </c>
    </row>
    <row r="7" spans="1:22" x14ac:dyDescent="0.25">
      <c r="A7" t="s">
        <v>110</v>
      </c>
      <c r="B7" t="s">
        <v>13</v>
      </c>
      <c r="C7">
        <v>0</v>
      </c>
      <c r="D7">
        <v>1</v>
      </c>
      <c r="E7">
        <v>9.84</v>
      </c>
      <c r="F7">
        <v>0</v>
      </c>
      <c r="G7">
        <v>14</v>
      </c>
      <c r="H7">
        <v>8</v>
      </c>
      <c r="I7">
        <v>0</v>
      </c>
      <c r="J7">
        <v>10</v>
      </c>
      <c r="U7" t="s">
        <v>228</v>
      </c>
      <c r="V7" t="s">
        <v>217</v>
      </c>
    </row>
    <row r="8" spans="1:22" x14ac:dyDescent="0.25">
      <c r="A8" t="s">
        <v>121</v>
      </c>
      <c r="B8" t="s">
        <v>13</v>
      </c>
      <c r="C8">
        <v>1</v>
      </c>
      <c r="D8">
        <v>2</v>
      </c>
      <c r="E8">
        <v>5.7000000000000011</v>
      </c>
      <c r="F8">
        <v>92</v>
      </c>
      <c r="G8">
        <v>36</v>
      </c>
      <c r="H8">
        <v>5</v>
      </c>
      <c r="I8">
        <v>0</v>
      </c>
      <c r="J8">
        <v>6</v>
      </c>
      <c r="K8" s="7">
        <f>IF(NOT($B8="Enemy"),VLOOKUP($A8,Toolkit!$K$2:$O$37,4,FALSE),"")</f>
        <v>0</v>
      </c>
      <c r="L8" s="7">
        <f>IF(NOT($B8="Enemy"),VLOOKUP($A8,Toolkit!$K$2:$O$37,5,FALSE),"")</f>
        <v>0</v>
      </c>
      <c r="U8" t="s">
        <v>229</v>
      </c>
      <c r="V8" t="s">
        <v>230</v>
      </c>
    </row>
    <row r="9" spans="1:22" x14ac:dyDescent="0.25">
      <c r="A9" t="s">
        <v>220</v>
      </c>
      <c r="B9" t="s">
        <v>14</v>
      </c>
      <c r="C9">
        <v>0</v>
      </c>
      <c r="D9">
        <v>1</v>
      </c>
      <c r="E9">
        <v>0</v>
      </c>
      <c r="F9">
        <v>0</v>
      </c>
      <c r="G9">
        <v>8</v>
      </c>
      <c r="H9">
        <v>10</v>
      </c>
      <c r="I9">
        <v>3</v>
      </c>
      <c r="J9">
        <v>4</v>
      </c>
      <c r="K9" s="7" t="str">
        <f>IF(NOT($B9="Enemy"),VLOOKUP($A9,Toolkit!$K$2:$O$37,4,FALSE),"")</f>
        <v/>
      </c>
      <c r="L9" s="7" t="str">
        <f>IF(NOT($B9="Enemy"),VLOOKUP($A9,Toolkit!$K$2:$O$37,5,FALSE),"")</f>
        <v/>
      </c>
      <c r="U9" t="s">
        <v>231</v>
      </c>
      <c r="V9" t="s">
        <v>232</v>
      </c>
    </row>
    <row r="10" spans="1:22" x14ac:dyDescent="0.25">
      <c r="A10" t="s">
        <v>219</v>
      </c>
      <c r="B10" t="s">
        <v>14</v>
      </c>
      <c r="C10">
        <v>0</v>
      </c>
      <c r="D10">
        <v>1</v>
      </c>
      <c r="E10">
        <v>0</v>
      </c>
      <c r="F10">
        <v>0</v>
      </c>
      <c r="G10">
        <v>8</v>
      </c>
      <c r="H10">
        <v>13</v>
      </c>
      <c r="I10">
        <v>11</v>
      </c>
      <c r="J10">
        <v>6</v>
      </c>
      <c r="K10" s="7" t="str">
        <f>IF(NOT($B10="Enemy"),VLOOKUP($A10,Toolkit!$K$2:$O$37,4,FALSE),"")</f>
        <v/>
      </c>
      <c r="L10" s="7" t="str">
        <f>IF(NOT($B10="Enemy"),VLOOKUP($A10,Toolkit!$K$2:$O$37,5,FALSE),"")</f>
        <v/>
      </c>
      <c r="P10" t="s">
        <v>216</v>
      </c>
      <c r="Q10" t="s">
        <v>216</v>
      </c>
      <c r="R10" t="s">
        <v>216</v>
      </c>
      <c r="S10" t="s">
        <v>216</v>
      </c>
      <c r="U10" t="s">
        <v>222</v>
      </c>
      <c r="V10" t="s">
        <v>190</v>
      </c>
    </row>
  </sheetData>
  <sortState xmlns:xlrd2="http://schemas.microsoft.com/office/spreadsheetml/2017/richdata2" ref="A2:O5">
    <sortCondition ref="D2:D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8B44-1418-4E7B-BE69-2AE8EFB21B5F}">
  <sheetPr codeName="Sheet14"/>
  <dimension ref="A1:V6"/>
  <sheetViews>
    <sheetView workbookViewId="0">
      <selection activeCell="L10" sqref="L10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9.1093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201</v>
      </c>
      <c r="B2" t="s">
        <v>130</v>
      </c>
      <c r="C2">
        <v>1</v>
      </c>
      <c r="D2">
        <v>4</v>
      </c>
      <c r="E2">
        <v>17.28</v>
      </c>
      <c r="F2">
        <v>79</v>
      </c>
      <c r="G2">
        <v>9</v>
      </c>
      <c r="H2">
        <v>16</v>
      </c>
      <c r="I2">
        <v>17</v>
      </c>
      <c r="J2">
        <v>12</v>
      </c>
      <c r="U2" t="s">
        <v>238</v>
      </c>
      <c r="V2" t="s">
        <v>215</v>
      </c>
    </row>
    <row r="3" spans="1:22" x14ac:dyDescent="0.25">
      <c r="A3" t="s">
        <v>115</v>
      </c>
      <c r="B3" t="s">
        <v>13</v>
      </c>
      <c r="C3">
        <v>1</v>
      </c>
      <c r="D3">
        <v>3</v>
      </c>
      <c r="E3">
        <v>15.26</v>
      </c>
      <c r="F3">
        <v>138</v>
      </c>
      <c r="G3">
        <v>13</v>
      </c>
      <c r="H3">
        <v>14</v>
      </c>
      <c r="I3">
        <v>17</v>
      </c>
      <c r="J3">
        <v>12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  <c r="U3" t="s">
        <v>234</v>
      </c>
      <c r="V3" t="s">
        <v>239</v>
      </c>
    </row>
    <row r="4" spans="1:22" x14ac:dyDescent="0.25">
      <c r="A4" t="s">
        <v>98</v>
      </c>
      <c r="B4" t="s">
        <v>13</v>
      </c>
      <c r="C4">
        <v>1</v>
      </c>
      <c r="D4">
        <v>1</v>
      </c>
      <c r="E4">
        <v>12.4</v>
      </c>
      <c r="F4">
        <v>120</v>
      </c>
      <c r="G4">
        <v>20</v>
      </c>
      <c r="H4">
        <v>5</v>
      </c>
      <c r="I4">
        <v>0</v>
      </c>
      <c r="J4">
        <v>12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  <c r="U4" t="s">
        <v>177</v>
      </c>
      <c r="V4" t="s">
        <v>240</v>
      </c>
    </row>
    <row r="5" spans="1:22" x14ac:dyDescent="0.25">
      <c r="A5" t="s">
        <v>233</v>
      </c>
      <c r="B5" t="s">
        <v>14</v>
      </c>
      <c r="C5">
        <v>1</v>
      </c>
      <c r="D5">
        <v>1</v>
      </c>
      <c r="E5">
        <v>9.0399999999999991</v>
      </c>
      <c r="F5">
        <v>197</v>
      </c>
      <c r="G5">
        <v>13</v>
      </c>
      <c r="H5">
        <v>8</v>
      </c>
      <c r="I5">
        <v>13</v>
      </c>
      <c r="J5">
        <v>15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U5" t="s">
        <v>241</v>
      </c>
      <c r="V5" t="s">
        <v>217</v>
      </c>
    </row>
    <row r="6" spans="1:22" x14ac:dyDescent="0.25">
      <c r="A6" t="s">
        <v>71</v>
      </c>
      <c r="B6" t="s">
        <v>13</v>
      </c>
      <c r="C6">
        <v>1</v>
      </c>
      <c r="D6">
        <v>2</v>
      </c>
      <c r="E6">
        <v>6.7799999999999994</v>
      </c>
      <c r="F6">
        <v>32</v>
      </c>
      <c r="G6">
        <v>7</v>
      </c>
      <c r="H6">
        <v>6</v>
      </c>
      <c r="I6">
        <v>13</v>
      </c>
      <c r="J6">
        <v>6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  <c r="O6" t="s">
        <v>204</v>
      </c>
      <c r="U6" t="s">
        <v>85</v>
      </c>
      <c r="V6" t="s">
        <v>215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One Civilization's Trash</vt:lpstr>
      <vt:lpstr>Vall-E of Bones</vt:lpstr>
      <vt:lpstr>Rockers</vt:lpstr>
      <vt:lpstr>Team Pragmatic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2021-06-18T19:28:13Z</dcterms:modified>
</cp:coreProperties>
</file>