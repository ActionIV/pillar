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54616F38-82C4-4B8F-897E-79EC01DDE53B}" xr6:coauthVersionLast="47" xr6:coauthVersionMax="47" xr10:uidLastSave="{00000000-0000-0000-0000-000000000000}"/>
  <bookViews>
    <workbookView xWindow="-120" yWindow="-120" windowWidth="25440" windowHeight="15390" tabRatio="567" activeTab="1" xr2:uid="{00000000-000D-0000-FFFF-FFFF00000000}"/>
  </bookViews>
  <sheets>
    <sheet name="Players" sheetId="16" r:id="rId1"/>
    <sheet name="Toolkit" sheetId="30" r:id="rId2"/>
    <sheet name="Template" sheetId="1" r:id="rId3"/>
    <sheet name="Twice Ascended" sheetId="61" r:id="rId4"/>
    <sheet name="Drowned World" sheetId="63" r:id="rId5"/>
    <sheet name="Elsewhere" sheetId="58" r:id="rId6"/>
    <sheet name="Sheet1" sheetId="64" r:id="rId7"/>
  </sheets>
  <externalReferences>
    <externalReference r:id="rId8"/>
  </externalReferences>
  <definedNames>
    <definedName name="_xlnm._FilterDatabase" localSheetId="4" hidden="1">'Drowned World'!#REF!</definedName>
    <definedName name="_xlnm._FilterDatabase" localSheetId="5" hidden="1">Elsewhere!$A$2:$D$4</definedName>
    <definedName name="_xlnm._FilterDatabase" localSheetId="0" hidden="1">Players!$B$1:$D$40</definedName>
    <definedName name="_xlnm._FilterDatabase" localSheetId="3" hidden="1">'Twice Ascended'!#REF!</definedName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64" l="1"/>
  <c r="H12" i="64"/>
  <c r="H13" i="64"/>
  <c r="H14" i="64"/>
  <c r="H15" i="64"/>
  <c r="H2" i="64"/>
  <c r="H3" i="64"/>
  <c r="H4" i="64"/>
  <c r="H5" i="64"/>
  <c r="H6" i="64"/>
  <c r="H7" i="64"/>
  <c r="H10" i="64"/>
  <c r="G14" i="64"/>
  <c r="G15" i="64"/>
  <c r="G10" i="64"/>
  <c r="G11" i="64"/>
  <c r="G12" i="64"/>
  <c r="G13" i="64"/>
  <c r="D11" i="64"/>
  <c r="E11" i="64" s="1"/>
  <c r="D12" i="64"/>
  <c r="E12" i="64" s="1"/>
  <c r="D13" i="64"/>
  <c r="E13" i="64" s="1"/>
  <c r="D14" i="64"/>
  <c r="E14" i="64" s="1"/>
  <c r="D15" i="64"/>
  <c r="E15" i="64" s="1"/>
  <c r="D10" i="64"/>
  <c r="E10" i="64" s="1"/>
  <c r="K6" i="63"/>
  <c r="L6" i="63"/>
  <c r="K7" i="63"/>
  <c r="L7" i="63"/>
  <c r="K8" i="63"/>
  <c r="L8" i="63"/>
  <c r="K9" i="63"/>
  <c r="L9" i="63"/>
  <c r="K4" i="63"/>
  <c r="L4" i="63"/>
  <c r="K5" i="63"/>
  <c r="L5" i="63"/>
  <c r="K3" i="61"/>
  <c r="L3" i="61"/>
  <c r="F3" i="58" l="1"/>
  <c r="F4" i="58"/>
  <c r="F5" i="58"/>
  <c r="F6" i="58"/>
  <c r="F2" i="58"/>
  <c r="K5" i="58"/>
  <c r="L5" i="58"/>
  <c r="K6" i="58"/>
  <c r="L6" i="58"/>
  <c r="K6" i="61"/>
  <c r="L6" i="61"/>
  <c r="B4" i="30" l="1"/>
  <c r="K3" i="63"/>
  <c r="K2" i="63"/>
  <c r="K3" i="58"/>
  <c r="L3" i="58"/>
  <c r="K4" i="58"/>
  <c r="L4" i="58"/>
  <c r="L2" i="58"/>
  <c r="K2" i="58"/>
  <c r="K4" i="61"/>
  <c r="L4" i="61"/>
  <c r="K5" i="61"/>
  <c r="L5" i="61"/>
  <c r="L3" i="63"/>
  <c r="L2" i="63"/>
  <c r="K2" i="61" l="1"/>
  <c r="L2" i="61" l="1"/>
  <c r="M11" i="16" l="1"/>
  <c r="O29" i="16" l="1"/>
  <c r="M29" i="16"/>
  <c r="I29" i="16"/>
  <c r="A29" i="16" l="1"/>
  <c r="AP28" i="16" l="1"/>
  <c r="A28" i="16"/>
  <c r="D22" i="30" l="1"/>
  <c r="AU27" i="16" l="1"/>
  <c r="AU14" i="16"/>
  <c r="AU5" i="16"/>
  <c r="AU2" i="16"/>
  <c r="A51" i="30" l="1"/>
  <c r="J51" i="30"/>
  <c r="A49" i="30"/>
  <c r="J49" i="30"/>
  <c r="A50" i="30"/>
  <c r="B50" i="30"/>
  <c r="C50" i="30"/>
  <c r="D50" i="30"/>
  <c r="E50" i="30"/>
  <c r="F50" i="30"/>
  <c r="G50" i="30"/>
  <c r="H50" i="30"/>
  <c r="I50" i="30"/>
  <c r="J50" i="30"/>
  <c r="A48" i="30"/>
  <c r="J48" i="30"/>
  <c r="A47" i="30"/>
  <c r="B47" i="30"/>
  <c r="C47" i="30"/>
  <c r="D47" i="30"/>
  <c r="E47" i="30"/>
  <c r="F47" i="30"/>
  <c r="G47" i="30"/>
  <c r="H47" i="30"/>
  <c r="I47" i="30"/>
  <c r="J47" i="30"/>
  <c r="A46" i="30"/>
  <c r="B46" i="30"/>
  <c r="C46" i="30"/>
  <c r="D46" i="30"/>
  <c r="E46" i="30"/>
  <c r="F46" i="30"/>
  <c r="G46" i="30"/>
  <c r="H46" i="30"/>
  <c r="I46" i="30"/>
  <c r="J46" i="30"/>
  <c r="AP27" i="16"/>
  <c r="A27" i="16"/>
  <c r="M19" i="30"/>
  <c r="M18" i="30"/>
  <c r="AP26" i="16" l="1"/>
  <c r="O26" i="16"/>
  <c r="M26" i="16"/>
  <c r="I26" i="16"/>
  <c r="A26" i="16"/>
  <c r="C19" i="30" l="1"/>
  <c r="H9" i="30" l="1"/>
  <c r="H10" i="30"/>
  <c r="B5" i="30" l="1"/>
  <c r="B6" i="30"/>
  <c r="B7" i="30"/>
  <c r="B8" i="30"/>
  <c r="B9" i="30"/>
  <c r="C9" i="30"/>
  <c r="D9" i="30"/>
  <c r="B10" i="30"/>
  <c r="C10" i="30"/>
  <c r="D10" i="30"/>
  <c r="B3" i="30"/>
  <c r="AP25" i="16"/>
  <c r="A25" i="16"/>
  <c r="AP24" i="16"/>
  <c r="A24" i="16"/>
  <c r="AP4" i="16" l="1"/>
  <c r="AP5" i="16"/>
  <c r="AP6" i="16"/>
  <c r="AP8" i="16"/>
  <c r="AP9" i="16"/>
  <c r="AP11" i="16"/>
  <c r="AP13" i="16"/>
  <c r="AP14" i="16"/>
  <c r="AP15" i="16"/>
  <c r="AP16" i="16"/>
  <c r="AP17" i="16"/>
  <c r="AP19" i="16"/>
  <c r="AP20" i="16"/>
  <c r="AP21" i="16"/>
  <c r="AP22" i="16"/>
  <c r="AP23" i="16"/>
  <c r="O23" i="16" l="1"/>
  <c r="M23" i="16"/>
  <c r="I23" i="16"/>
  <c r="A23" i="16"/>
  <c r="A22" i="16" l="1"/>
  <c r="J45" i="30" l="1"/>
  <c r="I45" i="30"/>
  <c r="H45" i="30"/>
  <c r="G45" i="30"/>
  <c r="F45" i="30"/>
  <c r="E45" i="30"/>
  <c r="D45" i="30"/>
  <c r="C45" i="30"/>
  <c r="B45" i="30"/>
  <c r="A45" i="30"/>
  <c r="J44" i="30"/>
  <c r="I44" i="30"/>
  <c r="H44" i="30"/>
  <c r="G44" i="30"/>
  <c r="F44" i="30"/>
  <c r="E44" i="30"/>
  <c r="D44" i="30"/>
  <c r="C44" i="30"/>
  <c r="B44" i="30"/>
  <c r="A44" i="30"/>
  <c r="J43" i="30"/>
  <c r="I43" i="30"/>
  <c r="H43" i="30"/>
  <c r="G43" i="30"/>
  <c r="F43" i="30"/>
  <c r="E43" i="30"/>
  <c r="D43" i="30"/>
  <c r="C43" i="30"/>
  <c r="B43" i="30"/>
  <c r="A43" i="30"/>
  <c r="J42" i="30"/>
  <c r="I42" i="30"/>
  <c r="H42" i="30"/>
  <c r="G42" i="30"/>
  <c r="F42" i="30"/>
  <c r="E42" i="30"/>
  <c r="D42" i="30"/>
  <c r="C42" i="30"/>
  <c r="B42" i="30"/>
  <c r="A42" i="30"/>
  <c r="J41" i="30"/>
  <c r="A41" i="30"/>
  <c r="J40" i="30"/>
  <c r="I40" i="30"/>
  <c r="H40" i="30"/>
  <c r="G40" i="30"/>
  <c r="F40" i="30"/>
  <c r="E40" i="30"/>
  <c r="D40" i="30"/>
  <c r="C40" i="30"/>
  <c r="B40" i="30"/>
  <c r="A40" i="30"/>
  <c r="J39" i="30"/>
  <c r="I39" i="30"/>
  <c r="H39" i="30"/>
  <c r="G39" i="30"/>
  <c r="F39" i="30"/>
  <c r="E39" i="30"/>
  <c r="D39" i="30"/>
  <c r="C39" i="30"/>
  <c r="B39" i="30"/>
  <c r="A39" i="30"/>
  <c r="J38" i="30"/>
  <c r="A38" i="30"/>
  <c r="J37" i="30"/>
  <c r="I37" i="30"/>
  <c r="H37" i="30"/>
  <c r="G37" i="30"/>
  <c r="F37" i="30"/>
  <c r="E37" i="30"/>
  <c r="D37" i="30"/>
  <c r="C37" i="30"/>
  <c r="B37" i="30"/>
  <c r="A37" i="30"/>
  <c r="J36" i="30"/>
  <c r="I36" i="30"/>
  <c r="H36" i="30"/>
  <c r="G36" i="30"/>
  <c r="F36" i="30"/>
  <c r="E36" i="30"/>
  <c r="D36" i="30"/>
  <c r="C36" i="30"/>
  <c r="B36" i="30"/>
  <c r="A36" i="30"/>
  <c r="J35" i="30"/>
  <c r="I35" i="30"/>
  <c r="H35" i="30"/>
  <c r="G35" i="30"/>
  <c r="F35" i="30"/>
  <c r="E35" i="30"/>
  <c r="D35" i="30"/>
  <c r="C35" i="30"/>
  <c r="B35" i="30"/>
  <c r="A35" i="30"/>
  <c r="J34" i="30"/>
  <c r="I34" i="30"/>
  <c r="H34" i="30"/>
  <c r="G34" i="30"/>
  <c r="F34" i="30"/>
  <c r="E34" i="30"/>
  <c r="D34" i="30"/>
  <c r="C34" i="30"/>
  <c r="B34" i="30"/>
  <c r="A34" i="30"/>
  <c r="J33" i="30"/>
  <c r="I33" i="30"/>
  <c r="H33" i="30"/>
  <c r="G33" i="30"/>
  <c r="F33" i="30"/>
  <c r="E33" i="30"/>
  <c r="D33" i="30"/>
  <c r="C33" i="30"/>
  <c r="B33" i="30"/>
  <c r="A33" i="30"/>
  <c r="J32" i="30"/>
  <c r="I32" i="30"/>
  <c r="H32" i="30"/>
  <c r="G32" i="30"/>
  <c r="F32" i="30"/>
  <c r="E32" i="30"/>
  <c r="D32" i="30"/>
  <c r="C32" i="30"/>
  <c r="B32" i="30"/>
  <c r="A32" i="30"/>
  <c r="J31" i="30"/>
  <c r="I31" i="30"/>
  <c r="H31" i="30"/>
  <c r="G31" i="30"/>
  <c r="F31" i="30"/>
  <c r="E31" i="30"/>
  <c r="D31" i="30"/>
  <c r="C31" i="30"/>
  <c r="B31" i="30"/>
  <c r="A31" i="30"/>
  <c r="J30" i="30"/>
  <c r="I30" i="30"/>
  <c r="H30" i="30"/>
  <c r="G30" i="30"/>
  <c r="F30" i="30"/>
  <c r="E30" i="30"/>
  <c r="D30" i="30"/>
  <c r="C30" i="30"/>
  <c r="B30" i="30"/>
  <c r="A30" i="30"/>
  <c r="J29" i="30"/>
  <c r="A29" i="30"/>
  <c r="J28" i="30"/>
  <c r="I28" i="30"/>
  <c r="H28" i="30"/>
  <c r="G28" i="30"/>
  <c r="F28" i="30"/>
  <c r="E28" i="30"/>
  <c r="D28" i="30"/>
  <c r="C28" i="30"/>
  <c r="B28" i="30"/>
  <c r="A28" i="30"/>
  <c r="J27" i="30"/>
  <c r="I27" i="30"/>
  <c r="H27" i="30"/>
  <c r="G27" i="30"/>
  <c r="F27" i="30"/>
  <c r="E27" i="30"/>
  <c r="D27" i="30"/>
  <c r="C27" i="30"/>
  <c r="B27" i="30"/>
  <c r="A27" i="30"/>
  <c r="J26" i="30"/>
  <c r="A26" i="30"/>
  <c r="K3" i="1" l="1"/>
  <c r="L3" i="1"/>
  <c r="L2" i="1"/>
  <c r="K2" i="1"/>
  <c r="F2" i="1"/>
  <c r="R18" i="30" l="1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21" i="16" l="1"/>
  <c r="R28" i="30"/>
  <c r="O20" i="16" l="1"/>
  <c r="O19" i="16"/>
  <c r="M20" i="16"/>
  <c r="M19" i="16"/>
  <c r="I19" i="16"/>
  <c r="I20" i="16"/>
  <c r="R27" i="30"/>
  <c r="R31" i="30"/>
  <c r="R29" i="30"/>
  <c r="R26" i="30"/>
  <c r="R30" i="30"/>
  <c r="A20" i="16" l="1"/>
  <c r="A19" i="16"/>
  <c r="O18" i="16" l="1"/>
  <c r="M18" i="16"/>
  <c r="I18" i="16"/>
  <c r="A18" i="16" l="1"/>
  <c r="M16" i="30"/>
  <c r="M7" i="30"/>
  <c r="M8" i="30"/>
  <c r="M15" i="30"/>
  <c r="M12" i="30"/>
  <c r="M4" i="30"/>
  <c r="M17" i="30"/>
  <c r="M6" i="30"/>
  <c r="M3" i="30"/>
  <c r="M10" i="30"/>
  <c r="M5" i="30"/>
  <c r="M13" i="30"/>
  <c r="M9" i="30"/>
  <c r="M11" i="30"/>
  <c r="M14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R33" i="30"/>
  <c r="R32" i="30"/>
  <c r="O15" i="16" l="1"/>
  <c r="M15" i="16"/>
  <c r="I15" i="16"/>
  <c r="O11" i="16" l="1"/>
  <c r="I11" i="16"/>
  <c r="O10" i="16"/>
  <c r="M10" i="16"/>
  <c r="I10" i="16"/>
  <c r="O9" i="16"/>
  <c r="M9" i="16"/>
  <c r="M8" i="16"/>
  <c r="I9" i="16"/>
  <c r="O8" i="16"/>
  <c r="G9" i="30" s="1"/>
  <c r="I8" i="16"/>
  <c r="O6" i="16" l="1"/>
  <c r="M6" i="16"/>
  <c r="I6" i="16"/>
  <c r="O4" i="16" l="1"/>
  <c r="M4" i="16"/>
  <c r="I4" i="16"/>
  <c r="O3" i="16"/>
  <c r="M3" i="16"/>
  <c r="I3" i="16"/>
  <c r="A17" i="16" l="1"/>
  <c r="A16" i="16"/>
  <c r="A15" i="16"/>
  <c r="A14" i="16"/>
  <c r="A13" i="16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I9" i="30" l="1"/>
  <c r="I10" i="30" l="1"/>
  <c r="C8" i="30" l="1"/>
  <c r="D8" i="30" l="1"/>
  <c r="C7" i="30"/>
  <c r="D7" i="30"/>
  <c r="I29" i="30"/>
  <c r="I26" i="30"/>
  <c r="I38" i="30"/>
  <c r="D6" i="30" l="1"/>
  <c r="G2" i="16" l="1"/>
  <c r="C4" i="30" s="1"/>
  <c r="AH27" i="16"/>
  <c r="O5" i="16"/>
  <c r="V17" i="16"/>
  <c r="AH5" i="16"/>
  <c r="G14" i="16"/>
  <c r="I27" i="16"/>
  <c r="AK27" i="16"/>
  <c r="M25" i="16"/>
  <c r="O27" i="16"/>
  <c r="AE25" i="16"/>
  <c r="M24" i="16"/>
  <c r="AB25" i="16"/>
  <c r="S2" i="16"/>
  <c r="AE2" i="16"/>
  <c r="K17" i="16"/>
  <c r="K14" i="16"/>
  <c r="Y5" i="16"/>
  <c r="G5" i="16"/>
  <c r="I2" i="16"/>
  <c r="O2" i="16"/>
  <c r="D4" i="30" s="1"/>
  <c r="AB27" i="16"/>
  <c r="AE17" i="16"/>
  <c r="AK25" i="16"/>
  <c r="Y24" i="16"/>
  <c r="M5" i="16"/>
  <c r="K25" i="16"/>
  <c r="V5" i="16"/>
  <c r="I25" i="16"/>
  <c r="K27" i="16"/>
  <c r="AE14" i="16"/>
  <c r="S14" i="16"/>
  <c r="V27" i="16"/>
  <c r="S24" i="16"/>
  <c r="AB5" i="16"/>
  <c r="P2" i="16"/>
  <c r="V25" i="16"/>
  <c r="AB2" i="16"/>
  <c r="P24" i="16"/>
  <c r="I17" i="16"/>
  <c r="AH25" i="16"/>
  <c r="O25" i="16"/>
  <c r="G24" i="16"/>
  <c r="V2" i="16"/>
  <c r="V24" i="16"/>
  <c r="M2" i="16"/>
  <c r="K5" i="16"/>
  <c r="P14" i="16"/>
  <c r="AB24" i="16"/>
  <c r="P17" i="16"/>
  <c r="M27" i="16"/>
  <c r="AK17" i="16"/>
  <c r="AE24" i="16"/>
  <c r="AH17" i="16"/>
  <c r="I5" i="16"/>
  <c r="Y27" i="16"/>
  <c r="AH24" i="16"/>
  <c r="AK24" i="16"/>
  <c r="G27" i="16"/>
  <c r="O24" i="16"/>
  <c r="P5" i="16"/>
  <c r="G17" i="16"/>
  <c r="Y14" i="16"/>
  <c r="S17" i="16"/>
  <c r="V14" i="16"/>
  <c r="G25" i="16"/>
  <c r="AB17" i="16"/>
  <c r="AE5" i="16"/>
  <c r="S5" i="16"/>
  <c r="Y2" i="16"/>
  <c r="K2" i="16"/>
  <c r="I24" i="16"/>
  <c r="AB14" i="16"/>
  <c r="S25" i="16"/>
  <c r="O17" i="16"/>
  <c r="G10" i="30" s="1"/>
  <c r="AH14" i="16"/>
  <c r="M17" i="16"/>
  <c r="AH2" i="16"/>
  <c r="Y25" i="16"/>
  <c r="O14" i="16"/>
  <c r="S27" i="16"/>
  <c r="I14" i="16"/>
  <c r="P27" i="16"/>
  <c r="P25" i="16"/>
  <c r="Y17" i="16"/>
  <c r="K24" i="16"/>
  <c r="AE27" i="16"/>
  <c r="M14" i="16"/>
  <c r="G3" i="30" l="1"/>
  <c r="G4" i="30"/>
  <c r="H4" i="30" s="1"/>
  <c r="I4" i="30" s="1"/>
  <c r="G5" i="30"/>
  <c r="G6" i="30"/>
  <c r="H6" i="30" s="1"/>
  <c r="C38" i="30"/>
  <c r="I51" i="30"/>
  <c r="G38" i="30"/>
  <c r="G41" i="30"/>
  <c r="G26" i="30"/>
  <c r="H26" i="30"/>
  <c r="E26" i="30"/>
  <c r="H41" i="30"/>
  <c r="F26" i="30"/>
  <c r="F51" i="30"/>
  <c r="C26" i="30"/>
  <c r="C41" i="30"/>
  <c r="E49" i="30"/>
  <c r="C29" i="30"/>
  <c r="B29" i="30"/>
  <c r="G48" i="30"/>
  <c r="D48" i="30"/>
  <c r="D49" i="30"/>
  <c r="F49" i="30"/>
  <c r="H29" i="30"/>
  <c r="E41" i="30"/>
  <c r="B49" i="30"/>
  <c r="H38" i="30"/>
  <c r="G29" i="30"/>
  <c r="I41" i="30"/>
  <c r="D26" i="30"/>
  <c r="B26" i="30"/>
  <c r="D29" i="30"/>
  <c r="D41" i="30"/>
  <c r="B38" i="30"/>
  <c r="B48" i="30"/>
  <c r="B51" i="30"/>
  <c r="F41" i="30"/>
  <c r="F29" i="30"/>
  <c r="G49" i="30"/>
  <c r="G51" i="30"/>
  <c r="E38" i="30"/>
  <c r="C49" i="30"/>
  <c r="I48" i="30"/>
  <c r="B41" i="30"/>
  <c r="G8" i="30"/>
  <c r="H8" i="30" s="1"/>
  <c r="I8" i="30" s="1"/>
  <c r="G7" i="30"/>
  <c r="H7" i="30" s="1"/>
  <c r="I7" i="30" s="1"/>
  <c r="C48" i="30"/>
  <c r="E29" i="30"/>
  <c r="H51" i="30"/>
  <c r="E51" i="30"/>
  <c r="I49" i="30"/>
  <c r="C51" i="30"/>
  <c r="F38" i="30"/>
  <c r="D38" i="30"/>
  <c r="H48" i="30"/>
  <c r="F48" i="30"/>
  <c r="H49" i="30"/>
  <c r="D51" i="30"/>
  <c r="E48" i="30"/>
  <c r="U29" i="16" l="1"/>
  <c r="AD8" i="16"/>
  <c r="X6" i="16"/>
  <c r="AJ18" i="16"/>
  <c r="AD10" i="16"/>
  <c r="AJ6" i="16"/>
  <c r="U6" i="16"/>
  <c r="R29" i="16"/>
  <c r="R20" i="16"/>
  <c r="U28" i="16"/>
  <c r="AG28" i="16"/>
  <c r="U7" i="16"/>
  <c r="AM13" i="16"/>
  <c r="AJ10" i="16"/>
  <c r="U8" i="16"/>
  <c r="AA28" i="16"/>
  <c r="AD9" i="16"/>
  <c r="AD6" i="16"/>
  <c r="AJ4" i="16"/>
  <c r="AG9" i="16"/>
  <c r="AD15" i="16"/>
  <c r="AJ16" i="16"/>
  <c r="U22" i="16"/>
  <c r="U9" i="16"/>
  <c r="U19" i="16"/>
  <c r="AM22" i="16"/>
  <c r="U15" i="16"/>
  <c r="X16" i="16"/>
  <c r="AG16" i="16"/>
  <c r="AA12" i="16"/>
  <c r="AG8" i="16"/>
  <c r="AA15" i="16"/>
  <c r="X26" i="16"/>
  <c r="AJ11" i="16"/>
  <c r="X28" i="16"/>
  <c r="AM4" i="16"/>
  <c r="AG22" i="16"/>
  <c r="U16" i="16"/>
  <c r="AA16" i="16"/>
  <c r="AA23" i="16"/>
  <c r="X20" i="16"/>
  <c r="X22" i="16"/>
  <c r="X29" i="16"/>
  <c r="AM3" i="16"/>
  <c r="AD18" i="16"/>
  <c r="R19" i="16"/>
  <c r="AA26" i="16"/>
  <c r="R26" i="16"/>
  <c r="AG21" i="16"/>
  <c r="R15" i="16"/>
  <c r="AM18" i="16"/>
  <c r="AM11" i="16"/>
  <c r="AJ12" i="16"/>
  <c r="AA9" i="16"/>
  <c r="AD7" i="16"/>
  <c r="AD4" i="16"/>
  <c r="AJ3" i="16"/>
  <c r="AJ13" i="16"/>
  <c r="AA13" i="16"/>
  <c r="X23" i="16"/>
  <c r="AM10" i="16"/>
  <c r="AG18" i="16"/>
  <c r="AA6" i="16"/>
  <c r="AA8" i="16"/>
  <c r="AA20" i="16"/>
  <c r="U12" i="16"/>
  <c r="AJ28" i="16"/>
  <c r="AD3" i="16"/>
  <c r="AM16" i="16"/>
  <c r="X19" i="16"/>
  <c r="R8" i="16"/>
  <c r="AG10" i="16"/>
  <c r="AG13" i="16"/>
  <c r="AJ7" i="16"/>
  <c r="U13" i="16"/>
  <c r="AJ22" i="16"/>
  <c r="AG3" i="16"/>
  <c r="AG7" i="16"/>
  <c r="AD21" i="16"/>
  <c r="X15" i="16"/>
  <c r="X9" i="16"/>
  <c r="AD28" i="16"/>
  <c r="AA29" i="16"/>
  <c r="AD11" i="16"/>
  <c r="AG4" i="16"/>
  <c r="AM6" i="16"/>
  <c r="AJ9" i="16"/>
  <c r="U20" i="16"/>
  <c r="U23" i="16"/>
  <c r="AA22" i="16"/>
  <c r="AA19" i="16"/>
  <c r="AG12" i="16"/>
  <c r="AD12" i="16"/>
  <c r="U24" i="16"/>
  <c r="AJ24" i="16"/>
  <c r="R24" i="16"/>
  <c r="AD24" i="16"/>
  <c r="AG24" i="16"/>
  <c r="AA24" i="16"/>
  <c r="X24" i="16"/>
  <c r="AM23" i="16" l="1"/>
  <c r="AG20" i="16"/>
  <c r="AA3" i="16"/>
  <c r="O16" i="16"/>
  <c r="R12" i="16"/>
  <c r="X10" i="16"/>
  <c r="AA21" i="16"/>
  <c r="AJ29" i="16"/>
  <c r="AM29" i="16"/>
  <c r="X8" i="16"/>
  <c r="M16" i="16"/>
  <c r="U3" i="16"/>
  <c r="AD19" i="16"/>
  <c r="U5" i="16"/>
  <c r="AM25" i="16"/>
  <c r="AD25" i="16"/>
  <c r="AJ27" i="16"/>
  <c r="AG5" i="16"/>
  <c r="X17" i="16"/>
  <c r="AG29" i="16"/>
  <c r="AD26" i="16"/>
  <c r="AJ19" i="16"/>
  <c r="U25" i="16"/>
  <c r="AM26" i="16"/>
  <c r="AG19" i="16"/>
  <c r="O13" i="16"/>
  <c r="R13" i="16"/>
  <c r="AP12" i="16"/>
  <c r="O12" i="16"/>
  <c r="K28" i="16"/>
  <c r="AD22" i="16"/>
  <c r="O28" i="16"/>
  <c r="AA10" i="16"/>
  <c r="AM2" i="16"/>
  <c r="M12" i="16"/>
  <c r="X7" i="16"/>
  <c r="X25" i="16"/>
  <c r="AG25" i="16"/>
  <c r="AJ14" i="16"/>
  <c r="AD14" i="16"/>
  <c r="X5" i="16"/>
  <c r="U14" i="16"/>
  <c r="AD17" i="16"/>
  <c r="X12" i="16"/>
  <c r="U2" i="16"/>
  <c r="U18" i="16"/>
  <c r="AG23" i="16"/>
  <c r="R11" i="16"/>
  <c r="R9" i="16"/>
  <c r="K12" i="16"/>
  <c r="AJ8" i="16"/>
  <c r="AM14" i="16"/>
  <c r="K22" i="16"/>
  <c r="AG6" i="16"/>
  <c r="R21" i="16"/>
  <c r="AJ23" i="16"/>
  <c r="AM7" i="16"/>
  <c r="X11" i="16"/>
  <c r="R25" i="16"/>
  <c r="U27" i="16"/>
  <c r="R2" i="16"/>
  <c r="X27" i="16"/>
  <c r="AG27" i="16"/>
  <c r="AG2" i="16"/>
  <c r="R3" i="16"/>
  <c r="I7" i="16"/>
  <c r="AJ2" i="16"/>
  <c r="AA14" i="16"/>
  <c r="AM12" i="16"/>
  <c r="X3" i="16"/>
  <c r="AM9" i="16"/>
  <c r="R22" i="16"/>
  <c r="AJ26" i="16"/>
  <c r="U4" i="16"/>
  <c r="AP18" i="16"/>
  <c r="M13" i="16"/>
  <c r="U10" i="16"/>
  <c r="AP2" i="16"/>
  <c r="R4" i="16"/>
  <c r="X21" i="16"/>
  <c r="AD29" i="16"/>
  <c r="X2" i="16"/>
  <c r="AG17" i="16"/>
  <c r="R17" i="16"/>
  <c r="AD2" i="16"/>
  <c r="M28" i="16"/>
  <c r="X4" i="16"/>
  <c r="R16" i="16"/>
  <c r="AA11" i="16"/>
  <c r="I22" i="16"/>
  <c r="AA18" i="16"/>
  <c r="R10" i="16"/>
  <c r="O22" i="16"/>
  <c r="AM5" i="16"/>
  <c r="AM8" i="16"/>
  <c r="AP7" i="16"/>
  <c r="R6" i="16"/>
  <c r="I28" i="16"/>
  <c r="AD23" i="16"/>
  <c r="AG15" i="16"/>
  <c r="R14" i="16"/>
  <c r="AG14" i="16"/>
  <c r="AM24" i="16"/>
  <c r="AJ17" i="16"/>
  <c r="AJ25" i="16"/>
  <c r="AA25" i="16"/>
  <c r="AG26" i="16"/>
  <c r="AM21" i="16"/>
  <c r="AA4" i="16"/>
  <c r="K7" i="16"/>
  <c r="O7" i="16"/>
  <c r="R28" i="16"/>
  <c r="AM28" i="16"/>
  <c r="AM15" i="16"/>
  <c r="R18" i="16"/>
  <c r="X13" i="16"/>
  <c r="I12" i="16"/>
  <c r="K16" i="16"/>
  <c r="I13" i="16"/>
  <c r="AJ20" i="16"/>
  <c r="AJ21" i="16"/>
  <c r="AM27" i="16"/>
  <c r="AD5" i="16"/>
  <c r="AA2" i="16"/>
  <c r="AA5" i="16"/>
  <c r="U17" i="16"/>
  <c r="X14" i="16"/>
  <c r="AD16" i="16"/>
  <c r="AD20" i="16"/>
  <c r="AA17" i="16"/>
  <c r="AD13" i="16"/>
  <c r="AM19" i="16"/>
  <c r="U11" i="16"/>
  <c r="K13" i="16"/>
  <c r="M22" i="16"/>
  <c r="R7" i="16"/>
  <c r="M7" i="16"/>
  <c r="I16" i="16"/>
  <c r="AJ15" i="16"/>
  <c r="AA7" i="16"/>
  <c r="X18" i="16"/>
  <c r="AM20" i="16"/>
  <c r="AG11" i="16"/>
  <c r="AD27" i="16"/>
  <c r="R5" i="16"/>
  <c r="R27" i="16"/>
  <c r="AJ5" i="16"/>
  <c r="AA27" i="16"/>
  <c r="AM17" i="16"/>
  <c r="AP10" i="16"/>
  <c r="D3" i="30" l="1"/>
  <c r="H3" i="30" s="1"/>
  <c r="D5" i="30"/>
  <c r="H5" i="30" s="1"/>
  <c r="K29" i="16" l="1"/>
  <c r="K8" i="16"/>
  <c r="K20" i="16"/>
  <c r="K10" i="16"/>
  <c r="K15" i="16"/>
  <c r="K6" i="16"/>
  <c r="K19" i="16"/>
  <c r="K4" i="16"/>
  <c r="K23" i="16"/>
  <c r="K3" i="16"/>
  <c r="K11" i="16"/>
  <c r="K9" i="16"/>
  <c r="K21" i="16"/>
  <c r="G13" i="16"/>
  <c r="K18" i="16"/>
  <c r="G16" i="16"/>
  <c r="C6" i="30" s="1"/>
  <c r="I6" i="30" s="1"/>
  <c r="G22" i="16"/>
  <c r="G28" i="16"/>
  <c r="G12" i="16"/>
  <c r="K26" i="16"/>
  <c r="G7" i="16"/>
  <c r="C3" i="30" l="1"/>
  <c r="I3" i="30" s="1"/>
  <c r="C5" i="30"/>
  <c r="I5" i="30" s="1"/>
</calcChain>
</file>

<file path=xl/sharedStrings.xml><?xml version="1.0" encoding="utf-8"?>
<sst xmlns="http://schemas.openxmlformats.org/spreadsheetml/2006/main" count="656" uniqueCount="296">
  <si>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</si>
  <si>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</si>
  <si>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</si>
  <si>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</si>
  <si>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</si>
  <si>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</si>
  <si>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</si>
  <si>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</si>
  <si>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</si>
  <si>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</si>
  <si>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</si>
  <si>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</si>
  <si>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</si>
  <si>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</si>
  <si>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</si>
  <si>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</si>
  <si>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</si>
  <si>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</si>
  <si>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</si>
  <si>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</si>
  <si>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</si>
  <si>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</si>
  <si>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</si>
  <si>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</si>
  <si>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</si>
  <si>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</si>
  <si>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</si>
  <si>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</si>
  <si>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</si>
  <si>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</si>
  <si>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</si>
  <si>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</si>
  <si>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</si>
  <si>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</si>
  <si>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</si>
  <si>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</si>
  <si>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</si>
  <si>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</si>
  <si>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</si>
  <si>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</si>
  <si>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</si>
  <si>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</si>
  <si>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</si>
  <si>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</si>
  <si>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</si>
  <si>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</si>
  <si>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</si>
  <si>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</si>
  <si>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</si>
  <si>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</si>
  <si>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</si>
  <si>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</si>
  <si>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</si>
  <si>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</si>
  <si>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</si>
  <si>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</si>
  <si>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</si>
  <si>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</si>
  <si>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</si>
  <si>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</si>
  <si>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</si>
  <si>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</si>
  <si>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</si>
  <si>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</si>
  <si>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</si>
  <si>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</si>
  <si>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</si>
  <si>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</si>
  <si>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</si>
  <si>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</si>
  <si>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</si>
  <si>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</si>
  <si>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</si>
  <si>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</si>
  <si>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</si>
  <si>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</si>
  <si>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</si>
  <si>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</si>
  <si>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</si>
  <si>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</si>
  <si>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</si>
  <si>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</si>
  <si>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</si>
  <si>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</si>
  <si>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</si>
  <si>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</si>
  <si>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</si>
  <si>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</si>
  <si>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</si>
  <si>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</si>
  <si>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</si>
  <si>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</si>
  <si>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</si>
  <si>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</si>
  <si>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</si>
  <si>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</si>
  <si>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</si>
  <si>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</si>
  <si>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</si>
  <si>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</si>
  <si>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</si>
  <si>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Saffron</t>
  </si>
  <si>
    <t>Linguar82</t>
  </si>
  <si>
    <t>Elishar</t>
  </si>
  <si>
    <t>Primus_Ultimas</t>
  </si>
  <si>
    <t>Malli</t>
  </si>
  <si>
    <t>Booguwah61482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</si>
  <si>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</si>
  <si>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</si>
  <si>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</si>
  <si>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</si>
  <si>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</si>
  <si>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</si>
  <si>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</si>
  <si>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</si>
  <si>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</si>
  <si>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</si>
  <si>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</si>
  <si>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</si>
  <si>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</si>
  <si>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</si>
  <si>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</si>
  <si>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</si>
  <si>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</si>
  <si>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</si>
  <si>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</si>
  <si>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</si>
  <si>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</si>
  <si>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</si>
  <si>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</si>
  <si>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</si>
  <si>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</si>
  <si>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</si>
  <si>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</si>
  <si>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Tab</t>
  </si>
  <si>
    <t>Bronze Helm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</si>
  <si>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</si>
  <si>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</si>
  <si>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</si>
  <si>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</si>
  <si>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</si>
  <si>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</si>
  <si>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</si>
  <si>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</si>
  <si>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Gold Won By Battle</t>
  </si>
  <si>
    <t>Weapon Usage</t>
  </si>
  <si>
    <t>Bronze Glove</t>
  </si>
  <si>
    <t>Doma</t>
  </si>
  <si>
    <t>Blaargv131</t>
  </si>
  <si>
    <t>None</t>
  </si>
  <si>
    <t>Ella</t>
  </si>
  <si>
    <t>Vince</t>
  </si>
  <si>
    <t>Cure Potion - 1, Cure Potion - 4</t>
  </si>
  <si>
    <t>Clipper</t>
  </si>
  <si>
    <t>Beretta</t>
  </si>
  <si>
    <t>Toad</t>
  </si>
  <si>
    <t>Ice</t>
  </si>
  <si>
    <t>Duridanya</t>
  </si>
  <si>
    <t>Silver Armor</t>
  </si>
  <si>
    <t>Goggles</t>
  </si>
  <si>
    <t>Axe</t>
  </si>
  <si>
    <t>O-Quake</t>
  </si>
  <si>
    <t>P-Skin</t>
  </si>
  <si>
    <t>Fire</t>
  </si>
  <si>
    <t>CLASS NOTES</t>
  </si>
  <si>
    <t>Electroshock</t>
  </si>
  <si>
    <t>Silver Helm</t>
  </si>
  <si>
    <t>One Civilization's Trash</t>
  </si>
  <si>
    <t>Cure Beam</t>
  </si>
  <si>
    <t>Colt</t>
  </si>
  <si>
    <t>Cannon</t>
  </si>
  <si>
    <t>Long Bow</t>
  </si>
  <si>
    <t>W0LF</t>
  </si>
  <si>
    <t>Draz</t>
  </si>
  <si>
    <t>Power Magi-1</t>
  </si>
  <si>
    <t>Speed Magi-1</t>
  </si>
  <si>
    <t>Mana Magi-1</t>
  </si>
  <si>
    <t>Iron Spear</t>
  </si>
  <si>
    <t>Slag Chance</t>
  </si>
  <si>
    <t>Remaining</t>
  </si>
  <si>
    <t>Max</t>
  </si>
  <si>
    <t>GOOD</t>
  </si>
  <si>
    <t>blank</t>
  </si>
  <si>
    <t>Ki</t>
  </si>
  <si>
    <t>Cleric</t>
  </si>
  <si>
    <t>Styx</t>
  </si>
  <si>
    <t>Pixie</t>
  </si>
  <si>
    <t>O-Para</t>
  </si>
  <si>
    <t>Hi-Cure Potion</t>
  </si>
  <si>
    <t>Team Pragmatic</t>
  </si>
  <si>
    <t>White Glove</t>
  </si>
  <si>
    <t>Brahm</t>
  </si>
  <si>
    <t>Gold Glove</t>
  </si>
  <si>
    <t>Spark Book</t>
  </si>
  <si>
    <t>Ice Magi-1</t>
  </si>
  <si>
    <t>Fire Magi-1</t>
  </si>
  <si>
    <t>T-Strike</t>
  </si>
  <si>
    <t>Ashura's World - Front 2</t>
  </si>
  <si>
    <t>Ashura's World - Front 1</t>
  </si>
  <si>
    <t>Psi Knife</t>
  </si>
  <si>
    <t>Target Chip</t>
  </si>
  <si>
    <t>Spiralex</t>
  </si>
  <si>
    <t>Voltgloss</t>
  </si>
  <si>
    <t>Ashura's World - Front 3</t>
  </si>
  <si>
    <t>R-Kick</t>
  </si>
  <si>
    <t>Amoeba</t>
  </si>
  <si>
    <t>Silver Shield</t>
  </si>
  <si>
    <t>Silver Glove</t>
  </si>
  <si>
    <t>O-Fire</t>
  </si>
  <si>
    <t>Hi-Cure Potion - 4, Cure Potion - 3, Cure Potion - 4, Cure Potion - 4</t>
  </si>
  <si>
    <t>Soft Potion - 2, Mystery Booster, Beretta - 50</t>
  </si>
  <si>
    <t>Goblin Torch</t>
  </si>
  <si>
    <t>Battle Sword</t>
  </si>
  <si>
    <t>Gold Helm</t>
  </si>
  <si>
    <t>Psi Smash</t>
  </si>
  <si>
    <t>Original Value</t>
  </si>
  <si>
    <t>Sell Value</t>
  </si>
  <si>
    <t>0SCAR</t>
  </si>
  <si>
    <t>Sabre</t>
  </si>
  <si>
    <t>Spear1</t>
  </si>
  <si>
    <t>Art1</t>
  </si>
  <si>
    <t>Skraja</t>
  </si>
  <si>
    <t>Enfeeble</t>
  </si>
  <si>
    <t>Bandanos</t>
  </si>
  <si>
    <t>Bandana</t>
  </si>
  <si>
    <t>Rocket</t>
  </si>
  <si>
    <t>LED</t>
  </si>
  <si>
    <t>Jaguar Shot - 2, Seasoning - 2, Variant Potion - 2, Cure Potion - 2</t>
  </si>
  <si>
    <t>Hi-Cure Potion - 1, Cure Potion - 4, Cure Potion - 4, MM Book - 30</t>
  </si>
  <si>
    <t>R-Kick - 60, Temptat - 9, Sabre - 50</t>
  </si>
  <si>
    <t>Water Essence, Sabre - 50, Spark Book - 29</t>
  </si>
  <si>
    <t>Bag Lunch 2, Soft Potion - 3, Bag Lunch 3, Hi-Cure Potion - 3</t>
  </si>
  <si>
    <t>Cure Potion - 4, Eye Drops - 4, Twinblades - 30, Hi-Cure Potion - 4</t>
  </si>
  <si>
    <t>Jaguar Shot - 1, Seasoning - 2, Eye Drops - 3, W-Attack Potion - 2</t>
  </si>
  <si>
    <t>Lightning</t>
  </si>
  <si>
    <t>Wyrm Kid</t>
  </si>
  <si>
    <t>Hi-Cure Potion - 1, Bronze Glove, Hi-Cure Potion - 1, Holy Water - 3</t>
  </si>
  <si>
    <t>ROGOBBO-01 parts, Silver Helm, Beretta - 12, Slip Colt - 25</t>
  </si>
  <si>
    <t>Cure Potion - 2, Hi-Cure Potion - 3, Cure Potion - 4, Blitz Whip - 50</t>
  </si>
  <si>
    <t>Elemental Air - 1, Hi-Cure Potion - 1, Bronze Shield - 30, Hi-Cure Potion - 4</t>
  </si>
  <si>
    <t>Hornet</t>
  </si>
  <si>
    <t>ASHURA</t>
  </si>
  <si>
    <t>Elemental Fire - 1, Hi-Cure Potion - 1, Eye Drops - 2, Psi Knife - 44</t>
  </si>
  <si>
    <t>y</t>
  </si>
  <si>
    <t>n</t>
  </si>
  <si>
    <t>Multi-Attack, Tail, Multi-Attack, Multi-Attack</t>
  </si>
  <si>
    <t>Str, Agl, Str, Str</t>
  </si>
  <si>
    <t>Arthur</t>
  </si>
  <si>
    <t>Sharon</t>
  </si>
  <si>
    <t>Curtis</t>
  </si>
  <si>
    <t>Gloria</t>
  </si>
  <si>
    <t>Cannon, Colt, Cannon, Cannon, Silver Shield, Silver Shield</t>
  </si>
  <si>
    <t>Str, Str, Str, Str, Def, Def</t>
  </si>
  <si>
    <t>Stun Gun, Iron Spear</t>
  </si>
  <si>
    <t>Agl, Str</t>
  </si>
  <si>
    <t>Cure</t>
  </si>
  <si>
    <t>Sting, Venom, Venom, Honey, Honey, Venom, Honey</t>
  </si>
  <si>
    <t>Agl, Mana, Mana, Mana, Mana, Mana, Mana</t>
  </si>
  <si>
    <t>Blind, PowerUp, 6-Arms, 3-Heads, 6-Arms, 6-Arms, 3-Heads</t>
  </si>
  <si>
    <t>Psi Sword, Psi Sword, Psi Sword, Psi Sword, Psi Sword, Fire, Ice</t>
  </si>
  <si>
    <t>Agl, Agl, Agl, Agl, Agl, Mana, Mana</t>
  </si>
  <si>
    <t>BLND</t>
  </si>
  <si>
    <t>Sabre, Sabre</t>
  </si>
  <si>
    <t>Blizzard, Ice, Ice</t>
  </si>
  <si>
    <t>Mana, Mana, Mana</t>
  </si>
  <si>
    <t>Skraja, Skraja, Skraja</t>
  </si>
  <si>
    <t>Str, Str, Str</t>
  </si>
  <si>
    <t>Refresh</t>
  </si>
  <si>
    <t>MechAshura Mk II</t>
  </si>
  <si>
    <t>Hi-Cure Potion - 4, Long Sword - 10, Cure Potion - 2, Gold Glove</t>
  </si>
  <si>
    <t>Front</t>
  </si>
  <si>
    <t>Hype</t>
  </si>
  <si>
    <t>Dance Fight</t>
  </si>
  <si>
    <t>Yusuke</t>
  </si>
  <si>
    <t>Hiei</t>
  </si>
  <si>
    <t>Kurama</t>
  </si>
  <si>
    <t>Keiko</t>
  </si>
  <si>
    <t>Botan</t>
  </si>
  <si>
    <t>Kuwabara</t>
  </si>
  <si>
    <t>Round 1</t>
  </si>
  <si>
    <t>Roy blocks</t>
  </si>
  <si>
    <t>DM fails to block</t>
  </si>
  <si>
    <t>Gets blocked</t>
  </si>
  <si>
    <t>DAMAGE</t>
  </si>
  <si>
    <t>Hyped Jaelyn</t>
  </si>
  <si>
    <t>Hyped Rando</t>
  </si>
  <si>
    <t>Blocked Rando</t>
  </si>
  <si>
    <t>Blocked Jaelyn</t>
  </si>
  <si>
    <t>Nothing</t>
  </si>
  <si>
    <t>Hypes Hiei</t>
  </si>
  <si>
    <t>Hypes Botan</t>
  </si>
  <si>
    <t>Hypes Yusuke</t>
  </si>
  <si>
    <t>HYPED</t>
  </si>
  <si>
    <t>FRONT</t>
  </si>
  <si>
    <t>Hyping</t>
  </si>
  <si>
    <t>Hi-Cure Potion - 1, Sleep Book - 30, Cure Potion - 4, Battle Sword - 50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</si>
</sst>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31" fillId="0" borderId="0"/>
    <xf numFmtId="9" fontId="37" fillId="0" borderId="0" applyFont="0" applyFill="0" applyBorder="0" applyAlignment="0" applyProtection="0"/>
    <xf numFmtId="0" fontId="1" fillId="0" borderId="0"/>
  </cellStyleXfs>
  <cellXfs count="156">
    <xf numFmtId="0" fontId="0" fillId="0" borderId="0" xfId="0"/>
    <xf numFmtId="0" fontId="31" fillId="0" borderId="0" xfId="1"/>
    <xf numFmtId="0" fontId="31" fillId="2" borderId="0" xfId="1" applyFill="1"/>
    <xf numFmtId="0" fontId="31" fillId="0" borderId="1" xfId="1" applyBorder="1"/>
    <xf numFmtId="0" fontId="31" fillId="2" borderId="5" xfId="1" applyFill="1" applyBorder="1"/>
    <xf numFmtId="0" fontId="31" fillId="0" borderId="0" xfId="1" applyAlignment="1">
      <alignment horizontal="center"/>
    </xf>
    <xf numFmtId="0" fontId="25" fillId="0" borderId="0" xfId="1" applyFont="1" applyAlignment="1">
      <alignment horizontal="center"/>
    </xf>
    <xf numFmtId="0" fontId="0" fillId="3" borderId="0" xfId="0" applyFill="1"/>
    <xf numFmtId="0" fontId="22" fillId="0" borderId="0" xfId="1" applyFont="1"/>
    <xf numFmtId="0" fontId="31" fillId="0" borderId="0" xfId="1" applyAlignment="1">
      <alignment horizontal="center" textRotation="90"/>
    </xf>
    <xf numFmtId="0" fontId="31" fillId="0" borderId="2" xfId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31" fillId="2" borderId="2" xfId="1" applyFill="1" applyBorder="1" applyAlignment="1">
      <alignment horizontal="center" textRotation="90" wrapText="1"/>
    </xf>
    <xf numFmtId="0" fontId="31" fillId="2" borderId="4" xfId="1" applyFill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30" fillId="0" borderId="2" xfId="1" applyFont="1" applyBorder="1" applyAlignment="1">
      <alignment horizontal="center" textRotation="90" wrapText="1"/>
    </xf>
    <xf numFmtId="0" fontId="24" fillId="0" borderId="0" xfId="1" applyFont="1" applyAlignment="1">
      <alignment horizontal="center" textRotation="90" wrapText="1"/>
    </xf>
    <xf numFmtId="0" fontId="31" fillId="0" borderId="0" xfId="1" applyAlignment="1">
      <alignment horizontal="center" textRotation="90" wrapText="1"/>
    </xf>
    <xf numFmtId="0" fontId="31" fillId="5" borderId="3" xfId="1" applyFill="1" applyBorder="1" applyAlignment="1">
      <alignment horizontal="center" textRotation="90" wrapText="1"/>
    </xf>
    <xf numFmtId="0" fontId="31" fillId="5" borderId="1" xfId="1" applyFill="1" applyBorder="1"/>
    <xf numFmtId="0" fontId="23" fillId="5" borderId="1" xfId="1" applyFont="1" applyFill="1" applyBorder="1"/>
    <xf numFmtId="0" fontId="29" fillId="5" borderId="3" xfId="1" applyFont="1" applyFill="1" applyBorder="1" applyAlignment="1">
      <alignment horizontal="center" textRotation="90" wrapText="1"/>
    </xf>
    <xf numFmtId="0" fontId="26" fillId="0" borderId="4" xfId="1" applyFont="1" applyBorder="1" applyAlignment="1">
      <alignment horizontal="center" textRotation="90" wrapText="1"/>
    </xf>
    <xf numFmtId="0" fontId="31" fillId="0" borderId="5" xfId="1" applyBorder="1" applyAlignment="1">
      <alignment horizontal="center"/>
    </xf>
    <xf numFmtId="0" fontId="21" fillId="5" borderId="3" xfId="1" applyFont="1" applyFill="1" applyBorder="1" applyAlignment="1">
      <alignment horizontal="center" textRotation="90" wrapText="1"/>
    </xf>
    <xf numFmtId="0" fontId="21" fillId="0" borderId="2" xfId="1" applyFont="1" applyBorder="1" applyAlignment="1">
      <alignment horizontal="center" textRotation="90" wrapText="1"/>
    </xf>
    <xf numFmtId="0" fontId="21" fillId="5" borderId="1" xfId="1" applyFont="1" applyFill="1" applyBorder="1"/>
    <xf numFmtId="0" fontId="20" fillId="5" borderId="1" xfId="1" applyFont="1" applyFill="1" applyBorder="1"/>
    <xf numFmtId="0" fontId="19" fillId="5" borderId="1" xfId="1" applyFont="1" applyFill="1" applyBorder="1"/>
    <xf numFmtId="0" fontId="18" fillId="0" borderId="0" xfId="1" applyFont="1" applyFill="1"/>
    <xf numFmtId="0" fontId="18" fillId="0" borderId="0" xfId="1" applyFont="1"/>
    <xf numFmtId="0" fontId="18" fillId="5" borderId="1" xfId="1" applyFont="1" applyFill="1" applyBorder="1"/>
    <xf numFmtId="0" fontId="17" fillId="0" borderId="0" xfId="1" applyFont="1" applyFill="1"/>
    <xf numFmtId="0" fontId="17" fillId="5" borderId="1" xfId="1" applyFont="1" applyFill="1" applyBorder="1"/>
    <xf numFmtId="0" fontId="16" fillId="5" borderId="1" xfId="1" applyFont="1" applyFill="1" applyBorder="1"/>
    <xf numFmtId="0" fontId="16" fillId="0" borderId="0" xfId="1" applyFont="1" applyFill="1"/>
    <xf numFmtId="0" fontId="33" fillId="2" borderId="5" xfId="1" applyFont="1" applyFill="1" applyBorder="1"/>
    <xf numFmtId="0" fontId="15" fillId="0" borderId="0" xfId="1" applyFont="1" applyFill="1"/>
    <xf numFmtId="0" fontId="0" fillId="0" borderId="11" xfId="0" applyBorder="1"/>
    <xf numFmtId="0" fontId="0" fillId="0" borderId="9" xfId="0" applyBorder="1"/>
    <xf numFmtId="0" fontId="18" fillId="0" borderId="9" xfId="1" applyFont="1" applyFill="1" applyBorder="1"/>
    <xf numFmtId="0" fontId="17" fillId="0" borderId="9" xfId="1" applyFont="1" applyFill="1" applyBorder="1"/>
    <xf numFmtId="0" fontId="15" fillId="0" borderId="9" xfId="1" applyFont="1" applyFill="1" applyBorder="1"/>
    <xf numFmtId="0" fontId="35" fillId="0" borderId="9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35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5" fillId="3" borderId="6" xfId="0" applyFont="1" applyFill="1" applyBorder="1"/>
    <xf numFmtId="0" fontId="35" fillId="0" borderId="7" xfId="0" applyFont="1" applyBorder="1"/>
    <xf numFmtId="0" fontId="35" fillId="3" borderId="7" xfId="0" applyFont="1" applyFill="1" applyBorder="1"/>
    <xf numFmtId="0" fontId="35" fillId="4" borderId="8" xfId="0" applyFont="1" applyFill="1" applyBorder="1"/>
    <xf numFmtId="0" fontId="31" fillId="6" borderId="0" xfId="1" applyFill="1"/>
    <xf numFmtId="0" fontId="0" fillId="0" borderId="0" xfId="0" applyBorder="1"/>
    <xf numFmtId="0" fontId="0" fillId="0" borderId="12" xfId="0" applyBorder="1"/>
    <xf numFmtId="0" fontId="0" fillId="0" borderId="0" xfId="0" applyAlignment="1">
      <alignment horizontal="center"/>
    </xf>
    <xf numFmtId="0" fontId="17" fillId="7" borderId="0" xfId="1" applyFont="1" applyFill="1"/>
    <xf numFmtId="0" fontId="14" fillId="7" borderId="0" xfId="1" applyFont="1" applyFill="1"/>
    <xf numFmtId="0" fontId="12" fillId="5" borderId="1" xfId="1" applyFont="1" applyFill="1" applyBorder="1"/>
    <xf numFmtId="0" fontId="10" fillId="5" borderId="1" xfId="1" applyFont="1" applyFill="1" applyBorder="1"/>
    <xf numFmtId="0" fontId="9" fillId="0" borderId="0" xfId="1" applyFont="1" applyAlignment="1">
      <alignment horizontal="center"/>
    </xf>
    <xf numFmtId="0" fontId="8" fillId="5" borderId="1" xfId="1" applyFont="1" applyFill="1" applyBorder="1"/>
    <xf numFmtId="0" fontId="8" fillId="0" borderId="0" xfId="1" applyFont="1" applyFill="1"/>
    <xf numFmtId="0" fontId="7" fillId="0" borderId="0" xfId="1" applyFont="1"/>
    <xf numFmtId="0" fontId="7" fillId="5" borderId="1" xfId="1" applyFont="1" applyFill="1" applyBorder="1"/>
    <xf numFmtId="0" fontId="18" fillId="8" borderId="1" xfId="1" applyFont="1" applyFill="1" applyBorder="1"/>
    <xf numFmtId="0" fontId="13" fillId="8" borderId="1" xfId="1" applyFont="1" applyFill="1" applyBorder="1"/>
    <xf numFmtId="0" fontId="17" fillId="8" borderId="1" xfId="1" applyFont="1" applyFill="1" applyBorder="1"/>
    <xf numFmtId="0" fontId="11" fillId="8" borderId="1" xfId="1" applyFont="1" applyFill="1" applyBorder="1"/>
    <xf numFmtId="0" fontId="7" fillId="8" borderId="1" xfId="1" applyFont="1" applyFill="1" applyBorder="1"/>
    <xf numFmtId="0" fontId="6" fillId="5" borderId="1" xfId="1" applyFont="1" applyFill="1" applyBorder="1"/>
    <xf numFmtId="0" fontId="15" fillId="7" borderId="0" xfId="1" applyFont="1" applyFill="1"/>
    <xf numFmtId="0" fontId="8" fillId="7" borderId="0" xfId="1" applyFont="1" applyFill="1"/>
    <xf numFmtId="0" fontId="18" fillId="7" borderId="0" xfId="1" applyFont="1" applyFill="1"/>
    <xf numFmtId="0" fontId="18" fillId="8" borderId="0" xfId="1" applyFont="1" applyFill="1"/>
    <xf numFmtId="0" fontId="17" fillId="8" borderId="0" xfId="1" applyFont="1" applyFill="1"/>
    <xf numFmtId="0" fontId="8" fillId="8" borderId="0" xfId="1" applyFont="1" applyFill="1"/>
    <xf numFmtId="0" fontId="17" fillId="10" borderId="0" xfId="1" applyFont="1" applyFill="1"/>
    <xf numFmtId="0" fontId="36" fillId="9" borderId="0" xfId="1" applyFont="1" applyFill="1"/>
    <xf numFmtId="0" fontId="14" fillId="11" borderId="0" xfId="1" applyFont="1" applyFill="1"/>
    <xf numFmtId="0" fontId="7" fillId="11" borderId="0" xfId="1" applyFont="1" applyFill="1"/>
    <xf numFmtId="0" fontId="18" fillId="12" borderId="0" xfId="1" applyFont="1" applyFill="1"/>
    <xf numFmtId="0" fontId="17" fillId="12" borderId="0" xfId="1" applyFont="1" applyFill="1"/>
    <xf numFmtId="0" fontId="33" fillId="13" borderId="0" xfId="1" applyFont="1" applyFill="1"/>
    <xf numFmtId="0" fontId="16" fillId="10" borderId="0" xfId="1" applyFont="1" applyFill="1"/>
    <xf numFmtId="0" fontId="18" fillId="10" borderId="0" xfId="1" applyFont="1" applyFill="1"/>
    <xf numFmtId="0" fontId="5" fillId="0" borderId="0" xfId="1" applyFont="1"/>
    <xf numFmtId="0" fontId="4" fillId="5" borderId="1" xfId="1" applyFont="1" applyFill="1" applyBorder="1"/>
    <xf numFmtId="0" fontId="3" fillId="8" borderId="1" xfId="1" applyFont="1" applyFill="1" applyBorder="1"/>
    <xf numFmtId="0" fontId="7" fillId="12" borderId="0" xfId="1" applyFont="1" applyFill="1"/>
    <xf numFmtId="0" fontId="7" fillId="7" borderId="0" xfId="1" applyFont="1" applyFill="1"/>
    <xf numFmtId="0" fontId="2" fillId="0" borderId="0" xfId="1" applyFont="1"/>
    <xf numFmtId="0" fontId="2" fillId="12" borderId="0" xfId="1" applyFont="1" applyFill="1"/>
    <xf numFmtId="0" fontId="2" fillId="0" borderId="0" xfId="1" applyFont="1" applyFill="1" applyBorder="1" applyAlignment="1">
      <alignment horizontal="center"/>
    </xf>
    <xf numFmtId="0" fontId="2" fillId="5" borderId="1" xfId="1" applyFont="1" applyFill="1" applyBorder="1"/>
    <xf numFmtId="0" fontId="2" fillId="8" borderId="1" xfId="1" applyFont="1" applyFill="1" applyBorder="1"/>
    <xf numFmtId="0" fontId="2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35" fillId="15" borderId="9" xfId="0" applyFont="1" applyFill="1" applyBorder="1" applyAlignment="1">
      <alignment horizontal="center"/>
    </xf>
    <xf numFmtId="0" fontId="35" fillId="15" borderId="0" xfId="0" applyFont="1" applyFill="1" applyBorder="1" applyAlignment="1">
      <alignment horizontal="center"/>
    </xf>
    <xf numFmtId="0" fontId="35" fillId="15" borderId="10" xfId="0" applyFont="1" applyFill="1" applyBorder="1" applyAlignment="1">
      <alignment horizontal="center"/>
    </xf>
    <xf numFmtId="0" fontId="18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17" fillId="15" borderId="9" xfId="1" applyFont="1" applyFill="1" applyBorder="1"/>
    <xf numFmtId="0" fontId="15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35" fillId="15" borderId="9" xfId="0" applyFont="1" applyFill="1" applyBorder="1"/>
    <xf numFmtId="0" fontId="35" fillId="15" borderId="0" xfId="0" applyFont="1" applyFill="1" applyBorder="1"/>
    <xf numFmtId="0" fontId="35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2" fillId="0" borderId="0" xfId="1" applyFont="1" applyAlignment="1">
      <alignment horizontal="center" textRotation="90" wrapText="1"/>
    </xf>
    <xf numFmtId="0" fontId="0" fillId="0" borderId="9" xfId="0" applyFill="1" applyBorder="1"/>
    <xf numFmtId="0" fontId="33" fillId="0" borderId="0" xfId="1" applyFont="1" applyFill="1"/>
    <xf numFmtId="0" fontId="2" fillId="16" borderId="0" xfId="1" applyFont="1" applyFill="1"/>
    <xf numFmtId="0" fontId="33" fillId="2" borderId="18" xfId="1" applyFont="1" applyFill="1" applyBorder="1"/>
    <xf numFmtId="0" fontId="31" fillId="0" borderId="0" xfId="1" applyBorder="1"/>
    <xf numFmtId="0" fontId="2" fillId="0" borderId="17" xfId="1" applyFont="1" applyBorder="1"/>
    <xf numFmtId="0" fontId="2" fillId="0" borderId="1" xfId="1" applyFont="1" applyBorder="1"/>
    <xf numFmtId="9" fontId="0" fillId="0" borderId="0" xfId="2" applyFont="1"/>
    <xf numFmtId="0" fontId="2" fillId="7" borderId="0" xfId="1" applyFont="1" applyFill="1"/>
    <xf numFmtId="0" fontId="1" fillId="0" borderId="0" xfId="1" applyFont="1" applyFill="1" applyBorder="1" applyAlignment="1">
      <alignment horizontal="center"/>
    </xf>
    <xf numFmtId="0" fontId="1" fillId="0" borderId="0" xfId="1" applyFont="1" applyAlignment="1">
      <alignment horizontal="center"/>
    </xf>
    <xf numFmtId="0" fontId="1" fillId="0" borderId="0" xfId="1" applyFont="1"/>
    <xf numFmtId="0" fontId="1" fillId="5" borderId="1" xfId="1" applyFont="1" applyFill="1" applyBorder="1"/>
    <xf numFmtId="0" fontId="1" fillId="16" borderId="0" xfId="1" applyFont="1" applyFill="1"/>
    <xf numFmtId="0" fontId="1" fillId="0" borderId="1" xfId="1" applyFont="1" applyBorder="1"/>
    <xf numFmtId="0" fontId="1" fillId="7" borderId="0" xfId="1" applyFont="1" applyFill="1"/>
    <xf numFmtId="0" fontId="1" fillId="0" borderId="0" xfId="1" applyFont="1" applyFill="1"/>
    <xf numFmtId="0" fontId="1" fillId="8" borderId="1" xfId="1" applyFont="1" applyFill="1" applyBorder="1"/>
    <xf numFmtId="0" fontId="1" fillId="14" borderId="0" xfId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4" fillId="0" borderId="7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34" fillId="0" borderId="16" xfId="0" applyFont="1" applyBorder="1" applyAlignment="1">
      <alignment horizontal="center"/>
    </xf>
    <xf numFmtId="0" fontId="34" fillId="15" borderId="14" xfId="0" applyFont="1" applyFill="1" applyBorder="1" applyAlignment="1">
      <alignment horizontal="center"/>
    </xf>
    <xf numFmtId="0" fontId="34" fillId="15" borderId="15" xfId="0" applyFont="1" applyFill="1" applyBorder="1" applyAlignment="1">
      <alignment horizontal="center"/>
    </xf>
    <xf numFmtId="0" fontId="34" fillId="15" borderId="16" xfId="0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3" xr:uid="{304399B5-8783-4031-B56A-77A3CBC70283}"/>
    <cellStyle name="Percent" xfId="2" builtinId="5"/>
  </cellStyles>
  <dxfs count="58"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Player Reference - Enemies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Sheet1"/>
      <sheetName val="Player Reference - Skills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>
            <v>1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PoisonBurst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PoisonBurst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PoisonBurst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PoisonBurst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PoisonBurst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1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Honey</v>
          </cell>
          <cell r="R12" t="str">
            <v>X-Fire</v>
          </cell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Honey</v>
          </cell>
          <cell r="R13" t="str">
            <v>O-Para</v>
          </cell>
          <cell r="S13" t="str">
            <v>X-Fire</v>
          </cell>
          <cell r="T13"/>
          <cell r="U13"/>
          <cell r="V13"/>
          <cell r="W13"/>
          <cell r="X13" t="str">
            <v>Plant</v>
          </cell>
        </row>
        <row r="14">
          <cell r="A14" t="str">
            <v>LiveOak</v>
          </cell>
          <cell r="B14" t="str">
            <v>LiveOak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Honey</v>
          </cell>
          <cell r="R14" t="str">
            <v>Entangle</v>
          </cell>
          <cell r="S14" t="str">
            <v>O-Para</v>
          </cell>
          <cell r="T14" t="str">
            <v>X-Fire</v>
          </cell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Honey</v>
          </cell>
          <cell r="Q15" t="str">
            <v>Branch</v>
          </cell>
          <cell r="R15" t="str">
            <v>Entangle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Honey</v>
          </cell>
          <cell r="R16" t="str">
            <v>Entangle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Entangle</v>
          </cell>
          <cell r="S17" t="str">
            <v>Refresh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Fissure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Fissure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Bash</v>
          </cell>
          <cell r="Q23" t="str">
            <v>W-Attack</v>
          </cell>
          <cell r="R23" t="str">
            <v>X-Fire</v>
          </cell>
          <cell r="S23" t="str">
            <v>O-Pa/Po</v>
          </cell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Bash</v>
          </cell>
          <cell r="Q24" t="str">
            <v>W-Attack</v>
          </cell>
          <cell r="R24" t="str">
            <v>Haste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W-Attack</v>
          </cell>
          <cell r="R25" t="str">
            <v>Sand</v>
          </cell>
          <cell r="S25" t="str">
            <v>Fissure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W-Attack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W-Attack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Riposte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Caladbolg</v>
          </cell>
          <cell r="B30" t="str">
            <v>Caladbolg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Riposte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Constrict</v>
          </cell>
          <cell r="Q39" t="str">
            <v>Devour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Devour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Constrict</v>
          </cell>
          <cell r="Q41" t="str">
            <v>Flame</v>
          </cell>
          <cell r="R41" t="str">
            <v>Devour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Devour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Devour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>
            <v>1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1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Absorb</v>
          </cell>
          <cell r="Q60" t="str">
            <v>Poison</v>
          </cell>
          <cell r="R60" t="str">
            <v>O-Quake</v>
          </cell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Absorb</v>
          </cell>
          <cell r="Q61" t="str">
            <v>Poison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Poison</v>
          </cell>
          <cell r="R62" t="str">
            <v>Powder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Powder</v>
          </cell>
          <cell r="Q63" t="str">
            <v>Flame</v>
          </cell>
          <cell r="R63" t="str">
            <v>Poison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Beam</v>
          </cell>
          <cell r="R64" t="str">
            <v>Powder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Mothra</v>
          </cell>
          <cell r="B65" t="str">
            <v>Mothra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Beam</v>
          </cell>
          <cell r="R65" t="str">
            <v>Powder</v>
          </cell>
          <cell r="S65" t="str">
            <v>FatalGas</v>
          </cell>
          <cell r="T65" t="str">
            <v>Refresh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O-Fire</v>
          </cell>
          <cell r="S67" t="str">
            <v>X-Thunder</v>
          </cell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>
            <v>1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Squirt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Squirt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Fin</v>
          </cell>
          <cell r="Q73" t="str">
            <v>Chomp</v>
          </cell>
          <cell r="R73" t="str">
            <v>Squirt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Chomp</v>
          </cell>
          <cell r="R74" t="str">
            <v>Squirt</v>
          </cell>
          <cell r="S74" t="str">
            <v>Electroshock</v>
          </cell>
          <cell r="T74" t="str">
            <v>Cold Wave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Leviathan</v>
          </cell>
          <cell r="B75" t="str">
            <v>Leviathan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Chomp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O-Fire</v>
          </cell>
          <cell r="S76" t="str">
            <v>X-Thunder</v>
          </cell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ParaNail</v>
          </cell>
          <cell r="S78" t="str">
            <v>Shell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Shell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Shell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O-Poison</v>
          </cell>
          <cell r="R81" t="str">
            <v>X-Ice</v>
          </cell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>
            <v>1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Bite</v>
          </cell>
          <cell r="Q86" t="str">
            <v>Venom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Bite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X-Ice</v>
          </cell>
          <cell r="U87"/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Bite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Bite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Jormungandr</v>
          </cell>
          <cell r="B90" t="str">
            <v>Jormungandr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Bite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Bash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Bash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Bash</v>
          </cell>
          <cell r="Q95" t="str">
            <v>Crash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Bash</v>
          </cell>
          <cell r="Q96" t="str">
            <v>Crash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Charge</v>
          </cell>
          <cell r="Q104" t="str">
            <v>Chomp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Charge</v>
          </cell>
          <cell r="Q105" t="str">
            <v>Chomp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Charge</v>
          </cell>
          <cell r="Q106" t="str">
            <v>Chomp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Tail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Tail</v>
          </cell>
          <cell r="Q114" t="str">
            <v>Multi-Attack</v>
          </cell>
          <cell r="R114" t="str">
            <v>Blind</v>
          </cell>
          <cell r="S114" t="str">
            <v>O-Quake</v>
          </cell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Tail</v>
          </cell>
          <cell r="Q115" t="str">
            <v>Multi-Attack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Multi-Attack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Multi-Attack</v>
          </cell>
          <cell r="Q117" t="str">
            <v>Tail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Raven</v>
          </cell>
          <cell r="B123" t="str">
            <v>Raven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Beak</v>
          </cell>
          <cell r="Q123" t="str">
            <v>Gaze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Siren</v>
          </cell>
          <cell r="B124" t="str">
            <v>Siren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Charm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Tusk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2-Tusks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Tusk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Refresh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Beak</v>
          </cell>
          <cell r="Q139" t="str">
            <v>W-Attack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W-Attack</v>
          </cell>
          <cell r="R140" t="str">
            <v>Surprise</v>
          </cell>
          <cell r="S140" t="str">
            <v>O-Quake</v>
          </cell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W-Attack</v>
          </cell>
          <cell r="Q141" t="str">
            <v>Tusk</v>
          </cell>
          <cell r="R141" t="str">
            <v>Tail Spikes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3-Heads</v>
          </cell>
          <cell r="R142" t="str">
            <v>Flame</v>
          </cell>
          <cell r="S142" t="str">
            <v>Fire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W-Attack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Bite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Bite</v>
          </cell>
          <cell r="Q154" t="str">
            <v>Ice</v>
          </cell>
          <cell r="R154" t="str">
            <v>Mirror</v>
          </cell>
          <cell r="S154" t="str">
            <v>Dispel</v>
          </cell>
          <cell r="T154" t="str">
            <v>Refresh</v>
          </cell>
          <cell r="U154" t="str">
            <v>Cure</v>
          </cell>
          <cell r="V154" t="str">
            <v>Recover</v>
          </cell>
          <cell r="W154" t="str">
            <v>O-Change</v>
          </cell>
          <cell r="X154" t="str">
            <v>Transformed</v>
          </cell>
        </row>
        <row r="155">
          <cell r="A155" t="str">
            <v>Lillend</v>
          </cell>
          <cell r="B155" t="str">
            <v>Lillend</v>
          </cell>
          <cell r="C155">
            <v>1</v>
          </cell>
          <cell r="D155"/>
          <cell r="E155">
            <v>3</v>
          </cell>
          <cell r="F155"/>
          <cell r="G155"/>
          <cell r="H155">
            <v>2</v>
          </cell>
          <cell r="I155">
            <v>2</v>
          </cell>
          <cell r="J155">
            <v>126</v>
          </cell>
          <cell r="K155">
            <v>12</v>
          </cell>
          <cell r="L155">
            <v>13</v>
          </cell>
          <cell r="M155">
            <v>16</v>
          </cell>
          <cell r="N155">
            <v>11</v>
          </cell>
          <cell r="O155"/>
          <cell r="P155" t="str">
            <v>Tail</v>
          </cell>
          <cell r="Q155" t="str">
            <v>Charm</v>
          </cell>
          <cell r="R155" t="str">
            <v>O-Poison</v>
          </cell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Poison</v>
          </cell>
          <cell r="R156" t="str">
            <v>StonGaze</v>
          </cell>
          <cell r="S156" t="str">
            <v>O-Poison</v>
          </cell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Poison</v>
          </cell>
          <cell r="R157" t="str">
            <v>Ice</v>
          </cell>
          <cell r="S157" t="str">
            <v>Fire</v>
          </cell>
          <cell r="T157" t="str">
            <v>Charm</v>
          </cell>
          <cell r="U157" t="str">
            <v>O-Poison</v>
          </cell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Poison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 t="str">
            <v>O-Poison</v>
          </cell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Poison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 t="str">
            <v>O-Poison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Bash</v>
          </cell>
          <cell r="Q162" t="str">
            <v>Ice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>
            <v>2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/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Bash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Bash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Bash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Bash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Wisp</v>
          </cell>
          <cell r="B187" t="str">
            <v>Wisp</v>
          </cell>
          <cell r="C187">
            <v>1</v>
          </cell>
          <cell r="D187"/>
          <cell r="E187">
            <v>1</v>
          </cell>
          <cell r="F187"/>
          <cell r="G187"/>
          <cell r="H187">
            <v>2</v>
          </cell>
          <cell r="I187">
            <v>2</v>
          </cell>
          <cell r="J187">
            <v>45</v>
          </cell>
          <cell r="K187">
            <v>4</v>
          </cell>
          <cell r="L187">
            <v>5</v>
          </cell>
          <cell r="M187">
            <v>5</v>
          </cell>
          <cell r="N187">
            <v>4</v>
          </cell>
          <cell r="O187"/>
          <cell r="P187" t="str">
            <v>Touch</v>
          </cell>
          <cell r="Q187" t="str">
            <v>Sleep</v>
          </cell>
          <cell r="R187" t="str">
            <v>O-Quake</v>
          </cell>
          <cell r="S187" t="str">
            <v>X-Fire</v>
          </cell>
          <cell r="T187"/>
          <cell r="U187"/>
          <cell r="V187"/>
          <cell r="W187"/>
          <cell r="X187" t="str">
            <v>Undead</v>
          </cell>
        </row>
        <row r="188">
          <cell r="A188" t="str">
            <v>Shade</v>
          </cell>
          <cell r="B188" t="str">
            <v>Shade</v>
          </cell>
          <cell r="C188">
            <v>1</v>
          </cell>
          <cell r="D188"/>
          <cell r="E188">
            <v>3</v>
          </cell>
          <cell r="F188"/>
          <cell r="G188"/>
          <cell r="H188">
            <v>2</v>
          </cell>
          <cell r="I188">
            <v>2</v>
          </cell>
          <cell r="J188">
            <v>148</v>
          </cell>
          <cell r="K188">
            <v>11</v>
          </cell>
          <cell r="L188">
            <v>15</v>
          </cell>
          <cell r="M188">
            <v>15</v>
          </cell>
          <cell r="N188">
            <v>10</v>
          </cell>
          <cell r="O188"/>
          <cell r="P188" t="str">
            <v>Touch</v>
          </cell>
          <cell r="Q188" t="str">
            <v>Sleep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O-Bake</v>
          </cell>
          <cell r="B189" t="str">
            <v>O-Bake</v>
          </cell>
          <cell r="C189" t="str">
            <v>1</v>
          </cell>
          <cell r="D189" t="str">
            <v>5</v>
          </cell>
          <cell r="E189">
            <v>5</v>
          </cell>
          <cell r="F189" t="str">
            <v>15</v>
          </cell>
          <cell r="G189" t="str">
            <v>05</v>
          </cell>
          <cell r="H189" t="str">
            <v>2</v>
          </cell>
          <cell r="I189" t="str">
            <v>3</v>
          </cell>
          <cell r="J189">
            <v>263</v>
          </cell>
          <cell r="K189">
            <v>20</v>
          </cell>
          <cell r="L189">
            <v>29</v>
          </cell>
          <cell r="M189">
            <v>29</v>
          </cell>
          <cell r="N189">
            <v>19</v>
          </cell>
          <cell r="O189" t="str">
            <v>7d39</v>
          </cell>
          <cell r="P189" t="str">
            <v>Touch</v>
          </cell>
          <cell r="Q189" t="str">
            <v>Sleep</v>
          </cell>
          <cell r="R189" t="str">
            <v>Ice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Phantom</v>
          </cell>
          <cell r="B190" t="str">
            <v>Phantom</v>
          </cell>
          <cell r="C190" t="str">
            <v>2</v>
          </cell>
          <cell r="D190" t="str">
            <v>7</v>
          </cell>
          <cell r="E190">
            <v>7</v>
          </cell>
          <cell r="F190" t="str">
            <v>27</v>
          </cell>
          <cell r="G190" t="str">
            <v>05</v>
          </cell>
          <cell r="H190" t="str">
            <v>2</v>
          </cell>
          <cell r="I190" t="str">
            <v>4</v>
          </cell>
          <cell r="J190">
            <v>430</v>
          </cell>
          <cell r="K190">
            <v>35</v>
          </cell>
          <cell r="L190">
            <v>47</v>
          </cell>
          <cell r="M190">
            <v>47</v>
          </cell>
          <cell r="N190">
            <v>33</v>
          </cell>
          <cell r="O190" t="str">
            <v>7d3d</v>
          </cell>
          <cell r="P190" t="str">
            <v>Ice</v>
          </cell>
          <cell r="Q190" t="str">
            <v>Sleep</v>
          </cell>
          <cell r="R190" t="str">
            <v>Touch</v>
          </cell>
          <cell r="S190" t="str">
            <v>O-Quake</v>
          </cell>
          <cell r="T190" t="str">
            <v>X-Fire</v>
          </cell>
          <cell r="U190"/>
          <cell r="V190"/>
          <cell r="W190"/>
          <cell r="X190" t="str">
            <v>Undead</v>
          </cell>
        </row>
        <row r="191">
          <cell r="A191" t="str">
            <v>Wraith</v>
          </cell>
          <cell r="B191" t="str">
            <v>Wraith</v>
          </cell>
          <cell r="C191" t="str">
            <v>2</v>
          </cell>
          <cell r="D191" t="str">
            <v>8</v>
          </cell>
          <cell r="E191">
            <v>8</v>
          </cell>
          <cell r="F191" t="str">
            <v>28</v>
          </cell>
          <cell r="G191" t="str">
            <v>05</v>
          </cell>
          <cell r="H191" t="str">
            <v>2</v>
          </cell>
          <cell r="I191" t="str">
            <v>5</v>
          </cell>
          <cell r="J191">
            <v>528</v>
          </cell>
          <cell r="K191">
            <v>44</v>
          </cell>
          <cell r="L191">
            <v>57</v>
          </cell>
          <cell r="M191">
            <v>57</v>
          </cell>
          <cell r="N191">
            <v>42</v>
          </cell>
          <cell r="O191" t="str">
            <v>7d42</v>
          </cell>
          <cell r="P191" t="str">
            <v>Touch</v>
          </cell>
          <cell r="Q191" t="str">
            <v>Ice</v>
          </cell>
          <cell r="R191" t="str">
            <v>Sleep</v>
          </cell>
          <cell r="S191" t="str">
            <v>O-Change</v>
          </cell>
          <cell r="T191" t="str">
            <v>O-Quake</v>
          </cell>
          <cell r="U191" t="str">
            <v>X-Fire</v>
          </cell>
          <cell r="V191"/>
          <cell r="W191"/>
          <cell r="X191" t="str">
            <v>Undead</v>
          </cell>
        </row>
        <row r="192">
          <cell r="A192" t="str">
            <v>Spector</v>
          </cell>
          <cell r="B192" t="str">
            <v>Spector</v>
          </cell>
          <cell r="C192" t="str">
            <v>3</v>
          </cell>
          <cell r="D192" t="str">
            <v>A</v>
          </cell>
          <cell r="E192">
            <v>10</v>
          </cell>
          <cell r="F192" t="str">
            <v>3A</v>
          </cell>
          <cell r="G192" t="str">
            <v>05</v>
          </cell>
          <cell r="H192" t="str">
            <v>2</v>
          </cell>
          <cell r="I192" t="str">
            <v>6</v>
          </cell>
          <cell r="J192">
            <v>756</v>
          </cell>
          <cell r="K192">
            <v>66</v>
          </cell>
          <cell r="L192">
            <v>81</v>
          </cell>
          <cell r="M192">
            <v>81</v>
          </cell>
          <cell r="N192">
            <v>63</v>
          </cell>
          <cell r="O192" t="str">
            <v>7d48</v>
          </cell>
          <cell r="P192" t="str">
            <v>Ice</v>
          </cell>
          <cell r="Q192" t="str">
            <v>Stone</v>
          </cell>
          <cell r="R192" t="str">
            <v>Touch</v>
          </cell>
          <cell r="S192" t="str">
            <v>Cure</v>
          </cell>
          <cell r="T192" t="str">
            <v>O-Change</v>
          </cell>
          <cell r="U192" t="str">
            <v>O-Quake</v>
          </cell>
          <cell r="V192"/>
          <cell r="W192"/>
          <cell r="X192" t="str">
            <v>Undead</v>
          </cell>
        </row>
        <row r="193">
          <cell r="A193" t="str">
            <v>Ghost</v>
          </cell>
          <cell r="B193" t="str">
            <v>Ghost</v>
          </cell>
          <cell r="C193" t="str">
            <v>4</v>
          </cell>
          <cell r="D193" t="str">
            <v>B</v>
          </cell>
          <cell r="E193">
            <v>11</v>
          </cell>
          <cell r="F193" t="str">
            <v>4B</v>
          </cell>
          <cell r="G193" t="str">
            <v>05</v>
          </cell>
          <cell r="H193" t="str">
            <v>2</v>
          </cell>
          <cell r="I193" t="str">
            <v>7</v>
          </cell>
          <cell r="J193">
            <v>885</v>
          </cell>
          <cell r="K193">
            <v>78</v>
          </cell>
          <cell r="L193">
            <v>94</v>
          </cell>
          <cell r="M193">
            <v>94</v>
          </cell>
          <cell r="N193">
            <v>75</v>
          </cell>
          <cell r="O193" t="str">
            <v>7d4f</v>
          </cell>
          <cell r="P193" t="str">
            <v>Enfeeble</v>
          </cell>
          <cell r="Q193" t="str">
            <v>EvilEye</v>
          </cell>
          <cell r="R193" t="str">
            <v>Slay</v>
          </cell>
          <cell r="S193" t="str">
            <v>Touch</v>
          </cell>
          <cell r="T193" t="str">
            <v>Cure</v>
          </cell>
          <cell r="U193" t="str">
            <v>O-Change</v>
          </cell>
          <cell r="V193" t="str">
            <v>O-Quake</v>
          </cell>
          <cell r="W193"/>
          <cell r="X193" t="str">
            <v>Undead</v>
          </cell>
        </row>
        <row r="194">
          <cell r="A194" t="str">
            <v>Asigaru</v>
          </cell>
          <cell r="B194" t="str">
            <v>Asigaru</v>
          </cell>
          <cell r="C194">
            <v>1</v>
          </cell>
          <cell r="D194" t="str">
            <v>1</v>
          </cell>
          <cell r="E194">
            <v>1</v>
          </cell>
          <cell r="F194" t="str">
            <v>01</v>
          </cell>
          <cell r="G194" t="str">
            <v>83</v>
          </cell>
          <cell r="H194" t="str">
            <v>0</v>
          </cell>
          <cell r="I194">
            <v>2</v>
          </cell>
          <cell r="J194">
            <v>120</v>
          </cell>
          <cell r="K194">
            <v>6</v>
          </cell>
          <cell r="L194">
            <v>5</v>
          </cell>
          <cell r="M194">
            <v>2</v>
          </cell>
          <cell r="N194">
            <v>6</v>
          </cell>
          <cell r="O194" t="str">
            <v>7d57</v>
          </cell>
          <cell r="P194" t="str">
            <v>Long Sword</v>
          </cell>
          <cell r="Q194" t="str">
            <v>Bow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Robber</v>
          </cell>
          <cell r="B195" t="str">
            <v>Robber</v>
          </cell>
          <cell r="C195">
            <v>1</v>
          </cell>
          <cell r="D195"/>
          <cell r="E195">
            <v>2</v>
          </cell>
          <cell r="F195"/>
          <cell r="G195"/>
          <cell r="H195">
            <v>0</v>
          </cell>
          <cell r="I195">
            <v>2</v>
          </cell>
          <cell r="J195">
            <v>220</v>
          </cell>
          <cell r="K195">
            <v>9</v>
          </cell>
          <cell r="L195">
            <v>8</v>
          </cell>
          <cell r="M195">
            <v>5</v>
          </cell>
          <cell r="N195">
            <v>9</v>
          </cell>
          <cell r="O195"/>
          <cell r="P195" t="str">
            <v>Long Sword</v>
          </cell>
          <cell r="Q195" t="str">
            <v>Beretta</v>
          </cell>
          <cell r="R195"/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Bandit</v>
          </cell>
          <cell r="B196" t="str">
            <v>Bandit</v>
          </cell>
          <cell r="C196">
            <v>1</v>
          </cell>
          <cell r="D196" t="str">
            <v>3</v>
          </cell>
          <cell r="E196">
            <v>3</v>
          </cell>
          <cell r="F196" t="str">
            <v>13</v>
          </cell>
          <cell r="G196" t="str">
            <v>83</v>
          </cell>
          <cell r="H196" t="str">
            <v>0</v>
          </cell>
          <cell r="I196">
            <v>2</v>
          </cell>
          <cell r="J196">
            <v>320</v>
          </cell>
          <cell r="K196">
            <v>14</v>
          </cell>
          <cell r="L196">
            <v>14</v>
          </cell>
          <cell r="M196">
            <v>8</v>
          </cell>
          <cell r="N196">
            <v>15</v>
          </cell>
          <cell r="O196" t="str">
            <v>7d58</v>
          </cell>
          <cell r="P196" t="str">
            <v>Long Sword</v>
          </cell>
          <cell r="Q196" t="str">
            <v>Long Bow</v>
          </cell>
          <cell r="R196" t="str">
            <v>Silver Helm</v>
          </cell>
          <cell r="S196"/>
          <cell r="T196"/>
          <cell r="U196"/>
          <cell r="V196"/>
          <cell r="W196"/>
          <cell r="X196" t="str">
            <v>Human</v>
          </cell>
        </row>
        <row r="197">
          <cell r="A197" t="str">
            <v>Ronin</v>
          </cell>
          <cell r="B197" t="str">
            <v>Ronin</v>
          </cell>
          <cell r="C197">
            <v>1</v>
          </cell>
          <cell r="D197"/>
          <cell r="E197">
            <v>5</v>
          </cell>
          <cell r="F197"/>
          <cell r="G197"/>
          <cell r="H197">
            <v>0</v>
          </cell>
          <cell r="I197">
            <v>2</v>
          </cell>
          <cell r="J197">
            <v>500</v>
          </cell>
          <cell r="K197">
            <v>29</v>
          </cell>
          <cell r="L197">
            <v>25</v>
          </cell>
          <cell r="M197">
            <v>19</v>
          </cell>
          <cell r="N197">
            <v>26</v>
          </cell>
          <cell r="O197"/>
          <cell r="P197" t="str">
            <v>Katana</v>
          </cell>
          <cell r="Q197" t="str">
            <v>Gold Bow</v>
          </cell>
          <cell r="R197" t="str">
            <v>Gold Armor</v>
          </cell>
          <cell r="S197"/>
          <cell r="T197"/>
          <cell r="U197"/>
          <cell r="V197"/>
          <cell r="W197"/>
          <cell r="X197" t="str">
            <v>Human</v>
          </cell>
        </row>
        <row r="198">
          <cell r="A198" t="str">
            <v>Ninja</v>
          </cell>
          <cell r="B198" t="str">
            <v>Ninja</v>
          </cell>
          <cell r="C198" t="str">
            <v>3</v>
          </cell>
          <cell r="D198" t="str">
            <v>7</v>
          </cell>
          <cell r="E198">
            <v>7</v>
          </cell>
          <cell r="F198" t="str">
            <v>37</v>
          </cell>
          <cell r="G198" t="str">
            <v>83</v>
          </cell>
          <cell r="H198" t="str">
            <v>0</v>
          </cell>
          <cell r="I198">
            <v>4</v>
          </cell>
          <cell r="J198">
            <v>700</v>
          </cell>
          <cell r="K198">
            <v>43</v>
          </cell>
          <cell r="L198">
            <v>43</v>
          </cell>
          <cell r="M198">
            <v>33</v>
          </cell>
          <cell r="N198">
            <v>45</v>
          </cell>
          <cell r="O198" t="str">
            <v>7d5a</v>
          </cell>
          <cell r="P198" t="str">
            <v>Katana</v>
          </cell>
          <cell r="Q198" t="str">
            <v>Blind</v>
          </cell>
          <cell r="R198" t="str">
            <v>Haste</v>
          </cell>
          <cell r="S198" t="str">
            <v>Ice Sword</v>
          </cell>
          <cell r="T198" t="str">
            <v>Surprise</v>
          </cell>
          <cell r="U198" t="str">
            <v>Warning</v>
          </cell>
          <cell r="V198"/>
          <cell r="W198"/>
          <cell r="X198" t="str">
            <v>Human</v>
          </cell>
        </row>
        <row r="199">
          <cell r="A199" t="str">
            <v>Musashi</v>
          </cell>
          <cell r="B199" t="str">
            <v>Musashi</v>
          </cell>
          <cell r="C199" t="str">
            <v>5</v>
          </cell>
          <cell r="D199" t="str">
            <v>A</v>
          </cell>
          <cell r="E199">
            <v>10</v>
          </cell>
          <cell r="F199" t="str">
            <v>5A</v>
          </cell>
          <cell r="G199" t="str">
            <v>83</v>
          </cell>
          <cell r="H199" t="str">
            <v>0</v>
          </cell>
          <cell r="I199">
            <v>5</v>
          </cell>
          <cell r="J199">
            <v>2000</v>
          </cell>
          <cell r="K199">
            <v>76</v>
          </cell>
          <cell r="L199">
            <v>76</v>
          </cell>
          <cell r="M199">
            <v>63</v>
          </cell>
          <cell r="N199">
            <v>78</v>
          </cell>
          <cell r="O199" t="str">
            <v>7d60</v>
          </cell>
          <cell r="P199" t="str">
            <v>Stab</v>
          </cell>
          <cell r="Q199" t="str">
            <v>Defense</v>
          </cell>
          <cell r="R199" t="str">
            <v>Riposte</v>
          </cell>
          <cell r="S199" t="str">
            <v>2-Swords</v>
          </cell>
          <cell r="T199" t="str">
            <v>Critical</v>
          </cell>
          <cell r="U199" t="str">
            <v>Warning</v>
          </cell>
          <cell r="V199" t="str">
            <v>Elixier</v>
          </cell>
          <cell r="W199"/>
          <cell r="X199" t="str">
            <v>Human</v>
          </cell>
        </row>
        <row r="200">
          <cell r="A200" t="str">
            <v>Hatamoto</v>
          </cell>
          <cell r="B200" t="str">
            <v>Hatamoto</v>
          </cell>
          <cell r="C200" t="str">
            <v>3</v>
          </cell>
          <cell r="D200" t="str">
            <v>B</v>
          </cell>
          <cell r="E200">
            <v>11</v>
          </cell>
          <cell r="F200" t="str">
            <v>3B</v>
          </cell>
          <cell r="G200" t="str">
            <v>83</v>
          </cell>
          <cell r="H200" t="str">
            <v>0</v>
          </cell>
          <cell r="I200">
            <v>4</v>
          </cell>
          <cell r="J200">
            <v>400</v>
          </cell>
          <cell r="K200">
            <v>43</v>
          </cell>
          <cell r="L200">
            <v>43</v>
          </cell>
          <cell r="M200">
            <v>33</v>
          </cell>
          <cell r="N200">
            <v>44</v>
          </cell>
          <cell r="O200" t="str">
            <v>7d67</v>
          </cell>
          <cell r="P200" t="str">
            <v>Katana</v>
          </cell>
          <cell r="Q200" t="str">
            <v>Bazooka</v>
          </cell>
          <cell r="R200" t="str">
            <v>Hi-Cure Potion</v>
          </cell>
          <cell r="S200" t="str">
            <v>Magnum</v>
          </cell>
          <cell r="T200"/>
          <cell r="U200"/>
          <cell r="V200"/>
          <cell r="W200"/>
          <cell r="X200" t="str">
            <v>Human</v>
          </cell>
        </row>
        <row r="201">
          <cell r="A201" t="str">
            <v>Gang</v>
          </cell>
          <cell r="B201" t="str">
            <v>Gang</v>
          </cell>
          <cell r="C201" t="str">
            <v>0</v>
          </cell>
          <cell r="D201" t="str">
            <v>1</v>
          </cell>
          <cell r="E201">
            <v>1</v>
          </cell>
          <cell r="F201" t="str">
            <v>01</v>
          </cell>
          <cell r="G201" t="str">
            <v>1a</v>
          </cell>
          <cell r="H201" t="str">
            <v>0</v>
          </cell>
          <cell r="I201">
            <v>1</v>
          </cell>
          <cell r="J201">
            <v>45</v>
          </cell>
          <cell r="K201">
            <v>5</v>
          </cell>
          <cell r="L201">
            <v>7</v>
          </cell>
          <cell r="M201">
            <v>3</v>
          </cell>
          <cell r="N201">
            <v>4</v>
          </cell>
          <cell r="O201" t="str">
            <v>7d6b</v>
          </cell>
          <cell r="P201" t="str">
            <v>Strike</v>
          </cell>
          <cell r="Q201"/>
          <cell r="R201"/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Axe Gang</v>
          </cell>
          <cell r="B202" t="str">
            <v>Axe Gang</v>
          </cell>
          <cell r="C202">
            <v>0</v>
          </cell>
          <cell r="D202"/>
          <cell r="E202">
            <v>1</v>
          </cell>
          <cell r="F202"/>
          <cell r="G202"/>
          <cell r="H202">
            <v>0</v>
          </cell>
          <cell r="I202">
            <v>1</v>
          </cell>
          <cell r="J202">
            <v>45</v>
          </cell>
          <cell r="K202">
            <v>7</v>
          </cell>
          <cell r="L202">
            <v>5</v>
          </cell>
          <cell r="M202">
            <v>3</v>
          </cell>
          <cell r="N202">
            <v>4</v>
          </cell>
          <cell r="O202"/>
          <cell r="P202" t="str">
            <v>Hand Axe</v>
          </cell>
          <cell r="Q202"/>
          <cell r="R202"/>
          <cell r="S202"/>
          <cell r="T202"/>
          <cell r="U202"/>
          <cell r="V202"/>
          <cell r="W202"/>
          <cell r="X202" t="str">
            <v>Human</v>
          </cell>
        </row>
        <row r="203">
          <cell r="A203" t="str">
            <v>Wh. Belt</v>
          </cell>
          <cell r="B203" t="str">
            <v>Wh. Belt</v>
          </cell>
          <cell r="C203" t="str">
            <v>2</v>
          </cell>
          <cell r="D203" t="str">
            <v>5</v>
          </cell>
          <cell r="E203">
            <v>5</v>
          </cell>
          <cell r="F203" t="str">
            <v>25</v>
          </cell>
          <cell r="G203" t="str">
            <v>1a</v>
          </cell>
          <cell r="H203" t="str">
            <v>0</v>
          </cell>
          <cell r="I203">
            <v>3</v>
          </cell>
          <cell r="J203">
            <v>248</v>
          </cell>
          <cell r="K203">
            <v>25</v>
          </cell>
          <cell r="L203">
            <v>29</v>
          </cell>
          <cell r="M203">
            <v>22</v>
          </cell>
          <cell r="N203">
            <v>23</v>
          </cell>
          <cell r="O203" t="str">
            <v>7d6c</v>
          </cell>
          <cell r="P203" t="str">
            <v>Strike</v>
          </cell>
          <cell r="Q203" t="str">
            <v>R-Kick</v>
          </cell>
          <cell r="R203" t="str">
            <v>HeadButt</v>
          </cell>
          <cell r="S203"/>
          <cell r="T203"/>
          <cell r="U203"/>
          <cell r="V203"/>
          <cell r="W203"/>
          <cell r="X203" t="str">
            <v>Human</v>
          </cell>
        </row>
        <row r="204">
          <cell r="A204" t="str">
            <v>Killer</v>
          </cell>
          <cell r="B204" t="str">
            <v>Killer</v>
          </cell>
          <cell r="C204" t="str">
            <v>4</v>
          </cell>
          <cell r="D204" t="str">
            <v>8</v>
          </cell>
          <cell r="E204">
            <v>8</v>
          </cell>
          <cell r="F204" t="str">
            <v>48</v>
          </cell>
          <cell r="G204" t="str">
            <v>1a</v>
          </cell>
          <cell r="H204" t="str">
            <v>0</v>
          </cell>
          <cell r="I204">
            <v>5</v>
          </cell>
          <cell r="J204">
            <v>507</v>
          </cell>
          <cell r="K204">
            <v>51</v>
          </cell>
          <cell r="L204">
            <v>57</v>
          </cell>
          <cell r="M204">
            <v>47</v>
          </cell>
          <cell r="N204">
            <v>49</v>
          </cell>
          <cell r="O204" t="str">
            <v>7d6f</v>
          </cell>
          <cell r="P204" t="str">
            <v>Axe</v>
          </cell>
          <cell r="Q204" t="str">
            <v>ChainSaw</v>
          </cell>
          <cell r="R204" t="str">
            <v>StunGun</v>
          </cell>
          <cell r="S204" t="str">
            <v>Venom</v>
          </cell>
          <cell r="T204" t="str">
            <v>Blitz Whip</v>
          </cell>
          <cell r="U204" t="str">
            <v>Surprise</v>
          </cell>
          <cell r="V204"/>
          <cell r="W204"/>
          <cell r="X204" t="str">
            <v>Human</v>
          </cell>
        </row>
        <row r="205">
          <cell r="A205" t="str">
            <v>Bl. Belt</v>
          </cell>
          <cell r="B205" t="str">
            <v>Bl. Belt</v>
          </cell>
          <cell r="C205" t="str">
            <v>6</v>
          </cell>
          <cell r="D205" t="str">
            <v>A</v>
          </cell>
          <cell r="E205">
            <v>10</v>
          </cell>
          <cell r="F205" t="str">
            <v>6A</v>
          </cell>
          <cell r="G205" t="str">
            <v>1a</v>
          </cell>
          <cell r="H205" t="str">
            <v>0</v>
          </cell>
          <cell r="I205">
            <v>7</v>
          </cell>
          <cell r="J205">
            <v>731</v>
          </cell>
          <cell r="K205">
            <v>73</v>
          </cell>
          <cell r="L205">
            <v>81</v>
          </cell>
          <cell r="M205">
            <v>68</v>
          </cell>
          <cell r="N205">
            <v>71</v>
          </cell>
          <cell r="O205" t="str">
            <v>7d75</v>
          </cell>
          <cell r="P205" t="str">
            <v>Strike</v>
          </cell>
          <cell r="Q205" t="str">
            <v>R-Kick</v>
          </cell>
          <cell r="R205" t="str">
            <v>HeadButt</v>
          </cell>
          <cell r="S205" t="str">
            <v>JumpKick</v>
          </cell>
          <cell r="T205" t="str">
            <v>Jyudo</v>
          </cell>
          <cell r="U205" t="str">
            <v>Karate</v>
          </cell>
          <cell r="V205" t="str">
            <v>Samurai Shield</v>
          </cell>
          <cell r="W205"/>
          <cell r="X205" t="str">
            <v>Human</v>
          </cell>
        </row>
        <row r="206">
          <cell r="A206" t="str">
            <v>TianLung</v>
          </cell>
          <cell r="B206" t="str">
            <v>TianLung</v>
          </cell>
          <cell r="C206" t="str">
            <v>3</v>
          </cell>
          <cell r="D206" t="str">
            <v>B</v>
          </cell>
          <cell r="E206">
            <v>11</v>
          </cell>
          <cell r="F206" t="str">
            <v>3B</v>
          </cell>
          <cell r="G206" t="str">
            <v>29</v>
          </cell>
          <cell r="H206" t="str">
            <v>2</v>
          </cell>
          <cell r="I206" t="str">
            <v>4</v>
          </cell>
          <cell r="J206">
            <v>2000</v>
          </cell>
          <cell r="K206">
            <v>86</v>
          </cell>
          <cell r="L206">
            <v>94</v>
          </cell>
          <cell r="M206">
            <v>80</v>
          </cell>
          <cell r="N206">
            <v>83</v>
          </cell>
          <cell r="O206" t="str">
            <v>7d7c</v>
          </cell>
          <cell r="P206" t="str">
            <v>Tornado</v>
          </cell>
          <cell r="Q206" t="str">
            <v>Tusk</v>
          </cell>
          <cell r="R206" t="str">
            <v>Lightning</v>
          </cell>
          <cell r="S206" t="str">
            <v>Gas</v>
          </cell>
          <cell r="T206" t="str">
            <v>O-All</v>
          </cell>
          <cell r="U206"/>
          <cell r="V206"/>
          <cell r="W206"/>
          <cell r="X206" t="str">
            <v>Great Reptile</v>
          </cell>
        </row>
        <row r="207">
          <cell r="A207" t="str">
            <v>Trooper</v>
          </cell>
          <cell r="B207" t="str">
            <v>Trooper</v>
          </cell>
          <cell r="C207" t="str">
            <v>1</v>
          </cell>
          <cell r="D207" t="str">
            <v>2</v>
          </cell>
          <cell r="E207">
            <v>2</v>
          </cell>
          <cell r="F207" t="str">
            <v>12</v>
          </cell>
          <cell r="G207" t="str">
            <v>1b</v>
          </cell>
          <cell r="H207" t="str">
            <v>0</v>
          </cell>
          <cell r="I207">
            <v>2</v>
          </cell>
          <cell r="J207">
            <v>90</v>
          </cell>
          <cell r="K207">
            <v>8</v>
          </cell>
          <cell r="L207">
            <v>6</v>
          </cell>
          <cell r="M207">
            <v>6</v>
          </cell>
          <cell r="N207">
            <v>11</v>
          </cell>
          <cell r="O207" t="str">
            <v>7d81</v>
          </cell>
          <cell r="P207" t="str">
            <v>Long Sword</v>
          </cell>
          <cell r="Q207" t="str">
            <v>Bronze Shield</v>
          </cell>
          <cell r="R207"/>
          <cell r="S207"/>
          <cell r="T207"/>
          <cell r="U207"/>
          <cell r="V207"/>
          <cell r="W207"/>
          <cell r="X207" t="str">
            <v>Human</v>
          </cell>
        </row>
        <row r="208">
          <cell r="A208" t="str">
            <v>Guard</v>
          </cell>
          <cell r="B208" t="str">
            <v>Guard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1b</v>
          </cell>
          <cell r="H208" t="str">
            <v>0</v>
          </cell>
          <cell r="I208" t="str">
            <v>2</v>
          </cell>
          <cell r="J208">
            <v>263</v>
          </cell>
          <cell r="K208">
            <v>25</v>
          </cell>
          <cell r="L208">
            <v>22</v>
          </cell>
          <cell r="M208">
            <v>22</v>
          </cell>
          <cell r="N208">
            <v>29</v>
          </cell>
          <cell r="O208" t="str">
            <v>7d83</v>
          </cell>
          <cell r="P208" t="str">
            <v>Gold Sword</v>
          </cell>
          <cell r="Q208" t="str">
            <v>Gold Shield</v>
          </cell>
          <cell r="R208" t="str">
            <v>Cure Potion</v>
          </cell>
          <cell r="S208"/>
          <cell r="T208"/>
          <cell r="U208"/>
          <cell r="V208"/>
          <cell r="W208"/>
          <cell r="X208" t="str">
            <v>Human</v>
          </cell>
        </row>
        <row r="209">
          <cell r="A209" t="str">
            <v>Knight</v>
          </cell>
          <cell r="B209" t="str">
            <v>Knight</v>
          </cell>
          <cell r="C209" t="str">
            <v>5</v>
          </cell>
          <cell r="D209" t="str">
            <v>7</v>
          </cell>
          <cell r="E209">
            <v>7</v>
          </cell>
          <cell r="F209" t="str">
            <v>57</v>
          </cell>
          <cell r="G209" t="str">
            <v>1b</v>
          </cell>
          <cell r="H209" t="str">
            <v>0</v>
          </cell>
          <cell r="I209" t="str">
            <v>5</v>
          </cell>
          <cell r="J209">
            <v>390</v>
          </cell>
          <cell r="K209">
            <v>41</v>
          </cell>
          <cell r="L209">
            <v>37</v>
          </cell>
          <cell r="M209">
            <v>37</v>
          </cell>
          <cell r="N209">
            <v>47</v>
          </cell>
          <cell r="O209" t="str">
            <v>7d86</v>
          </cell>
          <cell r="P209" t="str">
            <v>Flame Sword</v>
          </cell>
          <cell r="Q209" t="str">
            <v>Ice Sword</v>
          </cell>
          <cell r="R209" t="str">
            <v>Thunder Axe</v>
          </cell>
          <cell r="S209" t="str">
            <v>Flame Shield</v>
          </cell>
          <cell r="T209" t="str">
            <v>Ice Shield</v>
          </cell>
          <cell r="U209" t="str">
            <v>Hi-Cure Potion</v>
          </cell>
          <cell r="V209"/>
          <cell r="W209"/>
          <cell r="X209" t="str">
            <v>Human</v>
          </cell>
        </row>
        <row r="210">
          <cell r="A210" t="str">
            <v>Paladin</v>
          </cell>
          <cell r="B210" t="str">
            <v>Paladin</v>
          </cell>
          <cell r="C210" t="str">
            <v>6</v>
          </cell>
          <cell r="D210" t="str">
            <v>A</v>
          </cell>
          <cell r="E210">
            <v>10</v>
          </cell>
          <cell r="F210" t="str">
            <v>6A</v>
          </cell>
          <cell r="G210" t="str">
            <v>1b</v>
          </cell>
          <cell r="H210" t="str">
            <v>0</v>
          </cell>
          <cell r="I210" t="str">
            <v>6</v>
          </cell>
          <cell r="J210">
            <v>756</v>
          </cell>
          <cell r="K210">
            <v>73</v>
          </cell>
          <cell r="L210">
            <v>68</v>
          </cell>
          <cell r="M210">
            <v>68</v>
          </cell>
          <cell r="N210">
            <v>81</v>
          </cell>
          <cell r="O210" t="str">
            <v>7d8c</v>
          </cell>
          <cell r="P210" t="str">
            <v>Sun Sword</v>
          </cell>
          <cell r="Q210" t="str">
            <v>Dragon Sword</v>
          </cell>
          <cell r="R210" t="str">
            <v>Defend Sword</v>
          </cell>
          <cell r="S210" t="str">
            <v>Dragon Shield</v>
          </cell>
          <cell r="T210" t="str">
            <v>Dragon Helm</v>
          </cell>
          <cell r="U210" t="str">
            <v>Ninja Glove</v>
          </cell>
          <cell r="V210" t="str">
            <v>Dragon Armor</v>
          </cell>
          <cell r="W210"/>
          <cell r="X210" t="str">
            <v>Human</v>
          </cell>
        </row>
        <row r="211">
          <cell r="A211" t="str">
            <v>Fenrir</v>
          </cell>
          <cell r="B211" t="str">
            <v>Fenrir</v>
          </cell>
          <cell r="C211" t="str">
            <v>2</v>
          </cell>
          <cell r="D211" t="str">
            <v>B</v>
          </cell>
          <cell r="E211">
            <v>11</v>
          </cell>
          <cell r="F211" t="str">
            <v>2B</v>
          </cell>
          <cell r="G211" t="str">
            <v>2c</v>
          </cell>
          <cell r="H211" t="str">
            <v>2</v>
          </cell>
          <cell r="I211" t="str">
            <v>4</v>
          </cell>
          <cell r="J211">
            <v>2500</v>
          </cell>
          <cell r="K211">
            <v>86</v>
          </cell>
          <cell r="L211">
            <v>80</v>
          </cell>
          <cell r="M211">
            <v>80</v>
          </cell>
          <cell r="N211">
            <v>94</v>
          </cell>
          <cell r="O211" t="str">
            <v>7d93</v>
          </cell>
          <cell r="P211" t="str">
            <v>Tornado</v>
          </cell>
          <cell r="Q211" t="str">
            <v>Tusk</v>
          </cell>
          <cell r="R211" t="str">
            <v>Blizzard</v>
          </cell>
          <cell r="S211" t="str">
            <v>Recover</v>
          </cell>
          <cell r="T211" t="str">
            <v>O-All</v>
          </cell>
          <cell r="U211"/>
          <cell r="V211"/>
          <cell r="W211"/>
          <cell r="X211" t="str">
            <v>Beast</v>
          </cell>
        </row>
        <row r="212">
          <cell r="A212" t="str">
            <v>Thug</v>
          </cell>
          <cell r="B212" t="str">
            <v>Thug</v>
          </cell>
          <cell r="C212">
            <v>0</v>
          </cell>
          <cell r="D212"/>
          <cell r="E212">
            <v>1</v>
          </cell>
          <cell r="F212"/>
          <cell r="G212"/>
          <cell r="H212">
            <v>0</v>
          </cell>
          <cell r="I212">
            <v>1</v>
          </cell>
          <cell r="J212">
            <v>59</v>
          </cell>
          <cell r="K212">
            <v>5</v>
          </cell>
          <cell r="L212">
            <v>5</v>
          </cell>
          <cell r="M212">
            <v>3</v>
          </cell>
          <cell r="N212">
            <v>5</v>
          </cell>
          <cell r="O212"/>
          <cell r="P212" t="str">
            <v>Beretta</v>
          </cell>
          <cell r="Q212"/>
          <cell r="R212"/>
          <cell r="S212"/>
          <cell r="T212"/>
          <cell r="U212"/>
          <cell r="V212"/>
          <cell r="W212"/>
          <cell r="X212" t="str">
            <v>Human</v>
          </cell>
        </row>
        <row r="213">
          <cell r="A213" t="str">
            <v>Outlaw</v>
          </cell>
          <cell r="B213" t="str">
            <v>Outlaw</v>
          </cell>
          <cell r="C213">
            <v>0</v>
          </cell>
          <cell r="D213"/>
          <cell r="E213">
            <v>2</v>
          </cell>
          <cell r="F213"/>
          <cell r="G213"/>
          <cell r="H213">
            <v>0</v>
          </cell>
          <cell r="I213">
            <v>1</v>
          </cell>
          <cell r="J213">
            <v>90</v>
          </cell>
          <cell r="K213">
            <v>9</v>
          </cell>
          <cell r="L213">
            <v>9</v>
          </cell>
          <cell r="M213">
            <v>5</v>
          </cell>
          <cell r="N213">
            <v>8</v>
          </cell>
          <cell r="O213"/>
          <cell r="P213" t="str">
            <v>Long Bow</v>
          </cell>
          <cell r="Q213"/>
          <cell r="R213"/>
          <cell r="S213"/>
          <cell r="T213"/>
          <cell r="U213"/>
          <cell r="V213"/>
          <cell r="W213"/>
          <cell r="X213" t="str">
            <v>Human</v>
          </cell>
        </row>
        <row r="214">
          <cell r="A214" t="str">
            <v>Terrorist</v>
          </cell>
          <cell r="B214" t="str">
            <v>Terrorist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84</v>
          </cell>
          <cell r="H214" t="str">
            <v>0</v>
          </cell>
          <cell r="I214" t="str">
            <v>1</v>
          </cell>
          <cell r="J214">
            <v>148</v>
          </cell>
          <cell r="K214">
            <v>14</v>
          </cell>
          <cell r="L214">
            <v>14</v>
          </cell>
          <cell r="M214">
            <v>8</v>
          </cell>
          <cell r="N214">
            <v>13</v>
          </cell>
          <cell r="O214" t="str">
            <v>7d98</v>
          </cell>
          <cell r="P214" t="str">
            <v>Colt</v>
          </cell>
          <cell r="Q214" t="str">
            <v>Kick</v>
          </cell>
          <cell r="R214"/>
          <cell r="S214"/>
          <cell r="T214"/>
          <cell r="U214"/>
          <cell r="V214"/>
          <cell r="W214"/>
          <cell r="X214" t="str">
            <v>Human</v>
          </cell>
        </row>
        <row r="215">
          <cell r="A215" t="str">
            <v>Mercenary</v>
          </cell>
          <cell r="B215" t="str">
            <v>Mercenary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84</v>
          </cell>
          <cell r="H215" t="str">
            <v>0</v>
          </cell>
          <cell r="I215" t="str">
            <v>3</v>
          </cell>
          <cell r="J215">
            <v>358</v>
          </cell>
          <cell r="K215">
            <v>34</v>
          </cell>
          <cell r="L215">
            <v>34</v>
          </cell>
          <cell r="M215">
            <v>26</v>
          </cell>
          <cell r="N215">
            <v>32</v>
          </cell>
          <cell r="O215" t="str">
            <v>7d9a</v>
          </cell>
          <cell r="P215" t="str">
            <v>Musket</v>
          </cell>
          <cell r="Q215" t="str">
            <v>Grenade</v>
          </cell>
          <cell r="R215" t="str">
            <v>SMG</v>
          </cell>
          <cell r="S215" t="str">
            <v>Cure Potion</v>
          </cell>
          <cell r="T215"/>
          <cell r="U215"/>
          <cell r="V215"/>
          <cell r="W215"/>
          <cell r="X215" t="str">
            <v>Human</v>
          </cell>
        </row>
        <row r="216">
          <cell r="A216" t="str">
            <v>Commando</v>
          </cell>
          <cell r="B216" t="str">
            <v>Commando</v>
          </cell>
          <cell r="C216" t="str">
            <v>4</v>
          </cell>
          <cell r="D216" t="str">
            <v>7</v>
          </cell>
          <cell r="E216">
            <v>7</v>
          </cell>
          <cell r="F216" t="str">
            <v>47</v>
          </cell>
          <cell r="G216" t="str">
            <v>84</v>
          </cell>
          <cell r="H216" t="str">
            <v>0</v>
          </cell>
          <cell r="I216" t="str">
            <v>5</v>
          </cell>
          <cell r="J216">
            <v>410</v>
          </cell>
          <cell r="K216">
            <v>43</v>
          </cell>
          <cell r="L216">
            <v>43</v>
          </cell>
          <cell r="M216">
            <v>33</v>
          </cell>
          <cell r="N216">
            <v>41</v>
          </cell>
          <cell r="O216" t="str">
            <v>7d9e</v>
          </cell>
          <cell r="P216" t="str">
            <v>HeadButt</v>
          </cell>
          <cell r="Q216" t="str">
            <v>Flamethrower</v>
          </cell>
          <cell r="R216" t="str">
            <v>Bazooka</v>
          </cell>
          <cell r="S216" t="str">
            <v>Magnum</v>
          </cell>
          <cell r="T216" t="str">
            <v>Army Armor</v>
          </cell>
          <cell r="U216" t="str">
            <v>Surprise</v>
          </cell>
          <cell r="V216"/>
          <cell r="W216"/>
          <cell r="X216" t="str">
            <v>Human</v>
          </cell>
        </row>
        <row r="217">
          <cell r="A217" t="str">
            <v>SS</v>
          </cell>
          <cell r="B217" t="str">
            <v>SS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84</v>
          </cell>
          <cell r="H217" t="str">
            <v>0</v>
          </cell>
          <cell r="I217" t="str">
            <v>6</v>
          </cell>
          <cell r="J217">
            <v>781</v>
          </cell>
          <cell r="K217">
            <v>76</v>
          </cell>
          <cell r="L217">
            <v>76</v>
          </cell>
          <cell r="M217">
            <v>63</v>
          </cell>
          <cell r="N217">
            <v>73</v>
          </cell>
          <cell r="O217" t="str">
            <v>7da4</v>
          </cell>
          <cell r="P217" t="str">
            <v>Laser Sword</v>
          </cell>
          <cell r="Q217" t="str">
            <v>Vulcan Cannon</v>
          </cell>
          <cell r="R217" t="str">
            <v>Fire Gun</v>
          </cell>
          <cell r="S217" t="str">
            <v>Missile Cannon</v>
          </cell>
          <cell r="T217" t="str">
            <v>Tank Cannon</v>
          </cell>
          <cell r="U217" t="str">
            <v>Hi-Cure Potion</v>
          </cell>
          <cell r="V217" t="str">
            <v>Army Armor</v>
          </cell>
          <cell r="W217"/>
          <cell r="X217" t="str">
            <v>Human</v>
          </cell>
        </row>
        <row r="218">
          <cell r="A218" t="str">
            <v>EchigoYa</v>
          </cell>
          <cell r="B218" t="str">
            <v>EchigoYa</v>
          </cell>
          <cell r="C218" t="str">
            <v>2</v>
          </cell>
          <cell r="D218" t="str">
            <v>B</v>
          </cell>
          <cell r="E218">
            <v>11</v>
          </cell>
          <cell r="F218" t="str">
            <v>2B</v>
          </cell>
          <cell r="G218" t="str">
            <v>84</v>
          </cell>
          <cell r="H218" t="str">
            <v>0</v>
          </cell>
          <cell r="I218" t="str">
            <v>2</v>
          </cell>
          <cell r="J218">
            <v>443</v>
          </cell>
          <cell r="K218">
            <v>43</v>
          </cell>
          <cell r="L218">
            <v>43</v>
          </cell>
          <cell r="M218">
            <v>36</v>
          </cell>
          <cell r="N218">
            <v>41</v>
          </cell>
          <cell r="O218" t="str">
            <v>7dab</v>
          </cell>
          <cell r="P218" t="str">
            <v>Abacus</v>
          </cell>
          <cell r="Q218" t="str">
            <v>Vulcan Cannon</v>
          </cell>
          <cell r="R218" t="str">
            <v>Psi Sword</v>
          </cell>
          <cell r="S218"/>
          <cell r="T218"/>
          <cell r="U218"/>
          <cell r="V218"/>
          <cell r="W218"/>
          <cell r="X218" t="str">
            <v>Human</v>
          </cell>
        </row>
        <row r="219">
          <cell r="A219" t="str">
            <v>Conjurer</v>
          </cell>
          <cell r="B219" t="str">
            <v>Conjurer</v>
          </cell>
          <cell r="C219" t="str">
            <v>1</v>
          </cell>
          <cell r="D219" t="str">
            <v>3</v>
          </cell>
          <cell r="E219">
            <v>3</v>
          </cell>
          <cell r="F219" t="str">
            <v>13</v>
          </cell>
          <cell r="G219" t="str">
            <v>85</v>
          </cell>
          <cell r="H219" t="str">
            <v>0</v>
          </cell>
          <cell r="I219" t="str">
            <v>1</v>
          </cell>
          <cell r="J219">
            <v>123</v>
          </cell>
          <cell r="K219">
            <v>8</v>
          </cell>
          <cell r="L219">
            <v>16</v>
          </cell>
          <cell r="M219">
            <v>17</v>
          </cell>
          <cell r="N219">
            <v>9</v>
          </cell>
          <cell r="O219" t="str">
            <v>7dae</v>
          </cell>
          <cell r="P219" t="str">
            <v>Sleep Book</v>
          </cell>
          <cell r="Q219" t="str">
            <v>Cure Book</v>
          </cell>
          <cell r="R219"/>
          <cell r="S219"/>
          <cell r="T219"/>
          <cell r="U219"/>
          <cell r="V219"/>
          <cell r="W219"/>
          <cell r="X219" t="str">
            <v>Human</v>
          </cell>
        </row>
        <row r="220">
          <cell r="A220" t="str">
            <v>Magician</v>
          </cell>
          <cell r="B220" t="str">
            <v>Magician</v>
          </cell>
          <cell r="C220" t="str">
            <v>3</v>
          </cell>
          <cell r="D220" t="str">
            <v>6</v>
          </cell>
          <cell r="E220">
            <v>6</v>
          </cell>
          <cell r="F220" t="str">
            <v>36</v>
          </cell>
          <cell r="G220" t="str">
            <v>85</v>
          </cell>
          <cell r="H220" t="str">
            <v>0</v>
          </cell>
          <cell r="I220" t="str">
            <v>3</v>
          </cell>
          <cell r="J220">
            <v>324</v>
          </cell>
          <cell r="K220">
            <v>26</v>
          </cell>
          <cell r="L220">
            <v>38</v>
          </cell>
          <cell r="M220">
            <v>39</v>
          </cell>
          <cell r="N220">
            <v>27</v>
          </cell>
          <cell r="O220" t="str">
            <v>7db0</v>
          </cell>
          <cell r="P220" t="str">
            <v>Fire Book</v>
          </cell>
          <cell r="Q220" t="str">
            <v>Ice Book</v>
          </cell>
          <cell r="R220" t="str">
            <v>Sleep Book</v>
          </cell>
          <cell r="S220" t="str">
            <v>Cure Book</v>
          </cell>
          <cell r="T220"/>
          <cell r="U220"/>
          <cell r="V220"/>
          <cell r="W220"/>
          <cell r="X220" t="str">
            <v>Human</v>
          </cell>
        </row>
        <row r="221">
          <cell r="A221" t="str">
            <v>Sorcerer</v>
          </cell>
          <cell r="B221" t="str">
            <v>Sorcerer</v>
          </cell>
          <cell r="C221" t="str">
            <v>5</v>
          </cell>
          <cell r="D221" t="str">
            <v>9</v>
          </cell>
          <cell r="E221">
            <v>9</v>
          </cell>
          <cell r="F221" t="str">
            <v>59</v>
          </cell>
          <cell r="G221" t="str">
            <v>85</v>
          </cell>
          <cell r="H221" t="str">
            <v>0</v>
          </cell>
          <cell r="I221" t="str">
            <v>5</v>
          </cell>
          <cell r="J221">
            <v>614</v>
          </cell>
          <cell r="K221">
            <v>52</v>
          </cell>
          <cell r="L221">
            <v>68</v>
          </cell>
          <cell r="M221">
            <v>64</v>
          </cell>
          <cell r="N221">
            <v>55</v>
          </cell>
          <cell r="O221" t="str">
            <v>7db4</v>
          </cell>
          <cell r="P221" t="str">
            <v>Thunder Book</v>
          </cell>
          <cell r="Q221" t="str">
            <v>Stone Book</v>
          </cell>
          <cell r="R221" t="str">
            <v>Mage Staff</v>
          </cell>
          <cell r="S221" t="str">
            <v>Death Book</v>
          </cell>
          <cell r="T221" t="str">
            <v>Ice Book</v>
          </cell>
          <cell r="U221" t="str">
            <v>Cure Book</v>
          </cell>
          <cell r="V221"/>
          <cell r="W221"/>
          <cell r="X221" t="str">
            <v>Human</v>
          </cell>
        </row>
        <row r="222">
          <cell r="A222" t="str">
            <v>Wizard</v>
          </cell>
          <cell r="B222" t="str">
            <v>Wizard</v>
          </cell>
          <cell r="C222" t="str">
            <v>6</v>
          </cell>
          <cell r="D222" t="str">
            <v>A</v>
          </cell>
          <cell r="E222">
            <v>10</v>
          </cell>
          <cell r="F222" t="str">
            <v>6A</v>
          </cell>
          <cell r="G222" t="str">
            <v>85</v>
          </cell>
          <cell r="H222" t="str">
            <v>0</v>
          </cell>
          <cell r="I222" t="str">
            <v>6</v>
          </cell>
          <cell r="J222">
            <v>731</v>
          </cell>
          <cell r="K222">
            <v>63</v>
          </cell>
          <cell r="L222">
            <v>81</v>
          </cell>
          <cell r="M222">
            <v>75</v>
          </cell>
          <cell r="N222">
            <v>66</v>
          </cell>
          <cell r="O222" t="str">
            <v>7dba</v>
          </cell>
          <cell r="P222" t="str">
            <v>Thunder Book</v>
          </cell>
          <cell r="Q222" t="str">
            <v>Poison Book</v>
          </cell>
          <cell r="R222" t="str">
            <v>Stone Book</v>
          </cell>
          <cell r="S222" t="str">
            <v>Mage Staff</v>
          </cell>
          <cell r="T222" t="str">
            <v>Wizard Staff</v>
          </cell>
          <cell r="U222" t="str">
            <v>Flare Book</v>
          </cell>
          <cell r="V222" t="str">
            <v>Heal Staff</v>
          </cell>
          <cell r="W222"/>
          <cell r="X222" t="str">
            <v>Human</v>
          </cell>
        </row>
        <row r="223">
          <cell r="A223" t="str">
            <v>ROBO-02</v>
          </cell>
          <cell r="B223" t="str">
            <v>ROBO-02</v>
          </cell>
          <cell r="C223">
            <v>0</v>
          </cell>
          <cell r="D223"/>
          <cell r="E223">
            <v>2</v>
          </cell>
          <cell r="F223"/>
          <cell r="G223"/>
          <cell r="H223">
            <v>3</v>
          </cell>
          <cell r="I223">
            <v>1</v>
          </cell>
          <cell r="J223">
            <v>180</v>
          </cell>
          <cell r="K223">
            <v>9</v>
          </cell>
          <cell r="L223">
            <v>9</v>
          </cell>
          <cell r="M223">
            <v>0</v>
          </cell>
          <cell r="N223">
            <v>8</v>
          </cell>
          <cell r="O223"/>
          <cell r="P223" t="str">
            <v>Stun Gun</v>
          </cell>
          <cell r="Q223" t="str">
            <v>O-Pa/Po</v>
          </cell>
          <cell r="R223"/>
          <cell r="S223"/>
          <cell r="T223"/>
          <cell r="U223"/>
          <cell r="V223"/>
          <cell r="W223"/>
          <cell r="X223" t="str">
            <v>Robot</v>
          </cell>
        </row>
        <row r="224">
          <cell r="A224" t="str">
            <v>ROBO-28</v>
          </cell>
          <cell r="B224" t="str">
            <v>ROBO-28</v>
          </cell>
          <cell r="C224" t="str">
            <v>0</v>
          </cell>
          <cell r="D224" t="str">
            <v>3</v>
          </cell>
          <cell r="E224">
            <v>3</v>
          </cell>
          <cell r="F224" t="str">
            <v>03</v>
          </cell>
          <cell r="G224" t="str">
            <v>86</v>
          </cell>
          <cell r="H224" t="str">
            <v>3</v>
          </cell>
          <cell r="I224" t="str">
            <v>1</v>
          </cell>
          <cell r="J224">
            <v>300</v>
          </cell>
          <cell r="K224">
            <v>15</v>
          </cell>
          <cell r="L224">
            <v>15</v>
          </cell>
          <cell r="M224">
            <v>0</v>
          </cell>
          <cell r="N224">
            <v>14</v>
          </cell>
          <cell r="O224" t="str">
            <v>7dc1</v>
          </cell>
          <cell r="P224" t="str">
            <v>Rocket</v>
          </cell>
          <cell r="Q224" t="str">
            <v>O-Pa/Po</v>
          </cell>
          <cell r="R224"/>
          <cell r="S224"/>
          <cell r="T224"/>
          <cell r="U224"/>
          <cell r="V224"/>
          <cell r="W224"/>
          <cell r="X224" t="str">
            <v>Robot</v>
          </cell>
        </row>
        <row r="225">
          <cell r="A225" t="str">
            <v>ROBO-Z</v>
          </cell>
          <cell r="B225" t="str">
            <v>ROBO-Z</v>
          </cell>
          <cell r="C225" t="str">
            <v>2</v>
          </cell>
          <cell r="D225" t="str">
            <v>5</v>
          </cell>
          <cell r="E225">
            <v>5</v>
          </cell>
          <cell r="F225" t="str">
            <v>25</v>
          </cell>
          <cell r="G225" t="str">
            <v>86</v>
          </cell>
          <cell r="H225" t="str">
            <v>3</v>
          </cell>
          <cell r="I225" t="str">
            <v>3</v>
          </cell>
          <cell r="J225">
            <v>500</v>
          </cell>
          <cell r="K225">
            <v>28</v>
          </cell>
          <cell r="L225">
            <v>28</v>
          </cell>
          <cell r="M225">
            <v>0</v>
          </cell>
          <cell r="N225">
            <v>26</v>
          </cell>
          <cell r="O225" t="str">
            <v>7dc3</v>
          </cell>
          <cell r="P225" t="str">
            <v>Rocket</v>
          </cell>
          <cell r="Q225" t="str">
            <v>Flamethrower</v>
          </cell>
          <cell r="R225" t="str">
            <v>Beam</v>
          </cell>
          <cell r="S225" t="str">
            <v>O-Pa/Po</v>
          </cell>
          <cell r="T225"/>
          <cell r="U225"/>
          <cell r="V225"/>
          <cell r="W225"/>
          <cell r="X225" t="str">
            <v>Robot</v>
          </cell>
        </row>
        <row r="226">
          <cell r="A226" t="str">
            <v>Ridean</v>
          </cell>
          <cell r="B226" t="str">
            <v>Ridean</v>
          </cell>
          <cell r="C226" t="str">
            <v>4</v>
          </cell>
          <cell r="D226" t="str">
            <v>9</v>
          </cell>
          <cell r="E226">
            <v>9</v>
          </cell>
          <cell r="F226" t="str">
            <v>49</v>
          </cell>
          <cell r="G226" t="str">
            <v>86</v>
          </cell>
          <cell r="H226" t="str">
            <v>3</v>
          </cell>
          <cell r="I226" t="str">
            <v>5</v>
          </cell>
          <cell r="J226">
            <v>900</v>
          </cell>
          <cell r="K226">
            <v>66</v>
          </cell>
          <cell r="L226">
            <v>66</v>
          </cell>
          <cell r="M226">
            <v>0</v>
          </cell>
          <cell r="N226">
            <v>64</v>
          </cell>
          <cell r="O226" t="str">
            <v>7dc7</v>
          </cell>
          <cell r="P226" t="str">
            <v>Rocket</v>
          </cell>
          <cell r="Q226" t="str">
            <v>Laser Gun</v>
          </cell>
          <cell r="R226" t="str">
            <v>Vulcan</v>
          </cell>
          <cell r="S226" t="str">
            <v>Laser Sword</v>
          </cell>
          <cell r="T226" t="str">
            <v>Electroshock</v>
          </cell>
          <cell r="U226" t="str">
            <v>O-Pa/Po</v>
          </cell>
          <cell r="V226"/>
          <cell r="W226"/>
          <cell r="X226" t="str">
            <v>Robot</v>
          </cell>
        </row>
        <row r="227">
          <cell r="A227" t="str">
            <v>G-7</v>
          </cell>
          <cell r="B227" t="str">
            <v>G-7</v>
          </cell>
          <cell r="C227" t="str">
            <v>4</v>
          </cell>
          <cell r="D227" t="str">
            <v>A</v>
          </cell>
          <cell r="E227">
            <v>10</v>
          </cell>
          <cell r="F227" t="str">
            <v>4A</v>
          </cell>
          <cell r="G227" t="str">
            <v>86</v>
          </cell>
          <cell r="H227" t="str">
            <v>3</v>
          </cell>
          <cell r="I227" t="str">
            <v>6</v>
          </cell>
          <cell r="J227">
            <v>1500</v>
          </cell>
          <cell r="K227">
            <v>78</v>
          </cell>
          <cell r="L227">
            <v>78</v>
          </cell>
          <cell r="M227">
            <v>0</v>
          </cell>
          <cell r="N227">
            <v>76</v>
          </cell>
          <cell r="O227" t="str">
            <v>7dcd</v>
          </cell>
          <cell r="P227" t="str">
            <v>Rocket</v>
          </cell>
          <cell r="Q227" t="str">
            <v>Laser Gun</v>
          </cell>
          <cell r="R227" t="str">
            <v>Vulcan</v>
          </cell>
          <cell r="S227" t="str">
            <v>Laser Sword</v>
          </cell>
          <cell r="T227" t="str">
            <v>Missile</v>
          </cell>
          <cell r="U227" t="str">
            <v>Selfix</v>
          </cell>
          <cell r="V227" t="str">
            <v>O-Pa/Po</v>
          </cell>
          <cell r="W227"/>
          <cell r="X227" t="str">
            <v>Robot</v>
          </cell>
        </row>
        <row r="228">
          <cell r="A228" t="str">
            <v>Dunatis</v>
          </cell>
          <cell r="B228" t="str">
            <v>Dunatis</v>
          </cell>
          <cell r="C228" t="str">
            <v>0</v>
          </cell>
          <cell r="D228" t="str">
            <v>B</v>
          </cell>
          <cell r="E228">
            <v>11</v>
          </cell>
          <cell r="F228" t="str">
            <v>0B</v>
          </cell>
          <cell r="G228" t="str">
            <v>86</v>
          </cell>
          <cell r="H228" t="str">
            <v>3</v>
          </cell>
          <cell r="I228" t="str">
            <v>3</v>
          </cell>
          <cell r="J228">
            <v>800</v>
          </cell>
          <cell r="K228">
            <v>30</v>
          </cell>
          <cell r="L228">
            <v>30</v>
          </cell>
          <cell r="M228">
            <v>0</v>
          </cell>
          <cell r="N228">
            <v>29</v>
          </cell>
          <cell r="O228" t="str">
            <v>7dd4</v>
          </cell>
          <cell r="P228" t="str">
            <v>Rocket</v>
          </cell>
          <cell r="Q228" t="str">
            <v>ChainSaw</v>
          </cell>
          <cell r="R228" t="str">
            <v>Blitz Whip</v>
          </cell>
          <cell r="S228" t="str">
            <v>O-Pa/Po</v>
          </cell>
          <cell r="T228"/>
          <cell r="U228"/>
          <cell r="V228"/>
          <cell r="W228"/>
          <cell r="X228" t="str">
            <v>Robot</v>
          </cell>
        </row>
        <row r="229">
          <cell r="A229" t="str">
            <v>Drone</v>
          </cell>
          <cell r="B229" t="str">
            <v>Drone</v>
          </cell>
          <cell r="C229">
            <v>1</v>
          </cell>
          <cell r="D229"/>
          <cell r="E229">
            <v>2</v>
          </cell>
          <cell r="F229"/>
          <cell r="G229"/>
          <cell r="H229">
            <v>3</v>
          </cell>
          <cell r="I229">
            <v>2</v>
          </cell>
          <cell r="J229">
            <v>124</v>
          </cell>
          <cell r="K229">
            <v>11</v>
          </cell>
          <cell r="L229">
            <v>10</v>
          </cell>
          <cell r="M229">
            <v>0</v>
          </cell>
          <cell r="N229">
            <v>11</v>
          </cell>
          <cell r="O229"/>
          <cell r="P229" t="str">
            <v>Beretta</v>
          </cell>
          <cell r="Q229" t="str">
            <v>Whip</v>
          </cell>
          <cell r="R229" t="str">
            <v>O-Pa/Po</v>
          </cell>
          <cell r="S229"/>
          <cell r="T229"/>
          <cell r="U229"/>
          <cell r="V229"/>
          <cell r="W229"/>
          <cell r="X229" t="str">
            <v>Robot</v>
          </cell>
        </row>
        <row r="230">
          <cell r="A230" t="str">
            <v>MechBug</v>
          </cell>
          <cell r="B230" t="str">
            <v>MechBug</v>
          </cell>
          <cell r="C230" t="str">
            <v>1</v>
          </cell>
          <cell r="D230" t="str">
            <v>5</v>
          </cell>
          <cell r="E230">
            <v>5</v>
          </cell>
          <cell r="F230" t="str">
            <v>15</v>
          </cell>
          <cell r="G230" t="str">
            <v>87</v>
          </cell>
          <cell r="H230" t="str">
            <v>3</v>
          </cell>
          <cell r="I230" t="str">
            <v>2</v>
          </cell>
          <cell r="J230">
            <v>248</v>
          </cell>
          <cell r="K230">
            <v>29</v>
          </cell>
          <cell r="L230">
            <v>25</v>
          </cell>
          <cell r="M230">
            <v>0</v>
          </cell>
          <cell r="N230">
            <v>29</v>
          </cell>
          <cell r="O230" t="str">
            <v>7dd8</v>
          </cell>
          <cell r="P230" t="str">
            <v>SMG</v>
          </cell>
          <cell r="Q230" t="str">
            <v>Blitz Whip</v>
          </cell>
          <cell r="R230" t="str">
            <v>O-Pa/Po</v>
          </cell>
          <cell r="S230"/>
          <cell r="T230"/>
          <cell r="U230"/>
          <cell r="V230"/>
          <cell r="W230"/>
          <cell r="X230" t="str">
            <v>Robot</v>
          </cell>
        </row>
        <row r="231">
          <cell r="A231" t="str">
            <v>Hawk</v>
          </cell>
          <cell r="B231" t="str">
            <v>Hawk</v>
          </cell>
          <cell r="C231" t="str">
            <v>1</v>
          </cell>
          <cell r="D231" t="str">
            <v>6</v>
          </cell>
          <cell r="E231">
            <v>6</v>
          </cell>
          <cell r="F231" t="str">
            <v>16</v>
          </cell>
          <cell r="G231" t="str">
            <v>87</v>
          </cell>
          <cell r="H231" t="str">
            <v>3</v>
          </cell>
          <cell r="I231" t="str">
            <v>3</v>
          </cell>
          <cell r="J231">
            <v>324</v>
          </cell>
          <cell r="K231">
            <v>38</v>
          </cell>
          <cell r="L231">
            <v>32</v>
          </cell>
          <cell r="M231">
            <v>0</v>
          </cell>
          <cell r="N231">
            <v>38</v>
          </cell>
          <cell r="O231" t="str">
            <v>7ddb</v>
          </cell>
          <cell r="P231" t="str">
            <v>Grenade</v>
          </cell>
          <cell r="Q231" t="str">
            <v>Flamethrower</v>
          </cell>
          <cell r="R231" t="str">
            <v>Warning</v>
          </cell>
          <cell r="S231" t="str">
            <v>O-Pa/Po</v>
          </cell>
          <cell r="T231"/>
          <cell r="U231"/>
          <cell r="V231"/>
          <cell r="W231"/>
          <cell r="X231" t="str">
            <v>Robot</v>
          </cell>
        </row>
        <row r="232">
          <cell r="A232" t="str">
            <v>Falcon</v>
          </cell>
          <cell r="B232" t="str">
            <v>Falcon</v>
          </cell>
          <cell r="C232" t="str">
            <v>3</v>
          </cell>
          <cell r="D232" t="str">
            <v>9</v>
          </cell>
          <cell r="E232">
            <v>9</v>
          </cell>
          <cell r="F232" t="str">
            <v>39</v>
          </cell>
          <cell r="G232" t="str">
            <v>87</v>
          </cell>
          <cell r="H232" t="str">
            <v>3</v>
          </cell>
          <cell r="I232" t="str">
            <v>5</v>
          </cell>
          <cell r="J232">
            <v>614</v>
          </cell>
          <cell r="K232">
            <v>68</v>
          </cell>
          <cell r="L232">
            <v>61</v>
          </cell>
          <cell r="M232">
            <v>0</v>
          </cell>
          <cell r="N232">
            <v>68</v>
          </cell>
          <cell r="O232" t="str">
            <v>7ddf</v>
          </cell>
          <cell r="P232" t="str">
            <v>Defense</v>
          </cell>
          <cell r="Q232" t="str">
            <v>D-Beam</v>
          </cell>
          <cell r="R232" t="str">
            <v>Vulcan</v>
          </cell>
          <cell r="S232" t="str">
            <v>Beam</v>
          </cell>
          <cell r="T232" t="str">
            <v>Warning</v>
          </cell>
          <cell r="U232" t="str">
            <v>O-Pa/Po</v>
          </cell>
          <cell r="V232"/>
          <cell r="W232"/>
          <cell r="X232" t="str">
            <v>Robot</v>
          </cell>
        </row>
        <row r="233">
          <cell r="A233" t="str">
            <v>Intercept</v>
          </cell>
          <cell r="B233" t="str">
            <v>Intercept</v>
          </cell>
          <cell r="C233" t="str">
            <v>3</v>
          </cell>
          <cell r="D233" t="str">
            <v>A</v>
          </cell>
          <cell r="E233">
            <v>10</v>
          </cell>
          <cell r="F233" t="str">
            <v>3A</v>
          </cell>
          <cell r="G233" t="str">
            <v>87</v>
          </cell>
          <cell r="H233" t="str">
            <v>3</v>
          </cell>
          <cell r="I233" t="str">
            <v>6</v>
          </cell>
          <cell r="J233">
            <v>731</v>
          </cell>
          <cell r="K233">
            <v>81</v>
          </cell>
          <cell r="L233">
            <v>73</v>
          </cell>
          <cell r="M233">
            <v>0</v>
          </cell>
          <cell r="N233">
            <v>81</v>
          </cell>
          <cell r="O233" t="str">
            <v>7de5</v>
          </cell>
          <cell r="P233" t="str">
            <v>D-Beam</v>
          </cell>
          <cell r="Q233" t="str">
            <v>Vulcan</v>
          </cell>
          <cell r="R233" t="str">
            <v>Beam</v>
          </cell>
          <cell r="S233" t="str">
            <v>Missile</v>
          </cell>
          <cell r="T233" t="str">
            <v>Warning</v>
          </cell>
          <cell r="U233" t="str">
            <v>Selfix</v>
          </cell>
          <cell r="V233" t="str">
            <v>O-Pa/Po</v>
          </cell>
          <cell r="W233"/>
          <cell r="X233" t="str">
            <v>Robot</v>
          </cell>
        </row>
        <row r="234">
          <cell r="A234" t="str">
            <v>Plasma</v>
          </cell>
          <cell r="B234" t="str">
            <v>Plasma</v>
          </cell>
          <cell r="C234" t="str">
            <v>0</v>
          </cell>
          <cell r="D234" t="str">
            <v>3</v>
          </cell>
          <cell r="E234">
            <v>3</v>
          </cell>
          <cell r="F234" t="str">
            <v>03</v>
          </cell>
          <cell r="G234" t="str">
            <v>06</v>
          </cell>
          <cell r="H234" t="str">
            <v>2</v>
          </cell>
          <cell r="I234" t="str">
            <v>1</v>
          </cell>
          <cell r="J234">
            <v>104</v>
          </cell>
          <cell r="K234">
            <v>15</v>
          </cell>
          <cell r="L234">
            <v>13</v>
          </cell>
          <cell r="M234">
            <v>13</v>
          </cell>
          <cell r="N234">
            <v>13</v>
          </cell>
          <cell r="O234" t="str">
            <v>7dec</v>
          </cell>
          <cell r="P234" t="str">
            <v>Dissolve</v>
          </cell>
          <cell r="Q234" t="str">
            <v>X-Ice</v>
          </cell>
          <cell r="R234"/>
          <cell r="S234"/>
          <cell r="T234"/>
          <cell r="U234"/>
          <cell r="V234"/>
          <cell r="W234"/>
          <cell r="X234" t="str">
            <v>Aberration</v>
          </cell>
        </row>
        <row r="235">
          <cell r="A235" t="str">
            <v>Phagocyt</v>
          </cell>
          <cell r="B235" t="str">
            <v>Phagocyt</v>
          </cell>
          <cell r="C235" t="str">
            <v>1</v>
          </cell>
          <cell r="D235" t="str">
            <v>4</v>
          </cell>
          <cell r="E235">
            <v>4</v>
          </cell>
          <cell r="F235" t="str">
            <v>14</v>
          </cell>
          <cell r="G235" t="str">
            <v>06</v>
          </cell>
          <cell r="H235" t="str">
            <v>2</v>
          </cell>
          <cell r="I235" t="str">
            <v>2</v>
          </cell>
          <cell r="J235">
            <v>156</v>
          </cell>
          <cell r="K235">
            <v>21</v>
          </cell>
          <cell r="L235">
            <v>18</v>
          </cell>
          <cell r="M235">
            <v>18</v>
          </cell>
          <cell r="N235">
            <v>18</v>
          </cell>
          <cell r="O235" t="str">
            <v>7dee</v>
          </cell>
          <cell r="P235" t="str">
            <v>Wind Up</v>
          </cell>
          <cell r="Q235" t="str">
            <v>Dissolve</v>
          </cell>
          <cell r="R235" t="str">
            <v>X-Ice</v>
          </cell>
          <cell r="S235"/>
          <cell r="T235"/>
          <cell r="U235"/>
          <cell r="V235"/>
          <cell r="W235"/>
          <cell r="X235" t="str">
            <v>Aberration</v>
          </cell>
        </row>
        <row r="236">
          <cell r="A236" t="str">
            <v>Corpuscl</v>
          </cell>
          <cell r="B236" t="str">
            <v>Corpuscl</v>
          </cell>
          <cell r="C236" t="str">
            <v>2</v>
          </cell>
          <cell r="D236" t="str">
            <v>6</v>
          </cell>
          <cell r="E236">
            <v>6</v>
          </cell>
          <cell r="F236" t="str">
            <v>26</v>
          </cell>
          <cell r="G236" t="str">
            <v>06</v>
          </cell>
          <cell r="H236" t="str">
            <v>2</v>
          </cell>
          <cell r="I236" t="str">
            <v>5</v>
          </cell>
          <cell r="J236">
            <v>290</v>
          </cell>
          <cell r="K236">
            <v>36</v>
          </cell>
          <cell r="L236">
            <v>32</v>
          </cell>
          <cell r="M236">
            <v>32</v>
          </cell>
          <cell r="N236">
            <v>32</v>
          </cell>
          <cell r="O236" t="str">
            <v>7df1</v>
          </cell>
          <cell r="P236" t="str">
            <v>Wind Up</v>
          </cell>
          <cell r="Q236" t="str">
            <v>Dissolve</v>
          </cell>
          <cell r="R236" t="str">
            <v>Multiply</v>
          </cell>
          <cell r="S236" t="str">
            <v>Recover</v>
          </cell>
          <cell r="T236" t="str">
            <v>O-Weapon</v>
          </cell>
          <cell r="U236" t="str">
            <v>X-Ice</v>
          </cell>
          <cell r="V236"/>
          <cell r="W236"/>
          <cell r="X236" t="str">
            <v>Aberration</v>
          </cell>
        </row>
        <row r="237">
          <cell r="A237" t="str">
            <v>Cancer</v>
          </cell>
          <cell r="B237" t="str">
            <v>Cancer</v>
          </cell>
          <cell r="C237" t="str">
            <v>2</v>
          </cell>
          <cell r="D237" t="str">
            <v>A</v>
          </cell>
          <cell r="E237">
            <v>10</v>
          </cell>
          <cell r="F237" t="str">
            <v>2A</v>
          </cell>
          <cell r="G237" t="str">
            <v>06</v>
          </cell>
          <cell r="H237" t="str">
            <v>2</v>
          </cell>
          <cell r="I237" t="str">
            <v>6</v>
          </cell>
          <cell r="J237">
            <v>681</v>
          </cell>
          <cell r="K237">
            <v>78</v>
          </cell>
          <cell r="L237">
            <v>73</v>
          </cell>
          <cell r="M237">
            <v>73</v>
          </cell>
          <cell r="N237">
            <v>73</v>
          </cell>
          <cell r="O237" t="str">
            <v>7df7</v>
          </cell>
          <cell r="P237" t="str">
            <v>Wind Up</v>
          </cell>
          <cell r="Q237" t="str">
            <v>Dissolve</v>
          </cell>
          <cell r="R237" t="str">
            <v>Surprise</v>
          </cell>
          <cell r="S237" t="str">
            <v>Warning</v>
          </cell>
          <cell r="T237" t="str">
            <v>Recover</v>
          </cell>
          <cell r="U237" t="str">
            <v>O-Weapon</v>
          </cell>
          <cell r="V237" t="str">
            <v>X-Ice</v>
          </cell>
          <cell r="W237"/>
          <cell r="X237" t="str">
            <v>Aberration</v>
          </cell>
        </row>
        <row r="238">
          <cell r="A238" t="str">
            <v>Grippe</v>
          </cell>
          <cell r="B238" t="str">
            <v>Grippe</v>
          </cell>
          <cell r="C238" t="str">
            <v>0</v>
          </cell>
          <cell r="D238" t="str">
            <v>3</v>
          </cell>
          <cell r="E238">
            <v>3</v>
          </cell>
          <cell r="F238" t="str">
            <v>03</v>
          </cell>
          <cell r="G238" t="str">
            <v>88</v>
          </cell>
          <cell r="H238" t="str">
            <v>2</v>
          </cell>
          <cell r="I238" t="str">
            <v>1</v>
          </cell>
          <cell r="J238">
            <v>71</v>
          </cell>
          <cell r="K238">
            <v>12</v>
          </cell>
          <cell r="L238">
            <v>15</v>
          </cell>
          <cell r="M238">
            <v>14</v>
          </cell>
          <cell r="N238">
            <v>16</v>
          </cell>
          <cell r="O238" t="str">
            <v>7dfe</v>
          </cell>
          <cell r="P238" t="str">
            <v>PoisonBurst</v>
          </cell>
          <cell r="Q238" t="str">
            <v>X-Fire</v>
          </cell>
          <cell r="R238"/>
          <cell r="S238"/>
          <cell r="T238"/>
          <cell r="U238"/>
          <cell r="V238"/>
          <cell r="W238"/>
          <cell r="X238" t="str">
            <v>Aberration</v>
          </cell>
        </row>
        <row r="239">
          <cell r="A239" t="str">
            <v>Virus</v>
          </cell>
          <cell r="B239" t="str">
            <v>Virus</v>
          </cell>
          <cell r="C239" t="str">
            <v>1</v>
          </cell>
          <cell r="D239" t="str">
            <v>4</v>
          </cell>
          <cell r="E239">
            <v>4</v>
          </cell>
          <cell r="F239" t="str">
            <v>14</v>
          </cell>
          <cell r="G239" t="str">
            <v>88</v>
          </cell>
          <cell r="H239" t="str">
            <v>2</v>
          </cell>
          <cell r="I239" t="str">
            <v>2</v>
          </cell>
          <cell r="J239">
            <v>117</v>
          </cell>
          <cell r="K239">
            <v>17</v>
          </cell>
          <cell r="L239">
            <v>21</v>
          </cell>
          <cell r="M239">
            <v>20</v>
          </cell>
          <cell r="N239">
            <v>22</v>
          </cell>
          <cell r="O239" t="str">
            <v>7e00</v>
          </cell>
          <cell r="P239" t="str">
            <v>PoisonBurst</v>
          </cell>
          <cell r="Q239" t="str">
            <v>Heat</v>
          </cell>
          <cell r="R239" t="str">
            <v>X-Fire</v>
          </cell>
          <cell r="S239"/>
          <cell r="T239"/>
          <cell r="U239"/>
          <cell r="V239"/>
          <cell r="W239"/>
          <cell r="X239" t="str">
            <v>Aberration</v>
          </cell>
        </row>
        <row r="240">
          <cell r="A240" t="str">
            <v>Pathogen</v>
          </cell>
          <cell r="B240" t="str">
            <v>Pathogen</v>
          </cell>
          <cell r="C240" t="str">
            <v>3</v>
          </cell>
          <cell r="D240" t="str">
            <v>7</v>
          </cell>
          <cell r="E240">
            <v>7</v>
          </cell>
          <cell r="F240" t="str">
            <v>37</v>
          </cell>
          <cell r="G240" t="str">
            <v>88</v>
          </cell>
          <cell r="H240" t="str">
            <v>2</v>
          </cell>
          <cell r="I240" t="str">
            <v>4</v>
          </cell>
          <cell r="J240">
            <v>316</v>
          </cell>
          <cell r="K240">
            <v>39</v>
          </cell>
          <cell r="L240">
            <v>45</v>
          </cell>
          <cell r="M240">
            <v>43</v>
          </cell>
          <cell r="N240">
            <v>47</v>
          </cell>
          <cell r="O240" t="str">
            <v>7e03</v>
          </cell>
          <cell r="P240" t="str">
            <v>Multiply</v>
          </cell>
          <cell r="Q240" t="str">
            <v>PoisonBurst</v>
          </cell>
          <cell r="R240" t="str">
            <v>Heat</v>
          </cell>
          <cell r="S240" t="str">
            <v>ParaSkin</v>
          </cell>
          <cell r="T240" t="str">
            <v>X-Fire</v>
          </cell>
          <cell r="U240"/>
          <cell r="V240"/>
          <cell r="W240"/>
          <cell r="X240" t="str">
            <v>Aberration</v>
          </cell>
        </row>
        <row r="241">
          <cell r="A241" t="str">
            <v>Plague</v>
          </cell>
          <cell r="B241" t="str">
            <v>Plague</v>
          </cell>
          <cell r="C241" t="str">
            <v>4</v>
          </cell>
          <cell r="D241" t="str">
            <v>A</v>
          </cell>
          <cell r="E241">
            <v>10</v>
          </cell>
          <cell r="F241" t="str">
            <v>4A</v>
          </cell>
          <cell r="G241" t="str">
            <v>88</v>
          </cell>
          <cell r="H241" t="str">
            <v>2</v>
          </cell>
          <cell r="I241" t="str">
            <v>6</v>
          </cell>
          <cell r="J241">
            <v>606</v>
          </cell>
          <cell r="K241">
            <v>71</v>
          </cell>
          <cell r="L241">
            <v>78</v>
          </cell>
          <cell r="M241">
            <v>76</v>
          </cell>
          <cell r="N241">
            <v>81</v>
          </cell>
          <cell r="O241" t="str">
            <v>7e08</v>
          </cell>
          <cell r="P241" t="str">
            <v>PoisonBurst</v>
          </cell>
          <cell r="Q241" t="str">
            <v>Heat</v>
          </cell>
          <cell r="R241" t="str">
            <v>ComVirus</v>
          </cell>
          <cell r="S241" t="str">
            <v>Surprise</v>
          </cell>
          <cell r="T241" t="str">
            <v>Multiply</v>
          </cell>
          <cell r="U241" t="str">
            <v>DNA</v>
          </cell>
          <cell r="V241" t="str">
            <v>X-Fire</v>
          </cell>
          <cell r="W241"/>
          <cell r="X241" t="str">
            <v>Aberration</v>
          </cell>
        </row>
        <row r="242">
          <cell r="A242" t="str">
            <v>Teacher</v>
          </cell>
          <cell r="B242" t="str">
            <v>Teacher</v>
          </cell>
          <cell r="C242" t="str">
            <v>4</v>
          </cell>
          <cell r="D242" t="str">
            <v>0</v>
          </cell>
          <cell r="E242">
            <v>0</v>
          </cell>
          <cell r="F242">
            <v>40</v>
          </cell>
          <cell r="G242" t="str">
            <v>00</v>
          </cell>
          <cell r="H242" t="str">
            <v>2</v>
          </cell>
          <cell r="I242" t="str">
            <v>7</v>
          </cell>
          <cell r="J242">
            <v>185</v>
          </cell>
          <cell r="K242">
            <v>18</v>
          </cell>
          <cell r="L242">
            <v>15</v>
          </cell>
          <cell r="M242">
            <v>19</v>
          </cell>
          <cell r="N242">
            <v>18</v>
          </cell>
          <cell r="O242" t="str">
            <v>7e0f</v>
          </cell>
          <cell r="P242" t="str">
            <v>Dissolve</v>
          </cell>
          <cell r="Q242" t="str">
            <v>Fire</v>
          </cell>
          <cell r="R242" t="str">
            <v>Cure</v>
          </cell>
          <cell r="S242"/>
          <cell r="T242"/>
          <cell r="U242"/>
          <cell r="V242"/>
          <cell r="W242"/>
          <cell r="X242" t="str">
            <v>Human</v>
          </cell>
        </row>
        <row r="243">
          <cell r="A243" t="str">
            <v>Cleric</v>
          </cell>
          <cell r="B243" t="str">
            <v>Cleric</v>
          </cell>
          <cell r="C243" t="str">
            <v>6</v>
          </cell>
          <cell r="D243" t="str">
            <v>0</v>
          </cell>
          <cell r="E243">
            <v>0</v>
          </cell>
          <cell r="F243" t="str">
            <v>60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80</v>
          </cell>
          <cell r="K243">
            <v>8</v>
          </cell>
          <cell r="L243">
            <v>13</v>
          </cell>
          <cell r="M243">
            <v>14</v>
          </cell>
          <cell r="N243">
            <v>11</v>
          </cell>
          <cell r="O243" t="str">
            <v>7e17</v>
          </cell>
          <cell r="P243" t="str">
            <v>Hammer</v>
          </cell>
          <cell r="Q243" t="str">
            <v>Bronze Shield</v>
          </cell>
          <cell r="R243" t="str">
            <v>Thunder Book</v>
          </cell>
          <cell r="S243" t="str">
            <v>Cure Book</v>
          </cell>
          <cell r="T243" t="str">
            <v>Bronze Armor</v>
          </cell>
          <cell r="U243" t="str">
            <v>Bronze Helm</v>
          </cell>
          <cell r="V243" t="str">
            <v>Bronze Glove</v>
          </cell>
          <cell r="W243"/>
          <cell r="X243" t="str">
            <v>Human</v>
          </cell>
        </row>
        <row r="244">
          <cell r="A244" t="str">
            <v>Unknown</v>
          </cell>
          <cell r="B244" t="str">
            <v>Unknown</v>
          </cell>
          <cell r="C244" t="str">
            <v>4</v>
          </cell>
          <cell r="D244" t="str">
            <v>0</v>
          </cell>
          <cell r="E244">
            <v>0</v>
          </cell>
          <cell r="F244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321</v>
          </cell>
          <cell r="K244">
            <v>35</v>
          </cell>
          <cell r="L244">
            <v>29</v>
          </cell>
          <cell r="M244">
            <v>35</v>
          </cell>
          <cell r="N244">
            <v>11</v>
          </cell>
          <cell r="O244" t="str">
            <v>7e27</v>
          </cell>
          <cell r="P244" t="str">
            <v>Hammer</v>
          </cell>
          <cell r="Q244" t="str">
            <v>Bronze Shield</v>
          </cell>
          <cell r="R244" t="str">
            <v>Bronze Armor</v>
          </cell>
          <cell r="S244" t="str">
            <v>Bronze Helm</v>
          </cell>
          <cell r="T244" t="str">
            <v>Bronze Glove</v>
          </cell>
          <cell r="U244"/>
          <cell r="V244"/>
          <cell r="W244"/>
          <cell r="X244" t="str">
            <v>Human</v>
          </cell>
        </row>
        <row r="245">
          <cell r="A245" t="str">
            <v>Girl1</v>
          </cell>
          <cell r="B245" t="str">
            <v>Girl1</v>
          </cell>
          <cell r="C245" t="str">
            <v>0</v>
          </cell>
          <cell r="D245" t="str">
            <v>0</v>
          </cell>
          <cell r="E245">
            <v>0</v>
          </cell>
          <cell r="F245" t="str">
            <v>00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100</v>
          </cell>
          <cell r="K245">
            <v>16</v>
          </cell>
          <cell r="L245">
            <v>25</v>
          </cell>
          <cell r="M245">
            <v>21</v>
          </cell>
          <cell r="N245">
            <v>0</v>
          </cell>
          <cell r="O245" t="str">
            <v>7e2f</v>
          </cell>
          <cell r="P245" t="str">
            <v>Strike</v>
          </cell>
          <cell r="Q245" t="str">
            <v>R-Kick</v>
          </cell>
          <cell r="R245"/>
          <cell r="S245"/>
          <cell r="T245"/>
          <cell r="U245"/>
          <cell r="V245"/>
          <cell r="W245"/>
          <cell r="X245" t="str">
            <v>Human</v>
          </cell>
        </row>
        <row r="246">
          <cell r="A246" t="str">
            <v>Guardian</v>
          </cell>
          <cell r="B246" t="str">
            <v>Guardian</v>
          </cell>
          <cell r="C246" t="str">
            <v>4</v>
          </cell>
          <cell r="D246" t="str">
            <v>0</v>
          </cell>
          <cell r="E246">
            <v>0</v>
          </cell>
          <cell r="F246">
            <v>40</v>
          </cell>
          <cell r="G246" t="str">
            <v>00</v>
          </cell>
          <cell r="H246" t="str">
            <v>0</v>
          </cell>
          <cell r="I246" t="str">
            <v>7</v>
          </cell>
          <cell r="J246">
            <v>321</v>
          </cell>
          <cell r="K246">
            <v>35</v>
          </cell>
          <cell r="L246">
            <v>35</v>
          </cell>
          <cell r="M246">
            <v>29</v>
          </cell>
          <cell r="N246">
            <v>15</v>
          </cell>
          <cell r="O246" t="str">
            <v>7e37</v>
          </cell>
          <cell r="P246" t="str">
            <v>Gold Sword</v>
          </cell>
          <cell r="Q246" t="str">
            <v>SMG</v>
          </cell>
          <cell r="R246" t="str">
            <v>Blitz Whip</v>
          </cell>
          <cell r="S246" t="str">
            <v>Army Armor</v>
          </cell>
          <cell r="T246" t="str">
            <v>Cure Book</v>
          </cell>
          <cell r="U246"/>
          <cell r="V246"/>
          <cell r="W246"/>
          <cell r="X246" t="str">
            <v>Human</v>
          </cell>
        </row>
        <row r="247">
          <cell r="A247" t="str">
            <v>Girl2</v>
          </cell>
          <cell r="B247" t="str">
            <v>Girl2</v>
          </cell>
          <cell r="C247" t="str">
            <v>0</v>
          </cell>
          <cell r="D247" t="str">
            <v>0</v>
          </cell>
          <cell r="E247">
            <v>0</v>
          </cell>
          <cell r="F247" t="str">
            <v>00</v>
          </cell>
          <cell r="G247" t="str">
            <v>00</v>
          </cell>
          <cell r="H247" t="str">
            <v>0</v>
          </cell>
          <cell r="I247" t="str">
            <v>7</v>
          </cell>
          <cell r="J247">
            <v>247</v>
          </cell>
          <cell r="K247">
            <v>23</v>
          </cell>
          <cell r="L247">
            <v>33</v>
          </cell>
          <cell r="M247">
            <v>28</v>
          </cell>
          <cell r="N247">
            <v>21</v>
          </cell>
          <cell r="O247" t="str">
            <v>7e3f</v>
          </cell>
          <cell r="P247" t="str">
            <v>HeadButt</v>
          </cell>
          <cell r="Q247" t="str">
            <v>FlyingKick</v>
          </cell>
          <cell r="R247"/>
          <cell r="S247"/>
          <cell r="T247"/>
          <cell r="U247"/>
          <cell r="V247"/>
          <cell r="W247"/>
          <cell r="X247" t="str">
            <v>Human</v>
          </cell>
        </row>
        <row r="248">
          <cell r="A248" t="str">
            <v>Detectiv</v>
          </cell>
          <cell r="B248" t="str">
            <v>Detectiv</v>
          </cell>
          <cell r="C248" t="str">
            <v>3</v>
          </cell>
          <cell r="D248" t="str">
            <v>0</v>
          </cell>
          <cell r="E248">
            <v>0</v>
          </cell>
          <cell r="F248" t="str">
            <v>30</v>
          </cell>
          <cell r="G248" t="str">
            <v>00</v>
          </cell>
          <cell r="H248" t="str">
            <v>0</v>
          </cell>
          <cell r="I248" t="str">
            <v>7</v>
          </cell>
          <cell r="J248">
            <v>473</v>
          </cell>
          <cell r="K248">
            <v>46</v>
          </cell>
          <cell r="L248">
            <v>62</v>
          </cell>
          <cell r="M248">
            <v>39</v>
          </cell>
          <cell r="N248">
            <v>49</v>
          </cell>
          <cell r="O248" t="str">
            <v>7e47</v>
          </cell>
          <cell r="P248" t="str">
            <v>Sypha</v>
          </cell>
          <cell r="Q248" t="str">
            <v>Coin</v>
          </cell>
          <cell r="R248" t="str">
            <v>Kimono Armor</v>
          </cell>
          <cell r="S248" t="str">
            <v>Temptat</v>
          </cell>
          <cell r="T248"/>
          <cell r="U248"/>
          <cell r="V248"/>
          <cell r="W248"/>
          <cell r="X248" t="str">
            <v>Human</v>
          </cell>
        </row>
        <row r="249">
          <cell r="A249" t="str">
            <v>Samurai</v>
          </cell>
          <cell r="B249" t="str">
            <v>Samurai</v>
          </cell>
          <cell r="C249" t="str">
            <v>4</v>
          </cell>
          <cell r="D249" t="str">
            <v>0</v>
          </cell>
          <cell r="E249">
            <v>0</v>
          </cell>
          <cell r="F249" t="str">
            <v>40</v>
          </cell>
          <cell r="G249" t="str">
            <v>00</v>
          </cell>
          <cell r="H249" t="str">
            <v>0</v>
          </cell>
          <cell r="I249" t="str">
            <v>7</v>
          </cell>
          <cell r="J249">
            <v>551</v>
          </cell>
          <cell r="K249">
            <v>63</v>
          </cell>
          <cell r="L249">
            <v>60</v>
          </cell>
          <cell r="M249">
            <v>45</v>
          </cell>
          <cell r="N249">
            <v>56</v>
          </cell>
          <cell r="O249" t="str">
            <v>7e4f</v>
          </cell>
          <cell r="P249" t="str">
            <v>Muramas Sword</v>
          </cell>
          <cell r="Q249" t="str">
            <v>Katana</v>
          </cell>
          <cell r="R249" t="str">
            <v>Ninja Glove</v>
          </cell>
          <cell r="S249" t="str">
            <v>Kimono Armor</v>
          </cell>
          <cell r="T249" t="str">
            <v>Samurai Bow</v>
          </cell>
          <cell r="U249" t="str">
            <v>Cure Book</v>
          </cell>
          <cell r="V249"/>
          <cell r="W249"/>
          <cell r="X249" t="str">
            <v>Human</v>
          </cell>
        </row>
        <row r="250">
          <cell r="A250" t="str">
            <v>Guardian</v>
          </cell>
          <cell r="B250" t="str">
            <v>Guardian</v>
          </cell>
          <cell r="C250" t="str">
            <v>4</v>
          </cell>
          <cell r="D250" t="str">
            <v>0</v>
          </cell>
          <cell r="E250">
            <v>0</v>
          </cell>
          <cell r="F250" t="str">
            <v>40</v>
          </cell>
          <cell r="G250" t="str">
            <v>00</v>
          </cell>
          <cell r="H250" t="str">
            <v>0</v>
          </cell>
          <cell r="I250" t="str">
            <v>7</v>
          </cell>
          <cell r="J250">
            <v>700</v>
          </cell>
          <cell r="K250">
            <v>70</v>
          </cell>
          <cell r="L250">
            <v>80</v>
          </cell>
          <cell r="M250">
            <v>60</v>
          </cell>
          <cell r="N250">
            <v>70</v>
          </cell>
          <cell r="O250" t="str">
            <v>7e57</v>
          </cell>
          <cell r="P250" t="str">
            <v>Defend Sword</v>
          </cell>
          <cell r="Q250" t="str">
            <v>Vulcan Cannon</v>
          </cell>
          <cell r="R250" t="str">
            <v>Magnum</v>
          </cell>
          <cell r="S250" t="str">
            <v>Battle Armor</v>
          </cell>
          <cell r="T250" t="str">
            <v>Heal Staff</v>
          </cell>
          <cell r="U250" t="str">
            <v>Cure Book</v>
          </cell>
          <cell r="V250"/>
          <cell r="W250"/>
          <cell r="X250" t="str">
            <v>Human</v>
          </cell>
        </row>
        <row r="251">
          <cell r="A251" t="str">
            <v>Ancient</v>
          </cell>
          <cell r="B251" t="str">
            <v>Ancient</v>
          </cell>
          <cell r="C251" t="str">
            <v>5</v>
          </cell>
          <cell r="D251" t="str">
            <v>0</v>
          </cell>
          <cell r="E251">
            <v>0</v>
          </cell>
          <cell r="F251" t="str">
            <v>50</v>
          </cell>
          <cell r="G251" t="str">
            <v>00</v>
          </cell>
          <cell r="H251" t="str">
            <v>2</v>
          </cell>
          <cell r="I251" t="str">
            <v>7</v>
          </cell>
          <cell r="J251">
            <v>999</v>
          </cell>
          <cell r="K251">
            <v>99</v>
          </cell>
          <cell r="L251">
            <v>99</v>
          </cell>
          <cell r="M251">
            <v>99</v>
          </cell>
          <cell r="N251">
            <v>99</v>
          </cell>
          <cell r="O251" t="str">
            <v>7e5f</v>
          </cell>
          <cell r="P251" t="str">
            <v>Masmune Magi</v>
          </cell>
          <cell r="Q251" t="str">
            <v>Aegis Magi</v>
          </cell>
          <cell r="R251" t="str">
            <v>Heart Magi</v>
          </cell>
          <cell r="S251" t="str">
            <v>TrueEye</v>
          </cell>
          <cell r="T251" t="str">
            <v>Pegasus Magi</v>
          </cell>
          <cell r="U251" t="str">
            <v>Flare</v>
          </cell>
          <cell r="V251" t="str">
            <v>O-All</v>
          </cell>
          <cell r="W251" t="str">
            <v>Recover</v>
          </cell>
          <cell r="X251" t="str">
            <v>God</v>
          </cell>
        </row>
        <row r="252">
          <cell r="A252" t="str">
            <v>Haniwa</v>
          </cell>
          <cell r="B252" t="str">
            <v>Haniwa</v>
          </cell>
          <cell r="C252" t="str">
            <v>3</v>
          </cell>
          <cell r="D252" t="str">
            <v>c</v>
          </cell>
          <cell r="E252">
            <v>12</v>
          </cell>
          <cell r="F252" t="str">
            <v>3c</v>
          </cell>
          <cell r="G252" t="str">
            <v>8b</v>
          </cell>
          <cell r="H252" t="str">
            <v>2</v>
          </cell>
          <cell r="I252">
            <v>4</v>
          </cell>
          <cell r="J252">
            <v>10000</v>
          </cell>
          <cell r="K252">
            <v>90</v>
          </cell>
          <cell r="L252">
            <v>90</v>
          </cell>
          <cell r="M252">
            <v>90</v>
          </cell>
          <cell r="N252">
            <v>90</v>
          </cell>
          <cell r="O252" t="str">
            <v>7e67</v>
          </cell>
          <cell r="P252" t="str">
            <v>Bash</v>
          </cell>
          <cell r="Q252" t="str">
            <v>Quake</v>
          </cell>
          <cell r="R252" t="str">
            <v>Flare</v>
          </cell>
          <cell r="S252" t="str">
            <v>Seven Sword</v>
          </cell>
          <cell r="T252" t="str">
            <v>O-All</v>
          </cell>
          <cell r="U252" t="str">
            <v>Recover</v>
          </cell>
          <cell r="V252"/>
          <cell r="W252"/>
          <cell r="X252" t="str">
            <v>Spirit</v>
          </cell>
        </row>
        <row r="253">
          <cell r="A253" t="str">
            <v>Dolphin</v>
          </cell>
          <cell r="B253" t="str">
            <v>Dolphin</v>
          </cell>
          <cell r="C253" t="str">
            <v>4</v>
          </cell>
          <cell r="D253" t="str">
            <v>9</v>
          </cell>
          <cell r="E253">
            <v>9</v>
          </cell>
          <cell r="F253" t="str">
            <v>49</v>
          </cell>
          <cell r="G253" t="str">
            <v>8a</v>
          </cell>
          <cell r="H253" t="str">
            <v>2</v>
          </cell>
          <cell r="I253">
            <v>6</v>
          </cell>
          <cell r="J253">
            <v>5000</v>
          </cell>
          <cell r="K253">
            <v>60</v>
          </cell>
          <cell r="L253">
            <v>60</v>
          </cell>
          <cell r="M253">
            <v>60</v>
          </cell>
          <cell r="N253">
            <v>60</v>
          </cell>
          <cell r="O253" t="str">
            <v>7e6d</v>
          </cell>
          <cell r="P253" t="str">
            <v>Electroshock</v>
          </cell>
          <cell r="Q253" t="str">
            <v>Fin</v>
          </cell>
          <cell r="R253" t="str">
            <v>Whirl</v>
          </cell>
          <cell r="S253" t="str">
            <v>Tusk</v>
          </cell>
          <cell r="T253" t="str">
            <v>Thunder</v>
          </cell>
          <cell r="U253" t="str">
            <v>Tail</v>
          </cell>
          <cell r="V253" t="str">
            <v>O-Quake</v>
          </cell>
          <cell r="W253" t="str">
            <v>O-Fire</v>
          </cell>
          <cell r="X253" t="str">
            <v>Aquatic</v>
          </cell>
        </row>
        <row r="254">
          <cell r="A254" t="str">
            <v>OdinCrow</v>
          </cell>
          <cell r="B254" t="str">
            <v>OdinCrow</v>
          </cell>
          <cell r="C254" t="str">
            <v>2</v>
          </cell>
          <cell r="D254" t="str">
            <v>7</v>
          </cell>
          <cell r="E254">
            <v>7</v>
          </cell>
          <cell r="F254" t="str">
            <v>27</v>
          </cell>
          <cell r="G254" t="str">
            <v>16</v>
          </cell>
          <cell r="H254" t="str">
            <v>2</v>
          </cell>
          <cell r="I254">
            <v>4</v>
          </cell>
          <cell r="J254">
            <v>669</v>
          </cell>
          <cell r="K254">
            <v>75</v>
          </cell>
          <cell r="L254">
            <v>85</v>
          </cell>
          <cell r="M254">
            <v>79</v>
          </cell>
          <cell r="N254">
            <v>69</v>
          </cell>
          <cell r="O254" t="str">
            <v>7bdf</v>
          </cell>
          <cell r="P254" t="str">
            <v>Nail</v>
          </cell>
          <cell r="Q254" t="str">
            <v>Beak</v>
          </cell>
          <cell r="R254" t="str">
            <v>Blind</v>
          </cell>
          <cell r="S254" t="str">
            <v>Tornado</v>
          </cell>
          <cell r="T254" t="str">
            <v>Surprise</v>
          </cell>
          <cell r="U254" t="str">
            <v>Warning</v>
          </cell>
          <cell r="V254" t="str">
            <v>O-Quake</v>
          </cell>
          <cell r="W254"/>
          <cell r="X254" t="str">
            <v>Flyer</v>
          </cell>
        </row>
        <row r="255">
          <cell r="A255" t="str">
            <v>WarMach</v>
          </cell>
          <cell r="B255" t="str">
            <v>WarMach</v>
          </cell>
          <cell r="C255" t="str">
            <v>3</v>
          </cell>
          <cell r="D255" t="str">
            <v>e</v>
          </cell>
          <cell r="E255">
            <v>14</v>
          </cell>
          <cell r="F255" t="str">
            <v>3e</v>
          </cell>
          <cell r="G255" t="str">
            <v>51</v>
          </cell>
          <cell r="H255" t="str">
            <v>3</v>
          </cell>
          <cell r="I255" t="str">
            <v>4</v>
          </cell>
          <cell r="J255">
            <v>10000</v>
          </cell>
          <cell r="K255">
            <v>120</v>
          </cell>
          <cell r="L255">
            <v>60</v>
          </cell>
          <cell r="M255">
            <v>0</v>
          </cell>
          <cell r="N255">
            <v>90</v>
          </cell>
          <cell r="O255" t="str">
            <v>7e7a</v>
          </cell>
          <cell r="P255" t="str">
            <v>Missile</v>
          </cell>
          <cell r="Q255" t="str">
            <v>NukeBomb</v>
          </cell>
          <cell r="R255" t="str">
            <v>Bash</v>
          </cell>
          <cell r="S255" t="str">
            <v>ParaNail</v>
          </cell>
          <cell r="T255" t="str">
            <v>O-Pa/Po</v>
          </cell>
          <cell r="U255"/>
          <cell r="V255"/>
          <cell r="W255"/>
          <cell r="X255" t="str">
            <v>Robot</v>
          </cell>
        </row>
        <row r="256">
          <cell r="A256" t="str">
            <v>Human M</v>
          </cell>
          <cell r="B256" t="str">
            <v>Human M</v>
          </cell>
          <cell r="C256">
            <v>0</v>
          </cell>
          <cell r="D256" t="str">
            <v>0</v>
          </cell>
          <cell r="E256">
            <v>0</v>
          </cell>
          <cell r="F256">
            <v>10</v>
          </cell>
          <cell r="G256" t="str">
            <v>00</v>
          </cell>
          <cell r="H256" t="str">
            <v>0</v>
          </cell>
          <cell r="I256" t="str">
            <v>1</v>
          </cell>
          <cell r="J256">
            <v>59</v>
          </cell>
          <cell r="K256">
            <v>6</v>
          </cell>
          <cell r="L256">
            <v>5</v>
          </cell>
          <cell r="M256">
            <v>3</v>
          </cell>
          <cell r="N256">
            <v>3</v>
          </cell>
          <cell r="O256" t="str">
            <v>7e7f</v>
          </cell>
          <cell r="P256" t="str">
            <v>Long Sword</v>
          </cell>
          <cell r="Q256" t="str">
            <v>Bronze Armor</v>
          </cell>
          <cell r="R256"/>
          <cell r="S256"/>
          <cell r="T256"/>
          <cell r="U256"/>
          <cell r="V256"/>
          <cell r="W256"/>
          <cell r="X256" t="str">
            <v>Human</v>
          </cell>
        </row>
        <row r="257">
          <cell r="A257" t="str">
            <v>Human F</v>
          </cell>
          <cell r="B257" t="str">
            <v>Human F</v>
          </cell>
          <cell r="C257">
            <v>0</v>
          </cell>
          <cell r="D257" t="str">
            <v>0</v>
          </cell>
          <cell r="E257">
            <v>0</v>
          </cell>
          <cell r="F257">
            <v>10</v>
          </cell>
          <cell r="G257" t="str">
            <v>00</v>
          </cell>
          <cell r="H257" t="str">
            <v>0</v>
          </cell>
          <cell r="I257" t="str">
            <v>1</v>
          </cell>
          <cell r="J257">
            <v>52</v>
          </cell>
          <cell r="K257">
            <v>5</v>
          </cell>
          <cell r="L257">
            <v>6</v>
          </cell>
          <cell r="M257">
            <v>4</v>
          </cell>
          <cell r="N257">
            <v>3</v>
          </cell>
          <cell r="O257" t="str">
            <v>7e81</v>
          </cell>
          <cell r="P257" t="str">
            <v>Rapier</v>
          </cell>
          <cell r="Q257" t="str">
            <v>Bronze Armor</v>
          </cell>
          <cell r="R257"/>
          <cell r="S257"/>
          <cell r="T257"/>
          <cell r="U257"/>
          <cell r="V257"/>
          <cell r="W257"/>
          <cell r="X257" t="str">
            <v>Human</v>
          </cell>
        </row>
        <row r="258">
          <cell r="A258" t="str">
            <v>Mutant M</v>
          </cell>
          <cell r="B258" t="str">
            <v>Mutant M</v>
          </cell>
          <cell r="C258">
            <v>1</v>
          </cell>
          <cell r="D258" t="str">
            <v>0</v>
          </cell>
          <cell r="E258">
            <v>0</v>
          </cell>
          <cell r="F258">
            <v>20</v>
          </cell>
          <cell r="G258" t="str">
            <v>00</v>
          </cell>
          <cell r="H258" t="str">
            <v>1</v>
          </cell>
          <cell r="I258" t="str">
            <v>2</v>
          </cell>
          <cell r="J258">
            <v>52</v>
          </cell>
          <cell r="K258">
            <v>5</v>
          </cell>
          <cell r="L258">
            <v>4</v>
          </cell>
          <cell r="M258">
            <v>6</v>
          </cell>
          <cell r="N258">
            <v>3</v>
          </cell>
          <cell r="O258" t="str">
            <v>7e83</v>
          </cell>
          <cell r="P258" t="str">
            <v>Hammer</v>
          </cell>
          <cell r="Q258" t="str">
            <v>Blizzard</v>
          </cell>
          <cell r="R258" t="str">
            <v>Bronze Armor</v>
          </cell>
          <cell r="S258"/>
          <cell r="T258"/>
          <cell r="U258"/>
          <cell r="V258"/>
          <cell r="W258"/>
          <cell r="X258" t="str">
            <v>Mutant</v>
          </cell>
        </row>
        <row r="259">
          <cell r="A259" t="str">
            <v>Mutant F</v>
          </cell>
          <cell r="B259" t="str">
            <v>Mutant F</v>
          </cell>
          <cell r="C259">
            <v>1</v>
          </cell>
          <cell r="D259" t="str">
            <v>0</v>
          </cell>
          <cell r="E259">
            <v>0</v>
          </cell>
          <cell r="F259" t="str">
            <v>20</v>
          </cell>
          <cell r="G259" t="str">
            <v>00</v>
          </cell>
          <cell r="H259" t="str">
            <v>1</v>
          </cell>
          <cell r="I259" t="str">
            <v>2</v>
          </cell>
          <cell r="J259">
            <v>45</v>
          </cell>
          <cell r="K259">
            <v>4</v>
          </cell>
          <cell r="L259">
            <v>5</v>
          </cell>
          <cell r="M259">
            <v>6</v>
          </cell>
          <cell r="N259">
            <v>3</v>
          </cell>
          <cell r="O259" t="str">
            <v>7e86</v>
          </cell>
          <cell r="P259" t="str">
            <v>Bow</v>
          </cell>
          <cell r="Q259" t="str">
            <v>Flame</v>
          </cell>
          <cell r="R259" t="str">
            <v>Bronze Armor</v>
          </cell>
          <cell r="S259"/>
          <cell r="T259"/>
          <cell r="U259"/>
          <cell r="V259"/>
          <cell r="W259"/>
          <cell r="X259" t="str">
            <v>Mutant</v>
          </cell>
        </row>
        <row r="260">
          <cell r="A260" t="str">
            <v>Robot</v>
          </cell>
          <cell r="B260" t="str">
            <v>Robot</v>
          </cell>
          <cell r="C260">
            <v>0</v>
          </cell>
          <cell r="D260" t="str">
            <v>0</v>
          </cell>
          <cell r="E260">
            <v>0</v>
          </cell>
          <cell r="F260" t="str">
            <v>10</v>
          </cell>
          <cell r="G260" t="str">
            <v>00</v>
          </cell>
          <cell r="H260" t="str">
            <v>3</v>
          </cell>
          <cell r="I260" t="str">
            <v>1</v>
          </cell>
          <cell r="J260">
            <v>60</v>
          </cell>
          <cell r="K260">
            <v>6</v>
          </cell>
          <cell r="L260">
            <v>5</v>
          </cell>
          <cell r="M260">
            <v>0</v>
          </cell>
          <cell r="N260">
            <v>6</v>
          </cell>
          <cell r="O260" t="str">
            <v>7e89</v>
          </cell>
          <cell r="P260" t="str">
            <v>Colt</v>
          </cell>
          <cell r="Q260" t="str">
            <v>O-Pa/Po</v>
          </cell>
          <cell r="R260"/>
          <cell r="S260"/>
          <cell r="T260"/>
          <cell r="U260"/>
          <cell r="V260"/>
          <cell r="W260"/>
          <cell r="X260" t="str">
            <v>Robot</v>
          </cell>
        </row>
        <row r="261">
          <cell r="A261" t="str">
            <v>Ooze</v>
          </cell>
          <cell r="B261" t="str">
            <v>Ooze</v>
          </cell>
          <cell r="C261">
            <v>0</v>
          </cell>
          <cell r="D261" t="str">
            <v>1</v>
          </cell>
          <cell r="E261">
            <v>1</v>
          </cell>
          <cell r="F261" t="str">
            <v>11</v>
          </cell>
          <cell r="G261" t="str">
            <v>00</v>
          </cell>
          <cell r="H261" t="str">
            <v>2</v>
          </cell>
          <cell r="I261" t="str">
            <v>1</v>
          </cell>
          <cell r="J261">
            <v>52</v>
          </cell>
          <cell r="K261">
            <v>5</v>
          </cell>
          <cell r="L261">
            <v>2</v>
          </cell>
          <cell r="M261">
            <v>6</v>
          </cell>
          <cell r="N261">
            <v>5</v>
          </cell>
          <cell r="O261" t="str">
            <v>7e8b</v>
          </cell>
          <cell r="P261" t="str">
            <v>Dissolve</v>
          </cell>
          <cell r="Q261" t="str">
            <v>P-Skin</v>
          </cell>
          <cell r="R261" t="str">
            <v>X-Fire</v>
          </cell>
          <cell r="S261"/>
          <cell r="T261"/>
          <cell r="U261"/>
          <cell r="V261"/>
          <cell r="W261"/>
          <cell r="X261" t="str">
            <v>Aberration</v>
          </cell>
        </row>
        <row r="262">
          <cell r="A262" t="str">
            <v>Hatchling</v>
          </cell>
          <cell r="B262" t="str">
            <v>Hatchling</v>
          </cell>
          <cell r="C262" t="str">
            <v>1</v>
          </cell>
          <cell r="D262" t="str">
            <v>1</v>
          </cell>
          <cell r="E262">
            <v>1</v>
          </cell>
          <cell r="F262" t="str">
            <v>11</v>
          </cell>
          <cell r="G262" t="str">
            <v>00</v>
          </cell>
          <cell r="H262" t="str">
            <v>2</v>
          </cell>
          <cell r="I262" t="str">
            <v>2</v>
          </cell>
          <cell r="J262">
            <v>45</v>
          </cell>
          <cell r="K262">
            <v>5</v>
          </cell>
          <cell r="L262">
            <v>2</v>
          </cell>
          <cell r="M262">
            <v>6</v>
          </cell>
          <cell r="N262">
            <v>5</v>
          </cell>
          <cell r="O262" t="str">
            <v>7e8d</v>
          </cell>
          <cell r="P262" t="str">
            <v>Nail</v>
          </cell>
          <cell r="Q262" t="str">
            <v>Flame</v>
          </cell>
          <cell r="R262" t="str">
            <v>O-Quake</v>
          </cell>
          <cell r="S262"/>
          <cell r="T262"/>
          <cell r="U262"/>
          <cell r="V262"/>
          <cell r="W262"/>
          <cell r="X262" t="str">
            <v>Great Reptile</v>
          </cell>
        </row>
        <row r="263">
          <cell r="A263" t="str">
            <v>Imp</v>
          </cell>
          <cell r="B263" t="str">
            <v>Imp</v>
          </cell>
          <cell r="C263">
            <v>2</v>
          </cell>
          <cell r="D263" t="str">
            <v>1</v>
          </cell>
          <cell r="E263">
            <v>1</v>
          </cell>
          <cell r="F263" t="str">
            <v>11</v>
          </cell>
          <cell r="G263" t="str">
            <v>00</v>
          </cell>
          <cell r="H263" t="str">
            <v>2</v>
          </cell>
          <cell r="I263" t="str">
            <v>1</v>
          </cell>
          <cell r="J263">
            <v>45</v>
          </cell>
          <cell r="K263">
            <v>5</v>
          </cell>
          <cell r="L263">
            <v>5</v>
          </cell>
          <cell r="M263">
            <v>6</v>
          </cell>
          <cell r="N263">
            <v>5</v>
          </cell>
          <cell r="O263" t="str">
            <v>7e90</v>
          </cell>
          <cell r="P263" t="str">
            <v>Nail</v>
          </cell>
          <cell r="Q263" t="str">
            <v>Sleep</v>
          </cell>
          <cell r="R263" t="str">
            <v>Fire</v>
          </cell>
          <cell r="S263"/>
          <cell r="T263"/>
          <cell r="U263"/>
          <cell r="V263"/>
          <cell r="W263"/>
          <cell r="X263" t="str">
            <v>Spirit</v>
          </cell>
        </row>
        <row r="264">
          <cell r="A264" t="str">
            <v>Ashura</v>
          </cell>
          <cell r="B264" t="str">
            <v>Ashura</v>
          </cell>
          <cell r="C264" t="str">
            <v>3</v>
          </cell>
          <cell r="D264" t="str">
            <v>7</v>
          </cell>
          <cell r="E264">
            <v>7</v>
          </cell>
          <cell r="F264">
            <v>37</v>
          </cell>
          <cell r="G264" t="str">
            <v>40</v>
          </cell>
          <cell r="H264" t="str">
            <v>2</v>
          </cell>
          <cell r="I264" t="str">
            <v>4</v>
          </cell>
          <cell r="J264">
            <v>900</v>
          </cell>
          <cell r="K264">
            <v>18</v>
          </cell>
          <cell r="L264">
            <v>18</v>
          </cell>
          <cell r="M264">
            <v>17</v>
          </cell>
          <cell r="N264">
            <v>18</v>
          </cell>
          <cell r="O264" t="str">
            <v>7e92</v>
          </cell>
          <cell r="P264" t="str">
            <v>6-Arms</v>
          </cell>
          <cell r="Q264" t="str">
            <v>Flame</v>
          </cell>
          <cell r="R264" t="str">
            <v>Sleep</v>
          </cell>
          <cell r="S264" t="str">
            <v>Axe</v>
          </cell>
          <cell r="T264" t="str">
            <v>O-Damage</v>
          </cell>
          <cell r="U264"/>
          <cell r="V264"/>
          <cell r="W264"/>
          <cell r="X264" t="str">
            <v>God</v>
          </cell>
        </row>
        <row r="265">
          <cell r="A265" t="str">
            <v>Venus</v>
          </cell>
          <cell r="B265" t="str">
            <v>Venus</v>
          </cell>
          <cell r="C265" t="str">
            <v>3</v>
          </cell>
          <cell r="D265" t="str">
            <v>9</v>
          </cell>
          <cell r="E265">
            <v>9</v>
          </cell>
          <cell r="F265" t="str">
            <v>39</v>
          </cell>
          <cell r="G265" t="str">
            <v>30</v>
          </cell>
          <cell r="H265" t="str">
            <v>0</v>
          </cell>
          <cell r="I265" t="str">
            <v>4</v>
          </cell>
          <cell r="J265">
            <v>2500</v>
          </cell>
          <cell r="K265">
            <v>52</v>
          </cell>
          <cell r="L265">
            <v>52</v>
          </cell>
          <cell r="M265">
            <v>52</v>
          </cell>
          <cell r="N265">
            <v>52</v>
          </cell>
          <cell r="O265" t="str">
            <v>7e97</v>
          </cell>
          <cell r="P265" t="str">
            <v>Charm</v>
          </cell>
          <cell r="Q265" t="str">
            <v>Blitz Whip</v>
          </cell>
          <cell r="R265" t="str">
            <v>Flame</v>
          </cell>
          <cell r="S265" t="str">
            <v>Slay</v>
          </cell>
          <cell r="T265" t="str">
            <v>O-Damage</v>
          </cell>
          <cell r="U265"/>
          <cell r="V265"/>
          <cell r="W265"/>
          <cell r="X265" t="str">
            <v>God</v>
          </cell>
        </row>
        <row r="266">
          <cell r="A266" t="str">
            <v>Sho-gun</v>
          </cell>
          <cell r="B266" t="str">
            <v>Sho-gun</v>
          </cell>
          <cell r="C266" t="str">
            <v>3</v>
          </cell>
          <cell r="D266" t="str">
            <v>7</v>
          </cell>
          <cell r="E266">
            <v>7</v>
          </cell>
          <cell r="F266" t="str">
            <v>37</v>
          </cell>
          <cell r="G266" t="str">
            <v>89</v>
          </cell>
          <cell r="H266" t="str">
            <v>0</v>
          </cell>
          <cell r="I266" t="str">
            <v>4</v>
          </cell>
          <cell r="J266">
            <v>2000</v>
          </cell>
          <cell r="K266">
            <v>41</v>
          </cell>
          <cell r="L266">
            <v>41</v>
          </cell>
          <cell r="M266">
            <v>41</v>
          </cell>
          <cell r="N266">
            <v>41</v>
          </cell>
          <cell r="O266" t="str">
            <v>7e9c</v>
          </cell>
          <cell r="P266" t="str">
            <v>Riddle</v>
          </cell>
          <cell r="Q266" t="str">
            <v>PoisonGas</v>
          </cell>
          <cell r="R266" t="str">
            <v>SleepGas</v>
          </cell>
          <cell r="S266" t="str">
            <v>Katana</v>
          </cell>
          <cell r="T266" t="str">
            <v>O-Change</v>
          </cell>
          <cell r="U266"/>
          <cell r="V266"/>
          <cell r="W266"/>
          <cell r="X266" t="str">
            <v>Human</v>
          </cell>
        </row>
        <row r="267">
          <cell r="A267" t="str">
            <v>Magnate</v>
          </cell>
          <cell r="B267" t="str">
            <v>Magnate</v>
          </cell>
          <cell r="C267" t="str">
            <v>3</v>
          </cell>
          <cell r="D267" t="str">
            <v>c</v>
          </cell>
          <cell r="E267">
            <v>12</v>
          </cell>
          <cell r="F267" t="str">
            <v>3c</v>
          </cell>
          <cell r="G267" t="str">
            <v>41</v>
          </cell>
          <cell r="H267" t="str">
            <v>0</v>
          </cell>
          <cell r="I267" t="str">
            <v>5</v>
          </cell>
          <cell r="J267">
            <v>6000</v>
          </cell>
          <cell r="K267">
            <v>63</v>
          </cell>
          <cell r="L267">
            <v>63</v>
          </cell>
          <cell r="M267">
            <v>63</v>
          </cell>
          <cell r="N267">
            <v>63</v>
          </cell>
          <cell r="O267" t="str">
            <v>7ea1</v>
          </cell>
          <cell r="P267" t="str">
            <v>Katana</v>
          </cell>
          <cell r="Q267" t="str">
            <v>Thunder</v>
          </cell>
          <cell r="R267" t="str">
            <v>Tornado</v>
          </cell>
          <cell r="S267" t="str">
            <v>Vulcan Cannon</v>
          </cell>
          <cell r="T267" t="str">
            <v>Stone</v>
          </cell>
          <cell r="U267" t="str">
            <v>O-Change</v>
          </cell>
          <cell r="V267"/>
          <cell r="W267"/>
          <cell r="X267" t="str">
            <v>God</v>
          </cell>
        </row>
        <row r="268">
          <cell r="A268" t="str">
            <v>Odin</v>
          </cell>
          <cell r="B268" t="str">
            <v>Odin</v>
          </cell>
          <cell r="C268" t="str">
            <v>3</v>
          </cell>
          <cell r="D268" t="str">
            <v>d</v>
          </cell>
          <cell r="E268">
            <v>13</v>
          </cell>
          <cell r="F268" t="str">
            <v>3d</v>
          </cell>
          <cell r="G268" t="str">
            <v>31</v>
          </cell>
          <cell r="H268" t="str">
            <v>0</v>
          </cell>
          <cell r="I268" t="str">
            <v>4</v>
          </cell>
          <cell r="J268">
            <v>3700</v>
          </cell>
          <cell r="K268">
            <v>75</v>
          </cell>
          <cell r="L268">
            <v>75</v>
          </cell>
          <cell r="M268">
            <v>68</v>
          </cell>
          <cell r="N268">
            <v>75</v>
          </cell>
          <cell r="O268" t="str">
            <v>7ea7</v>
          </cell>
          <cell r="P268" t="str">
            <v>Gungnir</v>
          </cell>
          <cell r="Q268" t="str">
            <v>Lightning</v>
          </cell>
          <cell r="R268" t="str">
            <v>Ice</v>
          </cell>
          <cell r="S268" t="str">
            <v>Cure</v>
          </cell>
          <cell r="T268" t="str">
            <v>O-Change</v>
          </cell>
          <cell r="U268"/>
          <cell r="V268"/>
          <cell r="W268"/>
          <cell r="X268" t="str">
            <v>God</v>
          </cell>
        </row>
        <row r="269">
          <cell r="A269" t="str">
            <v>Minion</v>
          </cell>
          <cell r="B269" t="str">
            <v>Minion</v>
          </cell>
          <cell r="C269" t="str">
            <v>4</v>
          </cell>
          <cell r="D269" t="str">
            <v>e</v>
          </cell>
          <cell r="E269">
            <v>14</v>
          </cell>
          <cell r="F269" t="str">
            <v>4e</v>
          </cell>
          <cell r="G269" t="str">
            <v>50</v>
          </cell>
          <cell r="H269" t="str">
            <v>2</v>
          </cell>
          <cell r="I269" t="str">
            <v>4</v>
          </cell>
          <cell r="J269">
            <v>5000</v>
          </cell>
          <cell r="K269">
            <v>63</v>
          </cell>
          <cell r="L269">
            <v>63</v>
          </cell>
          <cell r="M269">
            <v>57</v>
          </cell>
          <cell r="N269">
            <v>63</v>
          </cell>
          <cell r="O269" t="str">
            <v>7eac</v>
          </cell>
          <cell r="P269" t="str">
            <v>Flame</v>
          </cell>
          <cell r="Q269" t="str">
            <v>Gas</v>
          </cell>
          <cell r="R269" t="str">
            <v>Tornado</v>
          </cell>
          <cell r="S269" t="str">
            <v>Blizzard</v>
          </cell>
          <cell r="T269" t="str">
            <v>Lightning</v>
          </cell>
          <cell r="U269"/>
          <cell r="V269"/>
          <cell r="W269"/>
          <cell r="X269" t="str">
            <v>Flyer</v>
          </cell>
        </row>
        <row r="270">
          <cell r="A270" t="str">
            <v>Apollo</v>
          </cell>
          <cell r="B270" t="str">
            <v>Apollo</v>
          </cell>
          <cell r="C270"/>
          <cell r="D270"/>
          <cell r="E270">
            <v>0</v>
          </cell>
          <cell r="F270" t="str">
            <v>of</v>
          </cell>
          <cell r="G270" t="str">
            <v>32</v>
          </cell>
          <cell r="H270" t="str">
            <v>0</v>
          </cell>
          <cell r="I270" t="str">
            <v>1</v>
          </cell>
          <cell r="J270">
            <v>25000</v>
          </cell>
          <cell r="K270">
            <v>99</v>
          </cell>
          <cell r="L270">
            <v>99</v>
          </cell>
          <cell r="M270">
            <v>80</v>
          </cell>
          <cell r="N270">
            <v>99</v>
          </cell>
          <cell r="O270" t="str">
            <v>7eb1</v>
          </cell>
          <cell r="P270" t="str">
            <v>Flare</v>
          </cell>
          <cell r="Q270" t="str">
            <v>O-All</v>
          </cell>
          <cell r="R270"/>
          <cell r="S270"/>
          <cell r="T270"/>
          <cell r="U270"/>
          <cell r="V270"/>
          <cell r="W270"/>
          <cell r="X270" t="str">
            <v>God</v>
          </cell>
        </row>
        <row r="271">
          <cell r="A271" t="str">
            <v>Arsenal</v>
          </cell>
          <cell r="B271" t="str">
            <v>Arsenal</v>
          </cell>
          <cell r="C271"/>
          <cell r="D271"/>
          <cell r="E271">
            <v>0</v>
          </cell>
          <cell r="F271" t="str">
            <v>00</v>
          </cell>
          <cell r="G271" t="str">
            <v>60</v>
          </cell>
          <cell r="H271" t="str">
            <v>3</v>
          </cell>
          <cell r="I271" t="str">
            <v>1</v>
          </cell>
          <cell r="J271">
            <v>10000</v>
          </cell>
          <cell r="K271">
            <v>99</v>
          </cell>
          <cell r="L271">
            <v>99</v>
          </cell>
          <cell r="M271">
            <v>120</v>
          </cell>
          <cell r="N271">
            <v>99</v>
          </cell>
          <cell r="O271" t="str">
            <v>7eb3</v>
          </cell>
          <cell r="P271" t="str">
            <v>Smasher</v>
          </cell>
          <cell r="Q271" t="str">
            <v>O-Change</v>
          </cell>
          <cell r="R271"/>
          <cell r="S271"/>
          <cell r="T271"/>
          <cell r="U271"/>
          <cell r="V271"/>
          <cell r="W271"/>
          <cell r="X271" t="str">
            <v>Robot</v>
          </cell>
        </row>
        <row r="272">
          <cell r="A272" t="str">
            <v>Jerk</v>
          </cell>
          <cell r="B272" t="str">
            <v>Jerk</v>
          </cell>
          <cell r="C272">
            <v>0</v>
          </cell>
          <cell r="E272">
            <v>0</v>
          </cell>
          <cell r="H272">
            <v>1</v>
          </cell>
          <cell r="I272">
            <v>0</v>
          </cell>
          <cell r="J272">
            <v>1000</v>
          </cell>
          <cell r="K272">
            <v>1</v>
          </cell>
          <cell r="L272">
            <v>20</v>
          </cell>
          <cell r="M272">
            <v>20</v>
          </cell>
          <cell r="N272">
            <v>20</v>
          </cell>
          <cell r="P272" t="str">
            <v>Ice</v>
          </cell>
          <cell r="Q272"/>
          <cell r="X272" t="str">
            <v>Mutant</v>
          </cell>
        </row>
        <row r="273">
          <cell r="A273" t="str">
            <v>SuperJerk</v>
          </cell>
          <cell r="B273" t="str">
            <v>SuperJerk</v>
          </cell>
          <cell r="C273">
            <v>3</v>
          </cell>
          <cell r="E273">
            <v>0</v>
          </cell>
          <cell r="H273">
            <v>1</v>
          </cell>
          <cell r="J273">
            <v>1000</v>
          </cell>
          <cell r="K273">
            <v>15</v>
          </cell>
          <cell r="L273">
            <v>50</v>
          </cell>
          <cell r="M273">
            <v>40</v>
          </cell>
          <cell r="N273">
            <v>30</v>
          </cell>
          <cell r="P273" t="str">
            <v>MadSong</v>
          </cell>
          <cell r="Q273" t="str">
            <v>PoisonBurst</v>
          </cell>
          <cell r="R273" t="str">
            <v>Stone</v>
          </cell>
          <cell r="S273" t="str">
            <v>Wizard Staff</v>
          </cell>
          <cell r="T273" t="str">
            <v>CursSong</v>
          </cell>
          <cell r="U273" t="str">
            <v>O-Weapon</v>
          </cell>
          <cell r="X273" t="str">
            <v>Mutant</v>
          </cell>
        </row>
        <row r="274">
          <cell r="A274" t="str">
            <v>Human</v>
          </cell>
          <cell r="B274" t="str">
            <v>Human</v>
          </cell>
          <cell r="X274" t="str">
            <v>Human</v>
          </cell>
        </row>
        <row r="275">
          <cell r="A275" t="str">
            <v>Mutant</v>
          </cell>
          <cell r="B275" t="str">
            <v>Mutant</v>
          </cell>
          <cell r="X275" t="str">
            <v>Mutant</v>
          </cell>
        </row>
        <row r="276">
          <cell r="A276" t="str">
            <v>DustDevil</v>
          </cell>
          <cell r="B276" t="str">
            <v>DustDevil</v>
          </cell>
          <cell r="C276">
            <v>3</v>
          </cell>
          <cell r="D276"/>
          <cell r="E276">
            <v>4</v>
          </cell>
          <cell r="F276"/>
          <cell r="G276"/>
          <cell r="H276">
            <v>2</v>
          </cell>
          <cell r="I276">
            <v>3</v>
          </cell>
          <cell r="J276">
            <v>600</v>
          </cell>
          <cell r="K276">
            <v>18</v>
          </cell>
          <cell r="L276">
            <v>18</v>
          </cell>
          <cell r="M276">
            <v>15</v>
          </cell>
          <cell r="N276">
            <v>13</v>
          </cell>
          <cell r="O276"/>
          <cell r="P276" t="str">
            <v>Wind Up</v>
          </cell>
          <cell r="Q276" t="str">
            <v>Envelop</v>
          </cell>
          <cell r="R276" t="str">
            <v>Windstorm</v>
          </cell>
          <cell r="S276" t="str">
            <v>Sandblast</v>
          </cell>
          <cell r="T276" t="str">
            <v>O-Pa/Po</v>
          </cell>
          <cell r="U276"/>
          <cell r="V276"/>
          <cell r="W276"/>
          <cell r="X276" t="str">
            <v>Spirit</v>
          </cell>
        </row>
        <row r="277">
          <cell r="A277" t="str">
            <v>BlackTortoise</v>
          </cell>
          <cell r="B277" t="str">
            <v>BlackTortoise</v>
          </cell>
          <cell r="C277">
            <v>16</v>
          </cell>
          <cell r="E277">
            <v>11</v>
          </cell>
          <cell r="H277">
            <v>2</v>
          </cell>
          <cell r="I277">
            <v>5</v>
          </cell>
          <cell r="J277">
            <v>1500</v>
          </cell>
          <cell r="K277">
            <v>45</v>
          </cell>
          <cell r="L277">
            <v>50</v>
          </cell>
          <cell r="M277">
            <v>45</v>
          </cell>
          <cell r="N277">
            <v>45</v>
          </cell>
          <cell r="P277" t="str">
            <v>Tusk</v>
          </cell>
          <cell r="Q277" t="str">
            <v>Gas</v>
          </cell>
          <cell r="R277" t="str">
            <v>Crush</v>
          </cell>
          <cell r="S277" t="str">
            <v>SleepGas</v>
          </cell>
          <cell r="T277" t="str">
            <v>TallTallScienceScience</v>
          </cell>
          <cell r="U277" t="str">
            <v>O-Change</v>
          </cell>
          <cell r="V277" t="str">
            <v>Recover</v>
          </cell>
          <cell r="W277" t="str">
            <v>O-Quake</v>
          </cell>
          <cell r="X277" t="str">
            <v>Reptile</v>
          </cell>
        </row>
        <row r="278">
          <cell r="A278" t="str">
            <v>AzureDragon</v>
          </cell>
          <cell r="B278" t="str">
            <v>AzureDragon</v>
          </cell>
          <cell r="C278">
            <v>16</v>
          </cell>
          <cell r="E278">
            <v>11</v>
          </cell>
          <cell r="H278">
            <v>2</v>
          </cell>
          <cell r="I278">
            <v>5</v>
          </cell>
          <cell r="J278">
            <v>2500</v>
          </cell>
          <cell r="K278">
            <v>50</v>
          </cell>
          <cell r="L278">
            <v>45</v>
          </cell>
          <cell r="M278">
            <v>45</v>
          </cell>
          <cell r="N278">
            <v>50</v>
          </cell>
          <cell r="P278" t="str">
            <v>Bite</v>
          </cell>
          <cell r="Q278" t="str">
            <v>Gas</v>
          </cell>
          <cell r="R278" t="str">
            <v>Lightning</v>
          </cell>
          <cell r="S278" t="str">
            <v>Constrict</v>
          </cell>
          <cell r="T278" t="str">
            <v>Whirl</v>
          </cell>
          <cell r="U278" t="str">
            <v>O-Ice</v>
          </cell>
          <cell r="V278" t="str">
            <v>Recover</v>
          </cell>
          <cell r="W278" t="str">
            <v>O-Quake</v>
          </cell>
          <cell r="X278" t="str">
            <v>Great Reptile</v>
          </cell>
        </row>
        <row r="279">
          <cell r="A279" t="str">
            <v>WhiteTiger</v>
          </cell>
          <cell r="B279" t="str">
            <v>WhiteTiger</v>
          </cell>
          <cell r="C279">
            <v>16</v>
          </cell>
          <cell r="D279" t="str">
            <v>B</v>
          </cell>
          <cell r="E279">
            <v>11</v>
          </cell>
          <cell r="F279" t="str">
            <v>4B</v>
          </cell>
          <cell r="G279" t="str">
            <v>2c</v>
          </cell>
          <cell r="H279">
            <v>2</v>
          </cell>
          <cell r="I279">
            <v>5</v>
          </cell>
          <cell r="J279">
            <v>2250</v>
          </cell>
          <cell r="K279">
            <v>50</v>
          </cell>
          <cell r="L279">
            <v>45</v>
          </cell>
          <cell r="M279">
            <v>50</v>
          </cell>
          <cell r="N279">
            <v>50</v>
          </cell>
          <cell r="P279" t="str">
            <v>2-Swords</v>
          </cell>
          <cell r="Q279" t="str">
            <v>Ice</v>
          </cell>
          <cell r="R279" t="str">
            <v>A Proper Thrashing</v>
          </cell>
          <cell r="S279" t="str">
            <v>Flash</v>
          </cell>
          <cell r="T279" t="str">
            <v>Tornado</v>
          </cell>
          <cell r="U279" t="str">
            <v>O-Thunder</v>
          </cell>
          <cell r="V279" t="str">
            <v>Recover</v>
          </cell>
          <cell r="X279" t="str">
            <v>Beast</v>
          </cell>
        </row>
        <row r="280">
          <cell r="A280" t="str">
            <v>VermilionBird</v>
          </cell>
          <cell r="B280" t="str">
            <v>VermilionBird</v>
          </cell>
          <cell r="C280">
            <v>16</v>
          </cell>
          <cell r="E280">
            <v>11</v>
          </cell>
          <cell r="H280">
            <v>2</v>
          </cell>
          <cell r="I280">
            <v>5</v>
          </cell>
          <cell r="J280">
            <v>3000</v>
          </cell>
          <cell r="K280">
            <v>50</v>
          </cell>
          <cell r="L280">
            <v>50</v>
          </cell>
          <cell r="M280">
            <v>50</v>
          </cell>
          <cell r="N280">
            <v>50</v>
          </cell>
          <cell r="P280" t="str">
            <v>Beak</v>
          </cell>
          <cell r="Q280" t="str">
            <v>Flame</v>
          </cell>
          <cell r="R280" t="str">
            <v>Tornado</v>
          </cell>
          <cell r="S280" t="str">
            <v>Blind</v>
          </cell>
          <cell r="T280" t="str">
            <v>Burning</v>
          </cell>
          <cell r="U280" t="str">
            <v>O-Fire</v>
          </cell>
          <cell r="V280" t="str">
            <v>Recover</v>
          </cell>
          <cell r="W280" t="str">
            <v>O-Quake</v>
          </cell>
          <cell r="X280" t="str">
            <v>Flyer</v>
          </cell>
        </row>
        <row r="281">
          <cell r="A281" t="str">
            <v>Firefield</v>
          </cell>
          <cell r="B281" t="str">
            <v>Firefield</v>
          </cell>
          <cell r="C281">
            <v>0</v>
          </cell>
          <cell r="E281">
            <v>1</v>
          </cell>
          <cell r="H281">
            <v>6</v>
          </cell>
          <cell r="I281">
            <v>1</v>
          </cell>
          <cell r="J281">
            <v>999</v>
          </cell>
          <cell r="K281">
            <v>1</v>
          </cell>
          <cell r="L281">
            <v>1</v>
          </cell>
          <cell r="M281">
            <v>1</v>
          </cell>
          <cell r="N281">
            <v>25</v>
          </cell>
          <cell r="P281" t="str">
            <v>Heat</v>
          </cell>
          <cell r="X281" t="str">
            <v>Environment</v>
          </cell>
        </row>
        <row r="282">
          <cell r="A282" t="str">
            <v>Stone Rain</v>
          </cell>
          <cell r="B282" t="str">
            <v>Stone Rain</v>
          </cell>
          <cell r="C282">
            <v>0</v>
          </cell>
          <cell r="E282">
            <v>1</v>
          </cell>
          <cell r="H282">
            <v>6</v>
          </cell>
          <cell r="I282">
            <v>1</v>
          </cell>
          <cell r="J282">
            <v>999</v>
          </cell>
          <cell r="K282">
            <v>12</v>
          </cell>
          <cell r="L282">
            <v>100</v>
          </cell>
          <cell r="M282">
            <v>1</v>
          </cell>
          <cell r="N282">
            <v>25</v>
          </cell>
          <cell r="P282" t="str">
            <v>Stone Rain</v>
          </cell>
          <cell r="X282" t="str">
            <v>Environment</v>
          </cell>
        </row>
        <row r="283">
          <cell r="A283" t="str">
            <v>Bullet Rain</v>
          </cell>
          <cell r="B283" t="str">
            <v>Bullet Rain</v>
          </cell>
          <cell r="C283">
            <v>0</v>
          </cell>
          <cell r="E283">
            <v>2</v>
          </cell>
          <cell r="H283">
            <v>6</v>
          </cell>
          <cell r="I283">
            <v>1</v>
          </cell>
          <cell r="J283">
            <v>999</v>
          </cell>
          <cell r="K283">
            <v>1</v>
          </cell>
          <cell r="L283">
            <v>12</v>
          </cell>
          <cell r="M283">
            <v>1</v>
          </cell>
          <cell r="N283">
            <v>1</v>
          </cell>
          <cell r="P283" t="str">
            <v>Bullet Rain</v>
          </cell>
          <cell r="X283" t="str">
            <v>Environment</v>
          </cell>
        </row>
        <row r="284">
          <cell r="A284" t="str">
            <v>KingSword</v>
          </cell>
          <cell r="B284" t="str">
            <v>KingSword</v>
          </cell>
          <cell r="C284">
            <v>0</v>
          </cell>
          <cell r="E284">
            <v>6</v>
          </cell>
          <cell r="H284">
            <v>0</v>
          </cell>
          <cell r="I284">
            <v>1</v>
          </cell>
          <cell r="J284">
            <v>500</v>
          </cell>
          <cell r="K284">
            <v>45</v>
          </cell>
          <cell r="L284">
            <v>40</v>
          </cell>
          <cell r="M284">
            <v>40</v>
          </cell>
          <cell r="N284">
            <v>40</v>
          </cell>
          <cell r="P284" t="str">
            <v>King Sword</v>
          </cell>
          <cell r="X284" t="str">
            <v>Undead</v>
          </cell>
        </row>
        <row r="285">
          <cell r="A285" t="str">
            <v>KingArmor</v>
          </cell>
          <cell r="B285" t="str">
            <v>KingArmor</v>
          </cell>
          <cell r="C285">
            <v>0</v>
          </cell>
          <cell r="E285">
            <v>6</v>
          </cell>
          <cell r="H285">
            <v>0</v>
          </cell>
          <cell r="I285">
            <v>1</v>
          </cell>
          <cell r="J285">
            <v>500</v>
          </cell>
          <cell r="K285">
            <v>40</v>
          </cell>
          <cell r="L285">
            <v>40</v>
          </cell>
          <cell r="M285">
            <v>40</v>
          </cell>
          <cell r="N285">
            <v>50</v>
          </cell>
          <cell r="P285" t="str">
            <v>Gift of Peace</v>
          </cell>
          <cell r="Q285" t="str">
            <v>O-All</v>
          </cell>
          <cell r="X285" t="str">
            <v>Undead</v>
          </cell>
        </row>
        <row r="286">
          <cell r="A286" t="str">
            <v>KingShield</v>
          </cell>
          <cell r="B286" t="str">
            <v>KingShield</v>
          </cell>
          <cell r="C286">
            <v>0</v>
          </cell>
          <cell r="E286">
            <v>6</v>
          </cell>
          <cell r="H286">
            <v>0</v>
          </cell>
          <cell r="I286">
            <v>1</v>
          </cell>
          <cell r="J286">
            <v>500</v>
          </cell>
          <cell r="K286">
            <v>40</v>
          </cell>
          <cell r="L286">
            <v>40</v>
          </cell>
          <cell r="M286">
            <v>40</v>
          </cell>
          <cell r="N286">
            <v>40</v>
          </cell>
          <cell r="P286" t="str">
            <v>Shield Bash</v>
          </cell>
          <cell r="Q286" t="str">
            <v>O-Ice</v>
          </cell>
          <cell r="R286" t="str">
            <v>O-Para</v>
          </cell>
          <cell r="S286" t="str">
            <v>O-Stone</v>
          </cell>
          <cell r="X286" t="str">
            <v>Undead</v>
          </cell>
        </row>
        <row r="287">
          <cell r="A287" t="str">
            <v>Creator</v>
          </cell>
          <cell r="B287" t="str">
            <v>Creator</v>
          </cell>
          <cell r="C287">
            <v>3</v>
          </cell>
          <cell r="E287">
            <v>16</v>
          </cell>
          <cell r="H287">
            <v>0</v>
          </cell>
          <cell r="I287">
            <v>4</v>
          </cell>
          <cell r="J287">
            <v>20000</v>
          </cell>
          <cell r="K287">
            <v>50</v>
          </cell>
          <cell r="L287">
            <v>50</v>
          </cell>
          <cell r="M287">
            <v>50</v>
          </cell>
          <cell r="N287">
            <v>50</v>
          </cell>
          <cell r="P287" t="str">
            <v>Repent</v>
          </cell>
          <cell r="Q287" t="str">
            <v>LEFT</v>
          </cell>
          <cell r="R287" t="str">
            <v>RIGHT</v>
          </cell>
          <cell r="S287" t="str">
            <v>Flare</v>
          </cell>
          <cell r="T287" t="str">
            <v>O-All</v>
          </cell>
          <cell r="U287" t="str">
            <v>Recover</v>
          </cell>
          <cell r="X287" t="str">
            <v>Undead</v>
          </cell>
        </row>
        <row r="288">
          <cell r="A288" t="str">
            <v>Rhamphorynchus</v>
          </cell>
          <cell r="B288" t="str">
            <v>Rhamphorynchus</v>
          </cell>
          <cell r="C288">
            <v>1</v>
          </cell>
          <cell r="D288" t="str">
            <v>2</v>
          </cell>
          <cell r="E288">
            <v>2</v>
          </cell>
          <cell r="F288" t="str">
            <v>02</v>
          </cell>
          <cell r="G288" t="str">
            <v>2a</v>
          </cell>
          <cell r="H288" t="str">
            <v>2</v>
          </cell>
          <cell r="I288" t="str">
            <v>1</v>
          </cell>
          <cell r="J288">
            <v>162</v>
          </cell>
          <cell r="K288">
            <v>10</v>
          </cell>
          <cell r="L288">
            <v>9</v>
          </cell>
          <cell r="M288">
            <v>5</v>
          </cell>
          <cell r="N288">
            <v>8</v>
          </cell>
          <cell r="O288" t="str">
            <v>7bba</v>
          </cell>
          <cell r="P288" t="str">
            <v>Beak</v>
          </cell>
          <cell r="Q288" t="str">
            <v>Ravage</v>
          </cell>
          <cell r="R288" t="str">
            <v>O-Quake</v>
          </cell>
          <cell r="S288"/>
          <cell r="T288"/>
          <cell r="U288"/>
          <cell r="V288"/>
          <cell r="W288"/>
          <cell r="X288" t="str">
            <v>Flyer</v>
          </cell>
        </row>
        <row r="289">
          <cell r="A289" t="str">
            <v>Fanatic</v>
          </cell>
          <cell r="B289" t="str">
            <v>Fanatic</v>
          </cell>
          <cell r="C289" t="str">
            <v>1</v>
          </cell>
          <cell r="D289" t="str">
            <v>3</v>
          </cell>
          <cell r="E289">
            <v>2</v>
          </cell>
          <cell r="F289" t="str">
            <v>13</v>
          </cell>
          <cell r="G289" t="str">
            <v>85</v>
          </cell>
          <cell r="H289" t="str">
            <v>0</v>
          </cell>
          <cell r="I289" t="str">
            <v>1</v>
          </cell>
          <cell r="J289">
            <v>81</v>
          </cell>
          <cell r="K289">
            <v>5</v>
          </cell>
          <cell r="L289">
            <v>10</v>
          </cell>
          <cell r="M289">
            <v>11</v>
          </cell>
          <cell r="N289">
            <v>6</v>
          </cell>
          <cell r="O289" t="str">
            <v>7dae</v>
          </cell>
          <cell r="P289" t="str">
            <v>MM Book</v>
          </cell>
          <cell r="Q289" t="str">
            <v>Hex</v>
          </cell>
          <cell r="R289"/>
          <cell r="S289"/>
          <cell r="T289"/>
          <cell r="U289"/>
          <cell r="V289"/>
          <cell r="W289"/>
          <cell r="X289" t="str">
            <v>Human</v>
          </cell>
        </row>
        <row r="290">
          <cell r="A290" t="str">
            <v>ToughGuy</v>
          </cell>
          <cell r="B290" t="str">
            <v>ToughGuy</v>
          </cell>
          <cell r="C290">
            <v>0</v>
          </cell>
          <cell r="E290">
            <v>2</v>
          </cell>
          <cell r="H290">
            <v>0</v>
          </cell>
          <cell r="I290">
            <v>1</v>
          </cell>
          <cell r="J290">
            <v>90</v>
          </cell>
          <cell r="K290">
            <v>8</v>
          </cell>
          <cell r="L290">
            <v>12</v>
          </cell>
          <cell r="M290">
            <v>5</v>
          </cell>
          <cell r="N290">
            <v>7</v>
          </cell>
          <cell r="P290" t="str">
            <v>R-Kick</v>
          </cell>
          <cell r="X290" t="str">
            <v>Human</v>
          </cell>
        </row>
        <row r="291">
          <cell r="A291" t="str">
            <v>eSkelton</v>
          </cell>
          <cell r="B291" t="str">
            <v>eSkelton</v>
          </cell>
          <cell r="C291">
            <v>1</v>
          </cell>
          <cell r="E291">
            <v>2</v>
          </cell>
          <cell r="H291">
            <v>2</v>
          </cell>
          <cell r="I291">
            <v>2</v>
          </cell>
          <cell r="J291">
            <v>90</v>
          </cell>
          <cell r="K291">
            <v>7</v>
          </cell>
          <cell r="L291">
            <v>8</v>
          </cell>
          <cell r="M291">
            <v>11</v>
          </cell>
          <cell r="N291">
            <v>5</v>
          </cell>
          <cell r="P291" t="str">
            <v>Thunder</v>
          </cell>
          <cell r="Q291" t="str">
            <v>Backlash</v>
          </cell>
          <cell r="R291" t="str">
            <v>O-Thunder</v>
          </cell>
          <cell r="S291" t="str">
            <v>O-Weapon</v>
          </cell>
          <cell r="X291" t="str">
            <v>Undead</v>
          </cell>
        </row>
        <row r="292">
          <cell r="A292" t="str">
            <v>Red Skelton</v>
          </cell>
          <cell r="B292" t="str">
            <v>Red Skelton</v>
          </cell>
          <cell r="C292" t="str">
            <v>2</v>
          </cell>
          <cell r="D292" t="str">
            <v>6</v>
          </cell>
          <cell r="E292">
            <v>3</v>
          </cell>
          <cell r="F292" t="str">
            <v>26</v>
          </cell>
          <cell r="G292" t="str">
            <v>82</v>
          </cell>
          <cell r="H292" t="str">
            <v>2</v>
          </cell>
          <cell r="I292">
            <v>3</v>
          </cell>
          <cell r="J292">
            <v>270</v>
          </cell>
          <cell r="K292">
            <v>12</v>
          </cell>
          <cell r="L292">
            <v>13</v>
          </cell>
          <cell r="M292">
            <v>15</v>
          </cell>
          <cell r="N292">
            <v>11</v>
          </cell>
          <cell r="P292" t="str">
            <v>Sword</v>
          </cell>
          <cell r="Q292" t="str">
            <v>Saw</v>
          </cell>
          <cell r="R292" t="str">
            <v>Riddle</v>
          </cell>
          <cell r="S292" t="str">
            <v>O-Weapon</v>
          </cell>
          <cell r="T292" t="str">
            <v>O-Pa/Po</v>
          </cell>
          <cell r="U292" t="str">
            <v>X-Fire</v>
          </cell>
          <cell r="X292" t="str">
            <v>Undead</v>
          </cell>
        </row>
        <row r="293">
          <cell r="A293" t="str">
            <v>Dummy</v>
          </cell>
          <cell r="B293" t="str">
            <v>Dummy</v>
          </cell>
          <cell r="C293">
            <v>0</v>
          </cell>
          <cell r="E293">
            <v>11</v>
          </cell>
          <cell r="H293">
            <v>2</v>
          </cell>
          <cell r="I293">
            <v>1</v>
          </cell>
          <cell r="J293">
            <v>1</v>
          </cell>
          <cell r="K293">
            <v>1</v>
          </cell>
          <cell r="L293">
            <v>1</v>
          </cell>
          <cell r="M293">
            <v>1</v>
          </cell>
          <cell r="N293">
            <v>1</v>
          </cell>
          <cell r="P293" t="str">
            <v>Sword</v>
          </cell>
          <cell r="X293" t="str">
            <v>Golem</v>
          </cell>
        </row>
        <row r="294">
          <cell r="A294" t="str">
            <v>Gemheart</v>
          </cell>
          <cell r="B294" t="str">
            <v>Gemheart</v>
          </cell>
          <cell r="C294">
            <v>3</v>
          </cell>
          <cell r="E294">
            <v>4</v>
          </cell>
          <cell r="H294">
            <v>5</v>
          </cell>
          <cell r="I294">
            <v>2</v>
          </cell>
          <cell r="J294">
            <v>1000</v>
          </cell>
          <cell r="K294">
            <v>1</v>
          </cell>
          <cell r="L294">
            <v>15</v>
          </cell>
          <cell r="M294">
            <v>12</v>
          </cell>
          <cell r="N294">
            <v>6</v>
          </cell>
          <cell r="P294" t="str">
            <v>Wracking Pulse</v>
          </cell>
          <cell r="Q294" t="str">
            <v>Stopping Pulse</v>
          </cell>
          <cell r="R294" t="str">
            <v>Roil</v>
          </cell>
          <cell r="S294" t="str">
            <v>O-Pa/Po</v>
          </cell>
          <cell r="X294" t="str">
            <v>Golem</v>
          </cell>
        </row>
        <row r="295">
          <cell r="A295" t="str">
            <v>Jagwar</v>
          </cell>
          <cell r="B295" t="str">
            <v>Jagwar</v>
          </cell>
          <cell r="C295">
            <v>2</v>
          </cell>
          <cell r="E295">
            <v>3</v>
          </cell>
          <cell r="H295">
            <v>2</v>
          </cell>
          <cell r="I295">
            <v>3</v>
          </cell>
          <cell r="J295">
            <v>300</v>
          </cell>
          <cell r="K295">
            <v>15</v>
          </cell>
          <cell r="L295">
            <v>13</v>
          </cell>
          <cell r="M295">
            <v>11</v>
          </cell>
          <cell r="N295">
            <v>13</v>
          </cell>
          <cell r="P295" t="str">
            <v>Tusk</v>
          </cell>
          <cell r="Q295" t="str">
            <v>Roar</v>
          </cell>
          <cell r="R295" t="str">
            <v>2-Tusks</v>
          </cell>
          <cell r="X295" t="str">
            <v>Beast</v>
          </cell>
        </row>
        <row r="296">
          <cell r="A296" t="str">
            <v>Image</v>
          </cell>
          <cell r="B296" t="str">
            <v>Image</v>
          </cell>
          <cell r="C296">
            <v>0</v>
          </cell>
          <cell r="D296"/>
          <cell r="E296">
            <v>1</v>
          </cell>
          <cell r="F296"/>
          <cell r="G296"/>
          <cell r="H296">
            <v>5</v>
          </cell>
          <cell r="I296">
            <v>1</v>
          </cell>
          <cell r="J296">
            <v>75</v>
          </cell>
          <cell r="K296">
            <v>4</v>
          </cell>
          <cell r="L296">
            <v>6</v>
          </cell>
          <cell r="M296">
            <v>6</v>
          </cell>
          <cell r="N296">
            <v>4</v>
          </cell>
          <cell r="O296"/>
          <cell r="P296" t="str">
            <v>Touch</v>
          </cell>
          <cell r="Q296"/>
          <cell r="R296"/>
          <cell r="S296"/>
          <cell r="T296"/>
          <cell r="U296"/>
          <cell r="V296"/>
          <cell r="W296"/>
          <cell r="X296" t="str">
            <v>???</v>
          </cell>
        </row>
        <row r="297">
          <cell r="A297" t="str">
            <v>G-Spider</v>
          </cell>
          <cell r="B297" t="str">
            <v>G-Spider</v>
          </cell>
          <cell r="C297">
            <v>1</v>
          </cell>
          <cell r="E297">
            <v>2</v>
          </cell>
          <cell r="H297">
            <v>2</v>
          </cell>
          <cell r="I297">
            <v>2</v>
          </cell>
          <cell r="J297">
            <v>90</v>
          </cell>
          <cell r="K297">
            <v>8</v>
          </cell>
          <cell r="L297">
            <v>8</v>
          </cell>
          <cell r="M297">
            <v>8</v>
          </cell>
          <cell r="N297">
            <v>8</v>
          </cell>
          <cell r="P297" t="str">
            <v>Tusk</v>
          </cell>
          <cell r="Q297" t="str">
            <v>Web</v>
          </cell>
          <cell r="X297" t="str">
            <v>Insect</v>
          </cell>
        </row>
        <row r="298">
          <cell r="A298" t="str">
            <v>Matchman</v>
          </cell>
          <cell r="B298" t="str">
            <v>Matchman</v>
          </cell>
          <cell r="C298">
            <v>0</v>
          </cell>
          <cell r="D298" t="str">
            <v>3</v>
          </cell>
          <cell r="E298">
            <v>3</v>
          </cell>
          <cell r="F298" t="str">
            <v>13</v>
          </cell>
          <cell r="G298" t="str">
            <v>83</v>
          </cell>
          <cell r="H298" t="str">
            <v>0</v>
          </cell>
          <cell r="I298" t="str">
            <v>1</v>
          </cell>
          <cell r="J298">
            <v>320</v>
          </cell>
          <cell r="K298">
            <v>14</v>
          </cell>
          <cell r="L298">
            <v>4</v>
          </cell>
          <cell r="M298">
            <v>8</v>
          </cell>
          <cell r="N298">
            <v>15</v>
          </cell>
          <cell r="O298" t="str">
            <v>7d58</v>
          </cell>
          <cell r="P298" t="str">
            <v>Long Sword</v>
          </cell>
          <cell r="Q298" t="str">
            <v>Long Bow</v>
          </cell>
          <cell r="R298"/>
          <cell r="S298"/>
          <cell r="T298"/>
          <cell r="U298"/>
          <cell r="V298"/>
          <cell r="W298"/>
          <cell r="X298" t="str">
            <v>Human</v>
          </cell>
        </row>
        <row r="299">
          <cell r="A299" t="str">
            <v>Goblin Sapper</v>
          </cell>
          <cell r="B299" t="str">
            <v>Goblin Sapper</v>
          </cell>
          <cell r="C299">
            <v>0</v>
          </cell>
          <cell r="E299">
            <v>1</v>
          </cell>
          <cell r="H299">
            <v>2</v>
          </cell>
          <cell r="I299">
            <v>1</v>
          </cell>
          <cell r="J299">
            <v>59</v>
          </cell>
          <cell r="K299">
            <v>7</v>
          </cell>
          <cell r="L299">
            <v>4</v>
          </cell>
          <cell r="M299">
            <v>5</v>
          </cell>
          <cell r="N299">
            <v>7</v>
          </cell>
          <cell r="P299" t="str">
            <v>Self-Detonate</v>
          </cell>
          <cell r="X299" t="str">
            <v>Spirit</v>
          </cell>
        </row>
        <row r="300">
          <cell r="A300" t="str">
            <v>Thorwal Quake</v>
          </cell>
          <cell r="B300" t="str">
            <v>Thorwal Quake</v>
          </cell>
          <cell r="C300">
            <v>0</v>
          </cell>
          <cell r="E300">
            <v>0</v>
          </cell>
          <cell r="H300">
            <v>6</v>
          </cell>
          <cell r="I300">
            <v>1</v>
          </cell>
          <cell r="J300">
            <v>999</v>
          </cell>
          <cell r="K300">
            <v>10</v>
          </cell>
          <cell r="L300">
            <v>100</v>
          </cell>
          <cell r="M300">
            <v>10</v>
          </cell>
          <cell r="N300">
            <v>0</v>
          </cell>
          <cell r="P300" t="str">
            <v>Tremor</v>
          </cell>
          <cell r="X300" t="str">
            <v>Environment</v>
          </cell>
        </row>
        <row r="301">
          <cell r="A301" t="str">
            <v>Goblin Ranger</v>
          </cell>
          <cell r="B301" t="str">
            <v>Goblin Ranger</v>
          </cell>
          <cell r="C301">
            <v>0</v>
          </cell>
          <cell r="E301">
            <v>1</v>
          </cell>
          <cell r="H301">
            <v>2</v>
          </cell>
          <cell r="I301">
            <v>1</v>
          </cell>
          <cell r="J301">
            <v>45</v>
          </cell>
          <cell r="K301">
            <v>4</v>
          </cell>
          <cell r="L301">
            <v>7</v>
          </cell>
          <cell r="M301">
            <v>5</v>
          </cell>
          <cell r="N301">
            <v>5</v>
          </cell>
          <cell r="P301" t="str">
            <v>Bow</v>
          </cell>
          <cell r="X301" t="str">
            <v>Spirit</v>
          </cell>
        </row>
        <row r="302">
          <cell r="A302" t="str">
            <v>Skelton Archer</v>
          </cell>
          <cell r="B302" t="str">
            <v>Skelton Archer</v>
          </cell>
          <cell r="C302" t="str">
            <v>0</v>
          </cell>
          <cell r="D302" t="str">
            <v>1</v>
          </cell>
          <cell r="E302">
            <v>1</v>
          </cell>
          <cell r="F302" t="str">
            <v>01</v>
          </cell>
          <cell r="G302" t="str">
            <v>82</v>
          </cell>
          <cell r="H302" t="str">
            <v>2</v>
          </cell>
          <cell r="I302" t="str">
            <v>2</v>
          </cell>
          <cell r="J302">
            <v>52</v>
          </cell>
          <cell r="K302">
            <v>4</v>
          </cell>
          <cell r="L302">
            <v>7</v>
          </cell>
          <cell r="M302">
            <v>5</v>
          </cell>
          <cell r="N302">
            <v>2</v>
          </cell>
          <cell r="O302" t="str">
            <v>7d00</v>
          </cell>
          <cell r="P302" t="str">
            <v>Bow</v>
          </cell>
          <cell r="Q302" t="str">
            <v>O-Weapon</v>
          </cell>
          <cell r="R302" t="str">
            <v>X-Fire</v>
          </cell>
          <cell r="S302"/>
          <cell r="T302"/>
          <cell r="U302"/>
          <cell r="V302"/>
          <cell r="W302"/>
          <cell r="X302" t="str">
            <v>Undead</v>
          </cell>
        </row>
        <row r="303">
          <cell r="A303" t="str">
            <v>ROGOBBO-01</v>
          </cell>
          <cell r="B303" t="str">
            <v>ROGOBBO-01</v>
          </cell>
          <cell r="C303">
            <v>1</v>
          </cell>
          <cell r="E303">
            <v>4</v>
          </cell>
          <cell r="H303">
            <v>3</v>
          </cell>
          <cell r="I303">
            <v>2</v>
          </cell>
          <cell r="J303">
            <v>500</v>
          </cell>
          <cell r="K303">
            <v>15</v>
          </cell>
          <cell r="L303">
            <v>15</v>
          </cell>
          <cell r="M303">
            <v>5</v>
          </cell>
          <cell r="N303">
            <v>14</v>
          </cell>
          <cell r="P303" t="str">
            <v>ChainSaw</v>
          </cell>
          <cell r="Q303" t="str">
            <v>Goblin Torch</v>
          </cell>
          <cell r="R303" t="str">
            <v>Goblin Mech</v>
          </cell>
          <cell r="S303" t="str">
            <v>O-Pa/Po</v>
          </cell>
          <cell r="X303" t="str">
            <v>Robot</v>
          </cell>
        </row>
        <row r="304">
          <cell r="A304" t="str">
            <v>Hymns of Ashura</v>
          </cell>
          <cell r="B304" t="str">
            <v>Hymns of Ashura</v>
          </cell>
          <cell r="C304">
            <v>0</v>
          </cell>
          <cell r="E304">
            <v>0</v>
          </cell>
          <cell r="H304">
            <v>6</v>
          </cell>
          <cell r="I304">
            <v>1</v>
          </cell>
          <cell r="J304">
            <v>999</v>
          </cell>
          <cell r="K304">
            <v>1</v>
          </cell>
          <cell r="L304">
            <v>1</v>
          </cell>
          <cell r="M304">
            <v>5</v>
          </cell>
          <cell r="N304">
            <v>1</v>
          </cell>
          <cell r="P304" t="str">
            <v>MadSong</v>
          </cell>
          <cell r="X304" t="str">
            <v>Environment</v>
          </cell>
        </row>
        <row r="305">
          <cell r="A305" t="str">
            <v>LargSkelton</v>
          </cell>
          <cell r="B305" t="str">
            <v>LargSkelton</v>
          </cell>
          <cell r="C305">
            <v>0</v>
          </cell>
          <cell r="D305" t="str">
            <v>2</v>
          </cell>
          <cell r="E305">
            <v>2</v>
          </cell>
          <cell r="F305" t="str">
            <v>12</v>
          </cell>
          <cell r="G305" t="str">
            <v>19</v>
          </cell>
          <cell r="H305" t="str">
            <v>2</v>
          </cell>
          <cell r="I305">
            <v>1</v>
          </cell>
          <cell r="J305">
            <v>90</v>
          </cell>
          <cell r="K305">
            <v>12</v>
          </cell>
          <cell r="L305">
            <v>4</v>
          </cell>
          <cell r="M305">
            <v>8</v>
          </cell>
          <cell r="N305">
            <v>4</v>
          </cell>
          <cell r="O305" t="str">
            <v>7d1c</v>
          </cell>
          <cell r="P305" t="str">
            <v>Bash</v>
          </cell>
          <cell r="Q305" t="str">
            <v>O-Weapon</v>
          </cell>
          <cell r="R305" t="str">
            <v>X-Fire</v>
          </cell>
          <cell r="S305"/>
          <cell r="T305"/>
          <cell r="U305"/>
          <cell r="V305"/>
          <cell r="W305"/>
          <cell r="X305" t="str">
            <v>Undead</v>
          </cell>
        </row>
        <row r="306">
          <cell r="A306" t="str">
            <v>Barrel Kong</v>
          </cell>
          <cell r="B306" t="str">
            <v>Barrel Kong</v>
          </cell>
          <cell r="C306">
            <v>2</v>
          </cell>
          <cell r="D306" t="str">
            <v>3</v>
          </cell>
          <cell r="E306">
            <v>3</v>
          </cell>
          <cell r="F306" t="str">
            <v>13</v>
          </cell>
          <cell r="G306" t="str">
            <v>83</v>
          </cell>
          <cell r="H306">
            <v>4</v>
          </cell>
          <cell r="I306">
            <v>2</v>
          </cell>
          <cell r="J306">
            <v>148</v>
          </cell>
          <cell r="K306">
            <v>17</v>
          </cell>
          <cell r="L306">
            <v>14</v>
          </cell>
          <cell r="M306">
            <v>8</v>
          </cell>
          <cell r="N306">
            <v>12</v>
          </cell>
          <cell r="O306"/>
          <cell r="P306" t="str">
            <v>Bash</v>
          </cell>
          <cell r="Q306" t="str">
            <v>Barrel Toss</v>
          </cell>
          <cell r="R306" t="str">
            <v>Roar</v>
          </cell>
          <cell r="S306"/>
          <cell r="T306"/>
          <cell r="U306"/>
          <cell r="V306"/>
          <cell r="W306"/>
          <cell r="X306" t="str">
            <v>Beast</v>
          </cell>
        </row>
        <row r="307">
          <cell r="A307" t="str">
            <v>F-Mote</v>
          </cell>
          <cell r="B307" t="str">
            <v>F-Mote</v>
          </cell>
          <cell r="C307">
            <v>0</v>
          </cell>
          <cell r="E307">
            <v>1</v>
          </cell>
          <cell r="H307">
            <v>1</v>
          </cell>
          <cell r="I307">
            <v>1</v>
          </cell>
          <cell r="J307">
            <v>45</v>
          </cell>
          <cell r="K307">
            <v>4</v>
          </cell>
          <cell r="L307">
            <v>5</v>
          </cell>
          <cell r="M307">
            <v>5</v>
          </cell>
          <cell r="N307">
            <v>4</v>
          </cell>
          <cell r="P307" t="str">
            <v>Breath</v>
          </cell>
          <cell r="Q307" t="str">
            <v>O-Fire</v>
          </cell>
          <cell r="R307" t="str">
            <v>O-Para</v>
          </cell>
          <cell r="X307" t="str">
            <v>Mutant</v>
          </cell>
        </row>
        <row r="308">
          <cell r="A308" t="str">
            <v>B-Tortoise</v>
          </cell>
          <cell r="B308" t="str">
            <v>B-Tortoise</v>
          </cell>
          <cell r="C308">
            <v>2</v>
          </cell>
          <cell r="E308">
            <v>3</v>
          </cell>
          <cell r="H308">
            <v>2</v>
          </cell>
          <cell r="I308">
            <v>3</v>
          </cell>
          <cell r="J308">
            <v>500</v>
          </cell>
          <cell r="K308">
            <v>13</v>
          </cell>
          <cell r="L308">
            <v>11</v>
          </cell>
          <cell r="M308">
            <v>12</v>
          </cell>
          <cell r="N308">
            <v>12</v>
          </cell>
          <cell r="P308" t="str">
            <v>Bash</v>
          </cell>
          <cell r="Q308" t="str">
            <v>Gas</v>
          </cell>
          <cell r="R308" t="str">
            <v>Shell</v>
          </cell>
          <cell r="S308" t="str">
            <v>O-Pa/Po</v>
          </cell>
          <cell r="X308" t="str">
            <v>Reptile</v>
          </cell>
        </row>
        <row r="309">
          <cell r="A309" t="str">
            <v>Skeltone</v>
          </cell>
          <cell r="B309" t="str">
            <v>Skeltone</v>
          </cell>
          <cell r="C309" t="str">
            <v>2</v>
          </cell>
          <cell r="D309" t="str">
            <v>6</v>
          </cell>
          <cell r="E309">
            <v>3</v>
          </cell>
          <cell r="F309" t="str">
            <v>26</v>
          </cell>
          <cell r="G309" t="str">
            <v>82</v>
          </cell>
          <cell r="H309" t="str">
            <v>2</v>
          </cell>
          <cell r="I309">
            <v>3</v>
          </cell>
          <cell r="J309">
            <v>150</v>
          </cell>
          <cell r="K309">
            <v>12</v>
          </cell>
          <cell r="L309">
            <v>13</v>
          </cell>
          <cell r="M309">
            <v>15</v>
          </cell>
          <cell r="N309">
            <v>11</v>
          </cell>
          <cell r="P309" t="str">
            <v>MadSong</v>
          </cell>
          <cell r="Q309" t="str">
            <v>Lullaby</v>
          </cell>
          <cell r="R309" t="str">
            <v>CursSong</v>
          </cell>
          <cell r="S309" t="str">
            <v>O-Weapon</v>
          </cell>
          <cell r="T309" t="str">
            <v>O-Pa/Po</v>
          </cell>
          <cell r="U309" t="str">
            <v>X-Fire</v>
          </cell>
          <cell r="X309" t="str">
            <v>Undead</v>
          </cell>
        </row>
        <row r="310">
          <cell r="A310" t="str">
            <v>Ailian</v>
          </cell>
          <cell r="B310" t="str">
            <v>Ailian</v>
          </cell>
          <cell r="C310">
            <v>2</v>
          </cell>
          <cell r="E310">
            <v>3</v>
          </cell>
          <cell r="H310">
            <v>1</v>
          </cell>
          <cell r="I310">
            <v>3</v>
          </cell>
          <cell r="J310">
            <v>220</v>
          </cell>
          <cell r="K310">
            <v>12</v>
          </cell>
          <cell r="L310">
            <v>10</v>
          </cell>
          <cell r="M310">
            <v>13</v>
          </cell>
          <cell r="N310">
            <v>11</v>
          </cell>
          <cell r="P310" t="str">
            <v>Hammer</v>
          </cell>
          <cell r="Q310" t="str">
            <v>Psi Smash</v>
          </cell>
          <cell r="R310" t="str">
            <v>Lightning</v>
          </cell>
          <cell r="S310" t="str">
            <v>PowerUp</v>
          </cell>
          <cell r="T310" t="str">
            <v>O-Para</v>
          </cell>
          <cell r="X310" t="str">
            <v>Mutant</v>
          </cell>
        </row>
        <row r="311">
          <cell r="A311" t="str">
            <v>Stage Crew</v>
          </cell>
          <cell r="B311" t="str">
            <v>Stage Crew</v>
          </cell>
          <cell r="C311">
            <v>0</v>
          </cell>
          <cell r="E311">
            <v>0</v>
          </cell>
          <cell r="H311">
            <v>6</v>
          </cell>
          <cell r="I311">
            <v>1</v>
          </cell>
          <cell r="J311">
            <v>999</v>
          </cell>
          <cell r="K311">
            <v>4</v>
          </cell>
          <cell r="L311">
            <v>5</v>
          </cell>
          <cell r="M311">
            <v>7</v>
          </cell>
          <cell r="N311">
            <v>2</v>
          </cell>
          <cell r="P311" t="str">
            <v>Pyrotechnics</v>
          </cell>
          <cell r="X311" t="str">
            <v>Environment</v>
          </cell>
        </row>
        <row r="312">
          <cell r="A312" t="str">
            <v>StoneG</v>
          </cell>
          <cell r="B312" t="str">
            <v>StoneG</v>
          </cell>
          <cell r="C312">
            <v>1</v>
          </cell>
          <cell r="D312" t="str">
            <v>3</v>
          </cell>
          <cell r="E312">
            <v>3</v>
          </cell>
          <cell r="F312" t="str">
            <v>03</v>
          </cell>
          <cell r="G312" t="str">
            <v>22</v>
          </cell>
          <cell r="H312" t="str">
            <v>2</v>
          </cell>
          <cell r="I312" t="str">
            <v>1</v>
          </cell>
          <cell r="J312">
            <v>148</v>
          </cell>
          <cell r="K312">
            <v>13</v>
          </cell>
          <cell r="L312">
            <v>8</v>
          </cell>
          <cell r="M312">
            <v>13</v>
          </cell>
          <cell r="N312">
            <v>15</v>
          </cell>
          <cell r="O312" t="str">
            <v>79e9</v>
          </cell>
          <cell r="P312" t="str">
            <v>Bash</v>
          </cell>
          <cell r="Q312" t="str">
            <v>Crippling Blow</v>
          </cell>
          <cell r="R312" t="str">
            <v>O-Change</v>
          </cell>
          <cell r="S312"/>
          <cell r="T312"/>
          <cell r="U312"/>
          <cell r="V312"/>
          <cell r="W312"/>
          <cell r="X312" t="str">
            <v>Golem</v>
          </cell>
        </row>
        <row r="313">
          <cell r="A313" t="str">
            <v>Genbu the Black</v>
          </cell>
          <cell r="B313" t="str">
            <v>Genbu the Black</v>
          </cell>
          <cell r="C313">
            <v>16</v>
          </cell>
          <cell r="E313">
            <v>4</v>
          </cell>
          <cell r="H313">
            <v>0</v>
          </cell>
          <cell r="I313">
            <v>3</v>
          </cell>
          <cell r="J313">
            <v>500</v>
          </cell>
          <cell r="K313">
            <v>13</v>
          </cell>
          <cell r="L313">
            <v>10</v>
          </cell>
          <cell r="M313">
            <v>11</v>
          </cell>
          <cell r="N313">
            <v>18</v>
          </cell>
          <cell r="P313" t="str">
            <v>Shield Bash</v>
          </cell>
          <cell r="Q313" t="str">
            <v>Crush</v>
          </cell>
          <cell r="R313" t="str">
            <v>Ravage</v>
          </cell>
          <cell r="S313" t="str">
            <v>Shake</v>
          </cell>
          <cell r="T313" t="str">
            <v>O-Weapon</v>
          </cell>
          <cell r="X313" t="str">
            <v>Human</v>
          </cell>
        </row>
        <row r="314">
          <cell r="A314" t="str">
            <v>Sheriff</v>
          </cell>
          <cell r="B314" t="str">
            <v>Sheriff</v>
          </cell>
          <cell r="C314">
            <v>1</v>
          </cell>
          <cell r="D314" t="str">
            <v>3</v>
          </cell>
          <cell r="E314">
            <v>3</v>
          </cell>
          <cell r="F314" t="str">
            <v>13</v>
          </cell>
          <cell r="G314" t="str">
            <v>83</v>
          </cell>
          <cell r="H314" t="str">
            <v>0</v>
          </cell>
          <cell r="I314">
            <v>2</v>
          </cell>
          <cell r="J314">
            <v>320</v>
          </cell>
          <cell r="K314">
            <v>14</v>
          </cell>
          <cell r="L314">
            <v>14</v>
          </cell>
          <cell r="M314">
            <v>8</v>
          </cell>
          <cell r="N314">
            <v>15</v>
          </cell>
          <cell r="O314"/>
          <cell r="P314" t="str">
            <v>Sabre</v>
          </cell>
          <cell r="Q314" t="str">
            <v>Twinblades</v>
          </cell>
          <cell r="R314"/>
          <cell r="S314"/>
          <cell r="T314"/>
          <cell r="U314"/>
          <cell r="V314"/>
          <cell r="W314"/>
          <cell r="X314" t="str">
            <v>Human</v>
          </cell>
        </row>
        <row r="315">
          <cell r="A315" t="str">
            <v>SandCat</v>
          </cell>
          <cell r="B315" t="str">
            <v>SandCat</v>
          </cell>
          <cell r="C315" t="str">
            <v>1</v>
          </cell>
          <cell r="D315" t="str">
            <v>4</v>
          </cell>
          <cell r="E315">
            <v>3</v>
          </cell>
          <cell r="F315" t="str">
            <v>14</v>
          </cell>
          <cell r="G315" t="str">
            <v>2c</v>
          </cell>
          <cell r="H315" t="str">
            <v>2</v>
          </cell>
          <cell r="I315" t="str">
            <v>2</v>
          </cell>
          <cell r="J315">
            <v>182</v>
          </cell>
          <cell r="K315">
            <v>16</v>
          </cell>
          <cell r="L315">
            <v>13</v>
          </cell>
          <cell r="M315">
            <v>12</v>
          </cell>
          <cell r="N315">
            <v>13</v>
          </cell>
          <cell r="O315" t="str">
            <v>7c0b</v>
          </cell>
          <cell r="P315" t="str">
            <v>Tusk</v>
          </cell>
          <cell r="Q315" t="str">
            <v>Roar</v>
          </cell>
          <cell r="R315" t="str">
            <v>Ravage</v>
          </cell>
          <cell r="S315"/>
          <cell r="T315"/>
          <cell r="U315"/>
          <cell r="V315"/>
          <cell r="W315"/>
          <cell r="X315" t="str">
            <v>Beast</v>
          </cell>
        </row>
        <row r="316">
          <cell r="A316" t="str">
            <v>Hobgoblin</v>
          </cell>
          <cell r="B316" t="str">
            <v>Hobgoblin</v>
          </cell>
          <cell r="C316">
            <v>0</v>
          </cell>
          <cell r="E316">
            <v>2</v>
          </cell>
          <cell r="H316">
            <v>2</v>
          </cell>
          <cell r="I316">
            <v>1</v>
          </cell>
          <cell r="J316">
            <v>72</v>
          </cell>
          <cell r="K316">
            <v>11</v>
          </cell>
          <cell r="L316">
            <v>6</v>
          </cell>
          <cell r="M316">
            <v>8</v>
          </cell>
          <cell r="N316">
            <v>8</v>
          </cell>
          <cell r="P316" t="str">
            <v>Bash</v>
          </cell>
          <cell r="X316" t="str">
            <v>Spirit</v>
          </cell>
        </row>
        <row r="317">
          <cell r="A317" t="str">
            <v>MechAshura</v>
          </cell>
          <cell r="B317" t="str">
            <v>MechAshura</v>
          </cell>
          <cell r="C317" t="str">
            <v>3</v>
          </cell>
          <cell r="D317" t="str">
            <v>7</v>
          </cell>
          <cell r="E317">
            <v>7</v>
          </cell>
          <cell r="F317">
            <v>37</v>
          </cell>
          <cell r="G317" t="str">
            <v>40</v>
          </cell>
          <cell r="H317">
            <v>3</v>
          </cell>
          <cell r="I317" t="str">
            <v>4</v>
          </cell>
          <cell r="J317">
            <v>900</v>
          </cell>
          <cell r="K317">
            <v>18</v>
          </cell>
          <cell r="L317">
            <v>18</v>
          </cell>
          <cell r="M317">
            <v>0</v>
          </cell>
          <cell r="N317">
            <v>18</v>
          </cell>
          <cell r="O317" t="str">
            <v>7e92</v>
          </cell>
          <cell r="P317" t="str">
            <v>6-Arms</v>
          </cell>
          <cell r="Q317" t="str">
            <v>Goblin Torch</v>
          </cell>
          <cell r="R317" t="str">
            <v>ChainSaw</v>
          </cell>
          <cell r="S317" t="str">
            <v>Axe</v>
          </cell>
          <cell r="T317" t="str">
            <v>O-Damage</v>
          </cell>
          <cell r="U317" t="str">
            <v>O-Pa/Po</v>
          </cell>
          <cell r="V317" t="str">
            <v>Explode</v>
          </cell>
          <cell r="W317"/>
          <cell r="X317" t="str">
            <v>God</v>
          </cell>
        </row>
        <row r="318">
          <cell r="A318" t="str">
            <v>Zombot</v>
          </cell>
          <cell r="B318" t="str">
            <v>Zombot</v>
          </cell>
          <cell r="C318" t="str">
            <v>1</v>
          </cell>
          <cell r="D318" t="str">
            <v>2</v>
          </cell>
          <cell r="E318">
            <v>2</v>
          </cell>
          <cell r="F318" t="str">
            <v>12</v>
          </cell>
          <cell r="G318" t="str">
            <v>19</v>
          </cell>
          <cell r="H318" t="str">
            <v>2</v>
          </cell>
          <cell r="I318" t="str">
            <v>2</v>
          </cell>
          <cell r="J318">
            <v>117</v>
          </cell>
          <cell r="K318">
            <v>12</v>
          </cell>
          <cell r="L318">
            <v>4</v>
          </cell>
          <cell r="M318">
            <v>0</v>
          </cell>
          <cell r="N318">
            <v>4</v>
          </cell>
          <cell r="O318" t="str">
            <v>7d1c</v>
          </cell>
          <cell r="P318" t="str">
            <v>Nail</v>
          </cell>
          <cell r="Q318" t="str">
            <v>Bash</v>
          </cell>
          <cell r="R318" t="str">
            <v>O-Pa/Po</v>
          </cell>
          <cell r="S318"/>
          <cell r="T318"/>
          <cell r="U318"/>
          <cell r="V318"/>
          <cell r="W318"/>
          <cell r="X318" t="str">
            <v>Undead</v>
          </cell>
        </row>
        <row r="319">
          <cell r="A319" t="str">
            <v>Axe Demon</v>
          </cell>
          <cell r="B319" t="str">
            <v>Axe Demon</v>
          </cell>
          <cell r="C319" t="str">
            <v>1</v>
          </cell>
          <cell r="D319" t="str">
            <v>4</v>
          </cell>
          <cell r="E319">
            <v>4</v>
          </cell>
          <cell r="F319" t="str">
            <v>14</v>
          </cell>
          <cell r="G319" t="str">
            <v>19</v>
          </cell>
          <cell r="H319" t="str">
            <v>2</v>
          </cell>
          <cell r="I319" t="str">
            <v>3</v>
          </cell>
          <cell r="J319">
            <v>345</v>
          </cell>
          <cell r="K319">
            <v>23</v>
          </cell>
          <cell r="L319">
            <v>13</v>
          </cell>
          <cell r="M319">
            <v>13</v>
          </cell>
          <cell r="N319">
            <v>18</v>
          </cell>
          <cell r="O319" t="str">
            <v>7d1f</v>
          </cell>
          <cell r="P319" t="str">
            <v>Skraja</v>
          </cell>
          <cell r="Q319" t="str">
            <v>Fissure</v>
          </cell>
          <cell r="R319"/>
          <cell r="S319"/>
          <cell r="T319"/>
          <cell r="U319"/>
          <cell r="V319"/>
          <cell r="W319"/>
          <cell r="X319" t="str">
            <v>Spirit</v>
          </cell>
        </row>
        <row r="320">
          <cell r="A320" t="str">
            <v>Festering Devourer</v>
          </cell>
          <cell r="B320" t="str">
            <v>Festering Devourer</v>
          </cell>
          <cell r="C320">
            <v>2</v>
          </cell>
          <cell r="D320" t="str">
            <v>3</v>
          </cell>
          <cell r="E320">
            <v>5</v>
          </cell>
          <cell r="F320" t="str">
            <v>03</v>
          </cell>
          <cell r="G320" t="str">
            <v>12</v>
          </cell>
          <cell r="H320" t="str">
            <v>2</v>
          </cell>
          <cell r="I320" t="str">
            <v>1</v>
          </cell>
          <cell r="J320">
            <v>800</v>
          </cell>
          <cell r="K320">
            <v>22</v>
          </cell>
          <cell r="L320">
            <v>13</v>
          </cell>
          <cell r="M320">
            <v>22</v>
          </cell>
          <cell r="N320">
            <v>18</v>
          </cell>
          <cell r="O320" t="str">
            <v>7a39</v>
          </cell>
          <cell r="P320" t="str">
            <v>Devour</v>
          </cell>
          <cell r="Q320" t="str">
            <v>Dissolve</v>
          </cell>
          <cell r="R320" t="str">
            <v>Crash</v>
          </cell>
          <cell r="S320" t="str">
            <v>O-Damage</v>
          </cell>
          <cell r="T320"/>
          <cell r="U320"/>
          <cell r="V320"/>
          <cell r="W320"/>
          <cell r="X320" t="str">
            <v>Aberration</v>
          </cell>
        </row>
        <row r="321">
          <cell r="A321" t="str">
            <v>Goatman</v>
          </cell>
          <cell r="B321" t="str">
            <v>Goatman</v>
          </cell>
          <cell r="C321">
            <v>0</v>
          </cell>
          <cell r="E321">
            <v>3</v>
          </cell>
          <cell r="H321">
            <v>4</v>
          </cell>
          <cell r="I321">
            <v>1</v>
          </cell>
          <cell r="J321">
            <v>126</v>
          </cell>
          <cell r="K321">
            <v>14</v>
          </cell>
          <cell r="L321">
            <v>14</v>
          </cell>
          <cell r="M321">
            <v>10</v>
          </cell>
          <cell r="N321">
            <v>13</v>
          </cell>
          <cell r="P321" t="str">
            <v>Bash</v>
          </cell>
          <cell r="X321" t="str">
            <v>Beast</v>
          </cell>
        </row>
        <row r="322">
          <cell r="A322" t="str">
            <v>Goat Shaman</v>
          </cell>
          <cell r="B322" t="str">
            <v>Goat Shaman</v>
          </cell>
          <cell r="C322">
            <v>1</v>
          </cell>
          <cell r="E322">
            <v>3</v>
          </cell>
          <cell r="H322">
            <v>4</v>
          </cell>
          <cell r="I322">
            <v>2</v>
          </cell>
          <cell r="J322">
            <v>104</v>
          </cell>
          <cell r="K322">
            <v>13</v>
          </cell>
          <cell r="L322">
            <v>13</v>
          </cell>
          <cell r="M322">
            <v>15</v>
          </cell>
          <cell r="N322">
            <v>13</v>
          </cell>
          <cell r="P322" t="str">
            <v>Fire</v>
          </cell>
          <cell r="Q322" t="str">
            <v>Enrage</v>
          </cell>
          <cell r="X322" t="str">
            <v>Beast</v>
          </cell>
        </row>
        <row r="323">
          <cell r="A323" t="str">
            <v>W-Mote</v>
          </cell>
          <cell r="B323" t="str">
            <v>W-Mote</v>
          </cell>
          <cell r="C323">
            <v>0</v>
          </cell>
          <cell r="E323">
            <v>2</v>
          </cell>
          <cell r="H323">
            <v>1</v>
          </cell>
          <cell r="I323">
            <v>1</v>
          </cell>
          <cell r="J323">
            <v>81</v>
          </cell>
          <cell r="K323">
            <v>7</v>
          </cell>
          <cell r="L323">
            <v>9</v>
          </cell>
          <cell r="M323">
            <v>9</v>
          </cell>
          <cell r="N323">
            <v>7</v>
          </cell>
          <cell r="P323" t="str">
            <v>Squirt</v>
          </cell>
          <cell r="Q323" t="str">
            <v>O-Ice</v>
          </cell>
          <cell r="R323" t="str">
            <v>O-Para</v>
          </cell>
          <cell r="S323" t="str">
            <v>X-Thunder</v>
          </cell>
          <cell r="X323" t="str">
            <v>Mutant</v>
          </cell>
        </row>
        <row r="324">
          <cell r="A324" t="str">
            <v>Crane</v>
          </cell>
          <cell r="B324" t="str">
            <v>Crane</v>
          </cell>
          <cell r="C324">
            <v>0</v>
          </cell>
          <cell r="D324" t="str">
            <v>5</v>
          </cell>
          <cell r="E324">
            <v>3</v>
          </cell>
          <cell r="F324" t="str">
            <v>15</v>
          </cell>
          <cell r="G324" t="str">
            <v>16</v>
          </cell>
          <cell r="H324" t="str">
            <v>2</v>
          </cell>
          <cell r="I324">
            <v>1</v>
          </cell>
          <cell r="J324">
            <v>188</v>
          </cell>
          <cell r="K324">
            <v>12</v>
          </cell>
          <cell r="L324">
            <v>19</v>
          </cell>
          <cell r="M324">
            <v>15</v>
          </cell>
          <cell r="N324">
            <v>7</v>
          </cell>
          <cell r="O324" t="str">
            <v>7bd5</v>
          </cell>
          <cell r="P324" t="str">
            <v>Counter</v>
          </cell>
          <cell r="Q324" t="str">
            <v>O-Quake</v>
          </cell>
          <cell r="R324"/>
          <cell r="S324"/>
          <cell r="T324"/>
          <cell r="U324"/>
          <cell r="V324"/>
          <cell r="W324"/>
          <cell r="X324" t="str">
            <v>Flyer</v>
          </cell>
        </row>
        <row r="325">
          <cell r="A325" t="str">
            <v>Wepwawet</v>
          </cell>
          <cell r="B325" t="str">
            <v>Wepwawet</v>
          </cell>
          <cell r="C325">
            <v>2</v>
          </cell>
          <cell r="E325">
            <v>4</v>
          </cell>
          <cell r="H325">
            <v>2</v>
          </cell>
          <cell r="I325">
            <v>3</v>
          </cell>
          <cell r="J325">
            <v>310</v>
          </cell>
          <cell r="K325">
            <v>21</v>
          </cell>
          <cell r="L325">
            <v>21</v>
          </cell>
          <cell r="M325">
            <v>10</v>
          </cell>
          <cell r="N325">
            <v>17</v>
          </cell>
          <cell r="P325" t="str">
            <v>Krantu</v>
          </cell>
          <cell r="Q325" t="str">
            <v>Mirror</v>
          </cell>
          <cell r="R325" t="str">
            <v>Tornado</v>
          </cell>
          <cell r="S325" t="str">
            <v>Recover</v>
          </cell>
          <cell r="X325" t="str">
            <v>Transformed</v>
          </cell>
        </row>
        <row r="326">
          <cell r="A326" t="str">
            <v>Pressure Plate</v>
          </cell>
          <cell r="B326" t="str">
            <v>Pressure Plate</v>
          </cell>
          <cell r="C326">
            <v>0</v>
          </cell>
          <cell r="E326">
            <v>0</v>
          </cell>
          <cell r="H326">
            <v>6</v>
          </cell>
          <cell r="I326">
            <v>1</v>
          </cell>
          <cell r="J326">
            <v>999</v>
          </cell>
          <cell r="K326">
            <v>10</v>
          </cell>
          <cell r="L326">
            <v>10</v>
          </cell>
          <cell r="M326">
            <v>13</v>
          </cell>
          <cell r="N326">
            <v>10</v>
          </cell>
          <cell r="P326" t="str">
            <v>Flame</v>
          </cell>
          <cell r="X326" t="str">
            <v>Environment</v>
          </cell>
        </row>
        <row r="327">
          <cell r="A327" t="str">
            <v>Psi Trooper</v>
          </cell>
          <cell r="B327" t="str">
            <v>Psi Trooper</v>
          </cell>
          <cell r="C327">
            <v>1</v>
          </cell>
          <cell r="E327">
            <v>2</v>
          </cell>
          <cell r="H327">
            <v>1</v>
          </cell>
          <cell r="I327">
            <v>2</v>
          </cell>
          <cell r="J327">
            <v>113</v>
          </cell>
          <cell r="K327">
            <v>7</v>
          </cell>
          <cell r="L327">
            <v>8</v>
          </cell>
          <cell r="M327">
            <v>9</v>
          </cell>
          <cell r="N327">
            <v>8</v>
          </cell>
          <cell r="P327" t="str">
            <v>Psi Knife</v>
          </cell>
          <cell r="Q327" t="str">
            <v>Blizzard</v>
          </cell>
          <cell r="X327" t="str">
            <v>Mutant</v>
          </cell>
        </row>
        <row r="328">
          <cell r="A328" t="str">
            <v>Gunslinger</v>
          </cell>
          <cell r="B328" t="str">
            <v>Gunslinger</v>
          </cell>
          <cell r="C328">
            <v>1</v>
          </cell>
          <cell r="D328" t="str">
            <v>3</v>
          </cell>
          <cell r="E328">
            <v>4</v>
          </cell>
          <cell r="F328" t="str">
            <v>03</v>
          </cell>
          <cell r="G328" t="str">
            <v>86</v>
          </cell>
          <cell r="H328" t="str">
            <v>3</v>
          </cell>
          <cell r="I328" t="str">
            <v>1</v>
          </cell>
          <cell r="J328">
            <v>900</v>
          </cell>
          <cell r="K328">
            <v>18</v>
          </cell>
          <cell r="L328">
            <v>18</v>
          </cell>
          <cell r="M328">
            <v>0</v>
          </cell>
          <cell r="N328">
            <v>22</v>
          </cell>
          <cell r="O328" t="str">
            <v>7dc1</v>
          </cell>
          <cell r="P328" t="str">
            <v>Rifle</v>
          </cell>
          <cell r="Q328" t="str">
            <v>Slip Colt</v>
          </cell>
          <cell r="R328" t="str">
            <v>O-Pa/Po</v>
          </cell>
          <cell r="S328"/>
          <cell r="T328"/>
          <cell r="U328"/>
          <cell r="V328"/>
          <cell r="W328"/>
          <cell r="X328" t="str">
            <v>Robot</v>
          </cell>
        </row>
        <row r="329">
          <cell r="A329" t="str">
            <v>Pitfall</v>
          </cell>
          <cell r="B329" t="str">
            <v>Pitfall</v>
          </cell>
          <cell r="C329">
            <v>0</v>
          </cell>
          <cell r="E329">
            <v>1</v>
          </cell>
          <cell r="H329">
            <v>6</v>
          </cell>
          <cell r="I329">
            <v>1</v>
          </cell>
          <cell r="J329">
            <v>999</v>
          </cell>
          <cell r="K329">
            <v>1</v>
          </cell>
          <cell r="L329">
            <v>5</v>
          </cell>
          <cell r="M329">
            <v>1</v>
          </cell>
          <cell r="N329">
            <v>1</v>
          </cell>
          <cell r="P329" t="str">
            <v>Pitfall</v>
          </cell>
          <cell r="X329" t="str">
            <v>Environment</v>
          </cell>
        </row>
        <row r="330">
          <cell r="A330" t="str">
            <v>ASHURA</v>
          </cell>
          <cell r="B330" t="str">
            <v>ASHURA</v>
          </cell>
          <cell r="C330">
            <v>4</v>
          </cell>
          <cell r="D330" t="str">
            <v>7</v>
          </cell>
          <cell r="E330">
            <v>7</v>
          </cell>
          <cell r="F330">
            <v>37</v>
          </cell>
          <cell r="G330" t="str">
            <v>40</v>
          </cell>
          <cell r="H330" t="str">
            <v>2</v>
          </cell>
          <cell r="I330">
            <v>6</v>
          </cell>
          <cell r="J330">
            <v>2000</v>
          </cell>
          <cell r="K330">
            <v>18</v>
          </cell>
          <cell r="L330">
            <v>18</v>
          </cell>
          <cell r="M330">
            <v>18</v>
          </cell>
          <cell r="N330">
            <v>18</v>
          </cell>
          <cell r="O330" t="str">
            <v>7e92</v>
          </cell>
          <cell r="P330" t="str">
            <v>6-Arms</v>
          </cell>
          <cell r="Q330" t="str">
            <v>3-Heads</v>
          </cell>
          <cell r="R330" t="str">
            <v>PowerUp</v>
          </cell>
          <cell r="S330" t="str">
            <v>Flare</v>
          </cell>
          <cell r="T330" t="str">
            <v>Blind</v>
          </cell>
          <cell r="U330" t="str">
            <v>O-Weapon</v>
          </cell>
          <cell r="V330" t="str">
            <v>O-Para</v>
          </cell>
          <cell r="W330" t="str">
            <v>O-Damage</v>
          </cell>
          <cell r="X330" t="str">
            <v>God</v>
          </cell>
        </row>
        <row r="331">
          <cell r="A331" t="str">
            <v>Arthur</v>
          </cell>
          <cell r="B331" t="str">
            <v>Arthur</v>
          </cell>
          <cell r="C331">
            <v>0</v>
          </cell>
          <cell r="E331">
            <v>4</v>
          </cell>
          <cell r="H331">
            <v>0</v>
          </cell>
          <cell r="I331">
            <v>1</v>
          </cell>
          <cell r="J331">
            <v>323</v>
          </cell>
          <cell r="K331">
            <v>18</v>
          </cell>
          <cell r="L331">
            <v>15</v>
          </cell>
          <cell r="M331">
            <v>9</v>
          </cell>
          <cell r="N331">
            <v>15</v>
          </cell>
          <cell r="P331" t="str">
            <v>Battle Sword</v>
          </cell>
          <cell r="Q331" t="str">
            <v>Gold Helm</v>
          </cell>
          <cell r="R331" t="str">
            <v>Gold Glove</v>
          </cell>
          <cell r="S331" t="str">
            <v>Pendant</v>
          </cell>
          <cell r="T331" t="str">
            <v>O-Fire</v>
          </cell>
          <cell r="X331" t="str">
            <v>Human</v>
          </cell>
        </row>
        <row r="332">
          <cell r="A332" t="str">
            <v>Curtis</v>
          </cell>
          <cell r="B332" t="str">
            <v>Curtis</v>
          </cell>
          <cell r="C332">
            <v>2</v>
          </cell>
          <cell r="E332">
            <v>4</v>
          </cell>
          <cell r="H332">
            <v>1</v>
          </cell>
          <cell r="I332">
            <v>3</v>
          </cell>
          <cell r="J332">
            <v>287</v>
          </cell>
          <cell r="K332">
            <v>9</v>
          </cell>
          <cell r="L332">
            <v>16</v>
          </cell>
          <cell r="M332">
            <v>20</v>
          </cell>
          <cell r="N332">
            <v>15</v>
          </cell>
          <cell r="P332" t="str">
            <v>Ice</v>
          </cell>
          <cell r="Q332" t="str">
            <v>Cure</v>
          </cell>
          <cell r="R332" t="str">
            <v>Thunder</v>
          </cell>
          <cell r="S332" t="str">
            <v>Psi Knife</v>
          </cell>
          <cell r="T332" t="str">
            <v>O-Thunder</v>
          </cell>
          <cell r="X332" t="str">
            <v>Mutant</v>
          </cell>
        </row>
        <row r="333">
          <cell r="A333" t="str">
            <v>Gloria</v>
          </cell>
          <cell r="B333" t="str">
            <v>Gloria</v>
          </cell>
          <cell r="C333">
            <v>2</v>
          </cell>
          <cell r="E333">
            <v>4</v>
          </cell>
          <cell r="H333">
            <v>1</v>
          </cell>
          <cell r="I333">
            <v>3</v>
          </cell>
          <cell r="J333">
            <v>283</v>
          </cell>
          <cell r="K333">
            <v>8</v>
          </cell>
          <cell r="L333">
            <v>15</v>
          </cell>
          <cell r="M333">
            <v>21</v>
          </cell>
          <cell r="N333">
            <v>15</v>
          </cell>
          <cell r="P333" t="str">
            <v>Ice</v>
          </cell>
          <cell r="Q333" t="str">
            <v>Cure</v>
          </cell>
          <cell r="R333" t="str">
            <v>Thunder</v>
          </cell>
          <cell r="S333" t="str">
            <v>Psi Knife</v>
          </cell>
          <cell r="T333" t="str">
            <v>O-Ice</v>
          </cell>
          <cell r="X333" t="str">
            <v>Mutant</v>
          </cell>
        </row>
        <row r="334">
          <cell r="A334" t="str">
            <v>Sharon</v>
          </cell>
          <cell r="B334" t="str">
            <v>Sharon</v>
          </cell>
          <cell r="C334">
            <v>0</v>
          </cell>
          <cell r="E334">
            <v>4</v>
          </cell>
          <cell r="H334">
            <v>0</v>
          </cell>
          <cell r="I334">
            <v>1</v>
          </cell>
          <cell r="J334">
            <v>319</v>
          </cell>
          <cell r="K334">
            <v>15</v>
          </cell>
          <cell r="L334">
            <v>18</v>
          </cell>
          <cell r="M334">
            <v>10</v>
          </cell>
          <cell r="N334">
            <v>16</v>
          </cell>
          <cell r="P334" t="str">
            <v>Sabre</v>
          </cell>
          <cell r="Q334" t="str">
            <v>Gold Helm</v>
          </cell>
          <cell r="R334" t="str">
            <v>Gold Glove</v>
          </cell>
          <cell r="S334" t="str">
            <v>Pendant</v>
          </cell>
          <cell r="T334" t="str">
            <v>O-Quake</v>
          </cell>
          <cell r="X334" t="str">
            <v>Human</v>
          </cell>
        </row>
        <row r="335">
          <cell r="A335" t="str">
            <v>MechAshura Mk II</v>
          </cell>
          <cell r="B335" t="str">
            <v>MechAshura Mk II</v>
          </cell>
          <cell r="C335">
            <v>2</v>
          </cell>
          <cell r="D335" t="str">
            <v>7</v>
          </cell>
          <cell r="E335">
            <v>7</v>
          </cell>
          <cell r="F335">
            <v>37</v>
          </cell>
          <cell r="G335" t="str">
            <v>40</v>
          </cell>
          <cell r="H335">
            <v>3</v>
          </cell>
          <cell r="I335" t="str">
            <v>4</v>
          </cell>
          <cell r="J335">
            <v>900</v>
          </cell>
          <cell r="K335">
            <v>18</v>
          </cell>
          <cell r="L335">
            <v>18</v>
          </cell>
          <cell r="M335">
            <v>0</v>
          </cell>
          <cell r="N335">
            <v>18</v>
          </cell>
          <cell r="O335" t="str">
            <v>7e92</v>
          </cell>
          <cell r="P335" t="str">
            <v>6-Arms</v>
          </cell>
          <cell r="Q335" t="str">
            <v>Goblin Torch</v>
          </cell>
          <cell r="R335" t="str">
            <v>ChainSaw</v>
          </cell>
          <cell r="S335" t="str">
            <v>O-Damage</v>
          </cell>
          <cell r="T335" t="str">
            <v>O-Pa/Po</v>
          </cell>
          <cell r="U335" t="str">
            <v>Explode</v>
          </cell>
          <cell r="V335"/>
          <cell r="W335"/>
          <cell r="X335" t="str">
            <v>God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S1" t="str">
            <v>Rando</v>
          </cell>
          <cell r="T1" t="str">
            <v>Cuthbert</v>
          </cell>
          <cell r="U1" t="str">
            <v>DM</v>
          </cell>
          <cell r="V1" t="str">
            <v>Spiralex</v>
          </cell>
        </row>
        <row r="2">
          <cell r="S2">
            <v>1</v>
          </cell>
        </row>
        <row r="4">
          <cell r="U4">
            <v>2</v>
          </cell>
        </row>
        <row r="5">
          <cell r="S5">
            <v>2</v>
          </cell>
        </row>
        <row r="8">
          <cell r="S8">
            <v>2</v>
          </cell>
          <cell r="T8">
            <v>2</v>
          </cell>
          <cell r="U8">
            <v>2</v>
          </cell>
        </row>
        <row r="9">
          <cell r="S9">
            <v>3</v>
          </cell>
        </row>
        <row r="12">
          <cell r="T12">
            <v>2</v>
          </cell>
        </row>
        <row r="13">
          <cell r="T13">
            <v>2</v>
          </cell>
          <cell r="U13">
            <v>2</v>
          </cell>
        </row>
        <row r="14">
          <cell r="S14">
            <v>3</v>
          </cell>
          <cell r="U14">
            <v>3</v>
          </cell>
          <cell r="V14">
            <v>3</v>
          </cell>
        </row>
        <row r="15">
          <cell r="S15">
            <v>2</v>
          </cell>
        </row>
        <row r="16">
          <cell r="U16">
            <v>3</v>
          </cell>
        </row>
        <row r="17">
          <cell r="S17">
            <v>5</v>
          </cell>
        </row>
        <row r="18">
          <cell r="S18">
            <v>2</v>
          </cell>
        </row>
        <row r="20">
          <cell r="S20">
            <v>1</v>
          </cell>
        </row>
        <row r="21">
          <cell r="U21">
            <v>3</v>
          </cell>
        </row>
        <row r="22">
          <cell r="S22">
            <v>3</v>
          </cell>
          <cell r="U22">
            <v>1</v>
          </cell>
        </row>
        <row r="23">
          <cell r="S23">
            <v>2</v>
          </cell>
          <cell r="T23">
            <v>2</v>
          </cell>
        </row>
        <row r="24">
          <cell r="S24">
            <v>2</v>
          </cell>
          <cell r="U24">
            <v>2</v>
          </cell>
        </row>
        <row r="25">
          <cell r="U25">
            <v>2</v>
          </cell>
        </row>
        <row r="26">
          <cell r="S26">
            <v>1</v>
          </cell>
          <cell r="T26">
            <v>1</v>
          </cell>
        </row>
        <row r="27">
          <cell r="T27">
            <v>3</v>
          </cell>
          <cell r="U27">
            <v>3</v>
          </cell>
          <cell r="V27">
            <v>3</v>
          </cell>
        </row>
        <row r="29">
          <cell r="S29">
            <v>1</v>
          </cell>
        </row>
        <row r="30">
          <cell r="S30">
            <v>2</v>
          </cell>
          <cell r="T30">
            <v>2</v>
          </cell>
          <cell r="U30">
            <v>2</v>
          </cell>
        </row>
        <row r="31">
          <cell r="U31">
            <v>3</v>
          </cell>
        </row>
        <row r="32">
          <cell r="S32">
            <v>3</v>
          </cell>
        </row>
        <row r="33">
          <cell r="S33">
            <v>1</v>
          </cell>
          <cell r="T33">
            <v>1</v>
          </cell>
        </row>
        <row r="34">
          <cell r="T34">
            <v>3</v>
          </cell>
          <cell r="U34">
            <v>3</v>
          </cell>
        </row>
        <row r="35">
          <cell r="S35">
            <v>2</v>
          </cell>
          <cell r="T35">
            <v>2</v>
          </cell>
          <cell r="V35">
            <v>11</v>
          </cell>
        </row>
        <row r="37">
          <cell r="T37">
            <v>3</v>
          </cell>
          <cell r="U37">
            <v>3</v>
          </cell>
        </row>
        <row r="38">
          <cell r="S38">
            <v>38</v>
          </cell>
          <cell r="T38">
            <v>23</v>
          </cell>
          <cell r="U38">
            <v>34</v>
          </cell>
          <cell r="V38">
            <v>17</v>
          </cell>
        </row>
      </sheetData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 t="str">
            <v>Axe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 t="str">
            <v>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 t="str">
            <v>Agl +6</v>
          </cell>
          <cell r="N21" t="str">
            <v>Agl</v>
          </cell>
          <cell r="O21">
            <v>4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Blade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3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3</v>
          </cell>
        </row>
        <row r="29">
          <cell r="A29" t="str">
            <v>Iron Spear</v>
          </cell>
          <cell r="B29" t="str">
            <v>Iron Spear</v>
          </cell>
          <cell r="C29" t="str">
            <v>Iron</v>
          </cell>
          <cell r="D29" t="str">
            <v>Spear</v>
          </cell>
          <cell r="E29"/>
          <cell r="F29"/>
          <cell r="G29">
            <v>50</v>
          </cell>
          <cell r="H29">
            <v>1400</v>
          </cell>
          <cell r="I29"/>
          <cell r="J29"/>
          <cell r="K29"/>
          <cell r="L29">
            <v>27</v>
          </cell>
          <cell r="M29" t="str">
            <v>Str +6</v>
          </cell>
          <cell r="N29" t="str">
            <v>Str</v>
          </cell>
          <cell r="O29" t="str">
            <v>6</v>
          </cell>
        </row>
        <row r="30">
          <cell r="A30" t="str">
            <v>Silver Glove</v>
          </cell>
          <cell r="B30" t="str">
            <v>Silver Glove</v>
          </cell>
          <cell r="C30" t="str">
            <v>Silver</v>
          </cell>
          <cell r="D30" t="str">
            <v>Glove</v>
          </cell>
          <cell r="E30">
            <v>59</v>
          </cell>
          <cell r="F30" t="str">
            <v>3B</v>
          </cell>
          <cell r="G30">
            <v>-2</v>
          </cell>
          <cell r="H30">
            <v>700</v>
          </cell>
          <cell r="I30">
            <v>2</v>
          </cell>
          <cell r="J30"/>
          <cell r="K30"/>
          <cell r="L30">
            <v>27</v>
          </cell>
          <cell r="M30" t="str">
            <v>Def +6</v>
          </cell>
          <cell r="N30" t="str">
            <v>Def</v>
          </cell>
          <cell r="O30">
            <v>4</v>
          </cell>
        </row>
        <row r="31">
          <cell r="A31" t="str">
            <v>Soft Potion</v>
          </cell>
          <cell r="B31" t="str">
            <v>Soft Potion</v>
          </cell>
          <cell r="C31" t="str">
            <v>Soft</v>
          </cell>
          <cell r="D31" t="str">
            <v>Potion</v>
          </cell>
          <cell r="E31">
            <v>66</v>
          </cell>
          <cell r="F31">
            <v>42</v>
          </cell>
          <cell r="G31">
            <v>4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Power Potion</v>
          </cell>
          <cell r="B32" t="str">
            <v>Power Potion</v>
          </cell>
          <cell r="C32" t="str">
            <v>Power</v>
          </cell>
          <cell r="D32" t="str">
            <v>Potion</v>
          </cell>
          <cell r="E32">
            <v>67</v>
          </cell>
          <cell r="F32">
            <v>43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Speed Potion</v>
          </cell>
          <cell r="B33" t="str">
            <v>Speed Potion</v>
          </cell>
          <cell r="C33" t="str">
            <v>Speed</v>
          </cell>
          <cell r="D33" t="str">
            <v>Potion</v>
          </cell>
          <cell r="E33">
            <v>68</v>
          </cell>
          <cell r="F33">
            <v>44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Magic Potion</v>
          </cell>
          <cell r="B34" t="str">
            <v>Magic Potion</v>
          </cell>
          <cell r="C34" t="str">
            <v>Magic</v>
          </cell>
          <cell r="D34" t="str">
            <v>Potion</v>
          </cell>
          <cell r="E34">
            <v>69</v>
          </cell>
          <cell r="F34">
            <v>45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Body Potion</v>
          </cell>
          <cell r="B35" t="str">
            <v>Body Potion</v>
          </cell>
          <cell r="C35" t="str">
            <v>Body</v>
          </cell>
          <cell r="D35" t="str">
            <v>Potion</v>
          </cell>
          <cell r="E35">
            <v>70</v>
          </cell>
          <cell r="F35">
            <v>46</v>
          </cell>
          <cell r="G35">
            <v>1</v>
          </cell>
          <cell r="H35">
            <v>1000</v>
          </cell>
          <cell r="I35"/>
          <cell r="J35"/>
          <cell r="K35"/>
          <cell r="L35">
            <v>9</v>
          </cell>
          <cell r="M35">
            <v>0</v>
          </cell>
          <cell r="N35">
            <v>0</v>
          </cell>
          <cell r="O35">
            <v>0</v>
          </cell>
        </row>
        <row r="36">
          <cell r="A36" t="str">
            <v>Hand Axe</v>
          </cell>
          <cell r="B36" t="str">
            <v>Hand Axe</v>
          </cell>
          <cell r="C36" t="str">
            <v>Hand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400</v>
          </cell>
          <cell r="I36"/>
          <cell r="J36"/>
          <cell r="K36"/>
          <cell r="L36">
            <v>18</v>
          </cell>
          <cell r="M36" t="str">
            <v>Str +4</v>
          </cell>
          <cell r="N36" t="str">
            <v>Str</v>
          </cell>
          <cell r="O36" t="str">
            <v>4</v>
          </cell>
        </row>
        <row r="37">
          <cell r="A37" t="str">
            <v>Axe</v>
          </cell>
          <cell r="B37" t="str">
            <v>Axe</v>
          </cell>
          <cell r="C37" t="str">
            <v>Axe</v>
          </cell>
          <cell r="D37" t="str">
            <v>Axe</v>
          </cell>
          <cell r="E37">
            <v>2</v>
          </cell>
          <cell r="F37" t="str">
            <v>02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Str +6</v>
          </cell>
          <cell r="N37" t="str">
            <v>Str</v>
          </cell>
          <cell r="O37" t="str">
            <v>6</v>
          </cell>
        </row>
        <row r="38">
          <cell r="A38" t="str">
            <v>Silver Shield</v>
          </cell>
          <cell r="B38" t="str">
            <v>Silver Shield</v>
          </cell>
          <cell r="C38" t="str">
            <v>Silver</v>
          </cell>
          <cell r="D38" t="str">
            <v>Shield</v>
          </cell>
          <cell r="E38">
            <v>24</v>
          </cell>
          <cell r="F38">
            <v>18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Silver Helm</v>
          </cell>
          <cell r="B39" t="str">
            <v>Silver Helm</v>
          </cell>
          <cell r="C39" t="str">
            <v>Silver</v>
          </cell>
          <cell r="D39" t="str">
            <v>Helm</v>
          </cell>
          <cell r="E39">
            <v>50</v>
          </cell>
          <cell r="F39">
            <v>32</v>
          </cell>
          <cell r="G39">
            <v>-2</v>
          </cell>
          <cell r="H39">
            <v>1400</v>
          </cell>
          <cell r="I39">
            <v>4</v>
          </cell>
          <cell r="J39"/>
          <cell r="K39"/>
          <cell r="L39">
            <v>27</v>
          </cell>
          <cell r="M39" t="str">
            <v>Def +6</v>
          </cell>
          <cell r="N39" t="str">
            <v>Def</v>
          </cell>
          <cell r="O39">
            <v>4</v>
          </cell>
        </row>
        <row r="40">
          <cell r="A40" t="str">
            <v>Colt</v>
          </cell>
          <cell r="B40" t="str">
            <v>Colt</v>
          </cell>
          <cell r="C40" t="str">
            <v>Colt</v>
          </cell>
          <cell r="D40" t="str">
            <v>Gun</v>
          </cell>
          <cell r="E40">
            <v>76</v>
          </cell>
          <cell r="F40" t="str">
            <v>4C</v>
          </cell>
          <cell r="G40">
            <v>50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Str +6</v>
          </cell>
          <cell r="N40" t="str">
            <v>Str</v>
          </cell>
          <cell r="O40" t="str">
            <v>6</v>
          </cell>
        </row>
        <row r="41">
          <cell r="A41" t="str">
            <v>R-Kick</v>
          </cell>
          <cell r="B41" t="str">
            <v>R-Kick</v>
          </cell>
          <cell r="C41" t="str">
            <v>R-Kick</v>
          </cell>
          <cell r="D41" t="str">
            <v>Art</v>
          </cell>
          <cell r="E41">
            <v>80</v>
          </cell>
          <cell r="F41">
            <v>50</v>
          </cell>
          <cell r="G41">
            <v>60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>
            <v>0</v>
          </cell>
          <cell r="O41" t="str">
            <v>6</v>
          </cell>
        </row>
        <row r="42">
          <cell r="A42" t="str">
            <v>Stun Gun</v>
          </cell>
          <cell r="B42" t="str">
            <v>Stun Gun</v>
          </cell>
          <cell r="C42" t="str">
            <v>Stun</v>
          </cell>
          <cell r="D42" t="str">
            <v>Gun</v>
          </cell>
          <cell r="E42">
            <v>86</v>
          </cell>
          <cell r="F42">
            <v>56</v>
          </cell>
          <cell r="G42">
            <v>40</v>
          </cell>
          <cell r="H42">
            <v>1400</v>
          </cell>
          <cell r="I42"/>
          <cell r="J42"/>
          <cell r="K42"/>
          <cell r="L42">
            <v>27</v>
          </cell>
          <cell r="M42" t="str">
            <v>Agl +6</v>
          </cell>
          <cell r="N42" t="str">
            <v>Agl</v>
          </cell>
          <cell r="O42">
            <v>4</v>
          </cell>
        </row>
        <row r="43">
          <cell r="A43" t="str">
            <v>Psi Knife</v>
          </cell>
          <cell r="B43" t="str">
            <v>Psi Knife</v>
          </cell>
          <cell r="C43" t="str">
            <v>Psi</v>
          </cell>
          <cell r="D43" t="str">
            <v>Blade</v>
          </cell>
          <cell r="E43">
            <v>109</v>
          </cell>
          <cell r="F43" t="str">
            <v>6D</v>
          </cell>
          <cell r="G43">
            <v>50</v>
          </cell>
          <cell r="H43">
            <v>1400</v>
          </cell>
          <cell r="I43"/>
          <cell r="J43"/>
          <cell r="K43"/>
          <cell r="L43">
            <v>27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NukeBomb</v>
          </cell>
          <cell r="B44" t="str">
            <v>NukeBomb</v>
          </cell>
          <cell r="C44" t="str">
            <v>NukeBomb</v>
          </cell>
          <cell r="D44"/>
          <cell r="E44">
            <v>97</v>
          </cell>
          <cell r="F44">
            <v>61</v>
          </cell>
          <cell r="G44">
            <v>1</v>
          </cell>
          <cell r="H44">
            <v>1464</v>
          </cell>
          <cell r="I44"/>
          <cell r="J44"/>
          <cell r="K44"/>
          <cell r="L44">
            <v>144</v>
          </cell>
          <cell r="M44">
            <v>0</v>
          </cell>
          <cell r="N44">
            <v>0</v>
          </cell>
          <cell r="O44">
            <v>0</v>
          </cell>
        </row>
        <row r="45">
          <cell r="A45" t="str">
            <v>Silver Armor</v>
          </cell>
          <cell r="B45" t="str">
            <v>Silver Armor</v>
          </cell>
          <cell r="C45" t="str">
            <v>Silver</v>
          </cell>
          <cell r="D45" t="str">
            <v>Armor</v>
          </cell>
          <cell r="E45">
            <v>54</v>
          </cell>
          <cell r="F45">
            <v>36</v>
          </cell>
          <cell r="G45">
            <v>-2</v>
          </cell>
          <cell r="H45">
            <v>2100</v>
          </cell>
          <cell r="I45">
            <v>7</v>
          </cell>
          <cell r="J45"/>
          <cell r="K45"/>
          <cell r="L45">
            <v>27</v>
          </cell>
          <cell r="M45" t="str">
            <v>Def +6</v>
          </cell>
          <cell r="N45" t="str">
            <v>Def</v>
          </cell>
          <cell r="O45">
            <v>4</v>
          </cell>
        </row>
        <row r="46">
          <cell r="A46" t="str">
            <v>Geta Boot</v>
          </cell>
          <cell r="B46" t="str">
            <v>Geta Boot</v>
          </cell>
          <cell r="C46" t="str">
            <v>Geta</v>
          </cell>
          <cell r="D46" t="str">
            <v>Boot</v>
          </cell>
          <cell r="E46">
            <v>101</v>
          </cell>
          <cell r="F46">
            <v>65</v>
          </cell>
          <cell r="G46">
            <v>-2</v>
          </cell>
          <cell r="H46">
            <v>2800</v>
          </cell>
          <cell r="I46">
            <v>2</v>
          </cell>
          <cell r="J46" t="str">
            <v>Str</v>
          </cell>
          <cell r="K46">
            <v>5</v>
          </cell>
          <cell r="L46">
            <v>27</v>
          </cell>
          <cell r="M46" t="str">
            <v>Def +6</v>
          </cell>
          <cell r="N46" t="str">
            <v>Def</v>
          </cell>
          <cell r="O46" t="str">
            <v>6</v>
          </cell>
        </row>
        <row r="47">
          <cell r="A47" t="str">
            <v>Battle Sword</v>
          </cell>
          <cell r="B47" t="str">
            <v>Battle Sword</v>
          </cell>
          <cell r="C47" t="str">
            <v>Battle</v>
          </cell>
          <cell r="D47" t="str">
            <v>Sword</v>
          </cell>
          <cell r="E47">
            <v>3</v>
          </cell>
          <cell r="F47" t="str">
            <v>03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Str +8</v>
          </cell>
          <cell r="N47" t="str">
            <v>Str</v>
          </cell>
          <cell r="O47" t="str">
            <v>8</v>
          </cell>
        </row>
        <row r="48">
          <cell r="A48" t="str">
            <v>Sabre</v>
          </cell>
          <cell r="B48" t="str">
            <v>Sabre</v>
          </cell>
          <cell r="C48" t="str">
            <v>Sabre</v>
          </cell>
          <cell r="D48" t="str">
            <v>Blade</v>
          </cell>
          <cell r="E48">
            <v>16</v>
          </cell>
          <cell r="F48">
            <v>10</v>
          </cell>
          <cell r="G48">
            <v>50</v>
          </cell>
          <cell r="H48">
            <v>3200</v>
          </cell>
          <cell r="I48"/>
          <cell r="J48"/>
          <cell r="K48"/>
          <cell r="L48">
            <v>36</v>
          </cell>
          <cell r="M48" t="str">
            <v>Agl +8</v>
          </cell>
          <cell r="N48" t="str">
            <v>Agl</v>
          </cell>
          <cell r="O48">
            <v>6</v>
          </cell>
        </row>
        <row r="49">
          <cell r="A49" t="str">
            <v>Gold Glove</v>
          </cell>
          <cell r="B49" t="str">
            <v>Gold Glove</v>
          </cell>
          <cell r="C49" t="str">
            <v>Gold</v>
          </cell>
          <cell r="D49" t="str">
            <v>Glove</v>
          </cell>
          <cell r="E49">
            <v>60</v>
          </cell>
          <cell r="F49" t="str">
            <v>3C</v>
          </cell>
          <cell r="G49">
            <v>-2</v>
          </cell>
          <cell r="H49">
            <v>3400</v>
          </cell>
          <cell r="I49">
            <v>4</v>
          </cell>
          <cell r="J49"/>
          <cell r="K49"/>
          <cell r="L49">
            <v>45</v>
          </cell>
          <cell r="M49" t="str">
            <v>Def +10</v>
          </cell>
          <cell r="N49" t="str">
            <v>Def</v>
          </cell>
          <cell r="O49">
            <v>8</v>
          </cell>
        </row>
        <row r="50">
          <cell r="A50" t="str">
            <v>Kimono</v>
          </cell>
          <cell r="B50" t="str">
            <v>Kimono</v>
          </cell>
          <cell r="C50" t="str">
            <v>Kimono</v>
          </cell>
          <cell r="D50" t="str">
            <v>Armor</v>
          </cell>
          <cell r="E50">
            <v>104</v>
          </cell>
          <cell r="F50">
            <v>68</v>
          </cell>
          <cell r="G50">
            <v>-2</v>
          </cell>
          <cell r="H50">
            <v>4800</v>
          </cell>
          <cell r="I50">
            <v>10</v>
          </cell>
          <cell r="J50" t="str">
            <v>Agl</v>
          </cell>
          <cell r="K50">
            <v>5</v>
          </cell>
          <cell r="L50">
            <v>9</v>
          </cell>
          <cell r="M50" t="str">
            <v>Def +2</v>
          </cell>
          <cell r="N50" t="str">
            <v>Def</v>
          </cell>
          <cell r="O50" t="str">
            <v>2</v>
          </cell>
        </row>
        <row r="51">
          <cell r="A51" t="str">
            <v>Abacus</v>
          </cell>
          <cell r="B51" t="str">
            <v>Abacus</v>
          </cell>
          <cell r="C51" t="str">
            <v>Abacus</v>
          </cell>
          <cell r="D51"/>
          <cell r="E51">
            <v>33</v>
          </cell>
          <cell r="F51">
            <v>21</v>
          </cell>
          <cell r="G51">
            <v>30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Elixir</v>
          </cell>
          <cell r="B52" t="str">
            <v>Elixir</v>
          </cell>
          <cell r="C52" t="str">
            <v>Elixir</v>
          </cell>
          <cell r="D52"/>
          <cell r="E52">
            <v>65</v>
          </cell>
          <cell r="F52">
            <v>41</v>
          </cell>
          <cell r="G52">
            <v>1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 xml:space="preserve">Door </v>
          </cell>
          <cell r="B53" t="str">
            <v xml:space="preserve">Door </v>
          </cell>
          <cell r="C53" t="str">
            <v>Door</v>
          </cell>
          <cell r="D53"/>
          <cell r="E53">
            <v>119</v>
          </cell>
          <cell r="F53">
            <v>77</v>
          </cell>
          <cell r="G53">
            <v>3</v>
          </cell>
          <cell r="H53">
            <v>5000</v>
          </cell>
          <cell r="I53"/>
          <cell r="J53"/>
          <cell r="K53"/>
          <cell r="L53">
            <v>9</v>
          </cell>
          <cell r="M53">
            <v>0</v>
          </cell>
          <cell r="N53">
            <v>0</v>
          </cell>
          <cell r="O53">
            <v>0</v>
          </cell>
        </row>
        <row r="54">
          <cell r="A54" t="str">
            <v>Katana</v>
          </cell>
          <cell r="B54" t="str">
            <v>Katana</v>
          </cell>
          <cell r="C54" t="str">
            <v>Katana</v>
          </cell>
          <cell r="D54" t="str">
            <v>Sword</v>
          </cell>
          <cell r="E54">
            <v>4</v>
          </cell>
          <cell r="F54" t="str">
            <v>04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Str +10</v>
          </cell>
          <cell r="N54" t="str">
            <v>Str</v>
          </cell>
          <cell r="O54" t="str">
            <v>10</v>
          </cell>
        </row>
        <row r="55">
          <cell r="A55" t="str">
            <v>Gold Bow</v>
          </cell>
          <cell r="B55" t="str">
            <v>Gold Bow</v>
          </cell>
          <cell r="C55" t="str">
            <v>Gold</v>
          </cell>
          <cell r="D55" t="str">
            <v>Bow</v>
          </cell>
          <cell r="E55">
            <v>22</v>
          </cell>
          <cell r="F55">
            <v>16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Agl +10</v>
          </cell>
          <cell r="N55" t="str">
            <v>Agl</v>
          </cell>
          <cell r="O55">
            <v>7</v>
          </cell>
        </row>
        <row r="56">
          <cell r="A56" t="str">
            <v>Gold Shield</v>
          </cell>
          <cell r="B56" t="str">
            <v>Gold Shield</v>
          </cell>
          <cell r="C56" t="str">
            <v>Gold</v>
          </cell>
          <cell r="D56" t="str">
            <v>Shield</v>
          </cell>
          <cell r="E56">
            <v>25</v>
          </cell>
          <cell r="F56">
            <v>19</v>
          </cell>
          <cell r="G56">
            <v>50</v>
          </cell>
          <cell r="H56">
            <v>6800</v>
          </cell>
          <cell r="I56"/>
          <cell r="J56"/>
          <cell r="K56"/>
          <cell r="L56">
            <v>45</v>
          </cell>
          <cell r="M56" t="str">
            <v>Def +10</v>
          </cell>
          <cell r="N56" t="str">
            <v>Def</v>
          </cell>
          <cell r="O56">
            <v>8</v>
          </cell>
        </row>
        <row r="57">
          <cell r="A57" t="str">
            <v>Cure Book</v>
          </cell>
          <cell r="B57" t="str">
            <v>Cure Book</v>
          </cell>
          <cell r="C57" t="str">
            <v>Cure</v>
          </cell>
          <cell r="D57" t="str">
            <v>Book</v>
          </cell>
          <cell r="E57">
            <v>36</v>
          </cell>
          <cell r="F57">
            <v>24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Prayer Book</v>
          </cell>
          <cell r="B58" t="str">
            <v>Prayer Book</v>
          </cell>
          <cell r="C58" t="str">
            <v>Prayer</v>
          </cell>
          <cell r="D58" t="str">
            <v>Book</v>
          </cell>
          <cell r="E58">
            <v>37</v>
          </cell>
          <cell r="F58">
            <v>25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Fire Book</v>
          </cell>
          <cell r="B59" t="str">
            <v>Fire Book</v>
          </cell>
          <cell r="C59" t="str">
            <v>Fire</v>
          </cell>
          <cell r="D59" t="str">
            <v>Book</v>
          </cell>
          <cell r="E59">
            <v>38</v>
          </cell>
          <cell r="F59">
            <v>26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Ice Book</v>
          </cell>
          <cell r="B60" t="str">
            <v>Ice Book</v>
          </cell>
          <cell r="C60" t="str">
            <v>Ice</v>
          </cell>
          <cell r="D60" t="str">
            <v>Book</v>
          </cell>
          <cell r="E60">
            <v>39</v>
          </cell>
          <cell r="F60">
            <v>27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Thunder Book</v>
          </cell>
          <cell r="B61" t="str">
            <v>Thunder Book</v>
          </cell>
          <cell r="C61" t="str">
            <v>Thunder</v>
          </cell>
          <cell r="D61" t="str">
            <v>Book</v>
          </cell>
          <cell r="E61">
            <v>40</v>
          </cell>
          <cell r="F61">
            <v>28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Poison Book</v>
          </cell>
          <cell r="B62" t="str">
            <v>Poison Book</v>
          </cell>
          <cell r="C62" t="str">
            <v>Poison</v>
          </cell>
          <cell r="D62" t="str">
            <v>Book</v>
          </cell>
          <cell r="E62">
            <v>41</v>
          </cell>
          <cell r="F62">
            <v>29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Sleep Book</v>
          </cell>
          <cell r="B63" t="str">
            <v>Sleep Book</v>
          </cell>
          <cell r="C63" t="str">
            <v>Sleep</v>
          </cell>
          <cell r="D63" t="str">
            <v>Book</v>
          </cell>
          <cell r="E63">
            <v>42</v>
          </cell>
          <cell r="F63" t="str">
            <v>2A</v>
          </cell>
          <cell r="G63">
            <v>30</v>
          </cell>
          <cell r="H63">
            <v>6800</v>
          </cell>
          <cell r="I63"/>
          <cell r="J63"/>
          <cell r="K63"/>
          <cell r="L63">
            <v>45</v>
          </cell>
          <cell r="M63">
            <v>0</v>
          </cell>
          <cell r="N63">
            <v>0</v>
          </cell>
          <cell r="O63">
            <v>0</v>
          </cell>
        </row>
        <row r="64">
          <cell r="A64" t="str">
            <v>Gold Helm</v>
          </cell>
          <cell r="B64" t="str">
            <v>Gold Helm</v>
          </cell>
          <cell r="C64" t="str">
            <v>Gold</v>
          </cell>
          <cell r="D64" t="str">
            <v>Helm</v>
          </cell>
          <cell r="E64">
            <v>51</v>
          </cell>
          <cell r="F64">
            <v>33</v>
          </cell>
          <cell r="G64">
            <v>-2</v>
          </cell>
          <cell r="H64">
            <v>6800</v>
          </cell>
          <cell r="I64">
            <v>8</v>
          </cell>
          <cell r="J64"/>
          <cell r="K64"/>
          <cell r="L64">
            <v>45</v>
          </cell>
          <cell r="M64" t="str">
            <v>Def +10</v>
          </cell>
          <cell r="N64" t="str">
            <v>Def</v>
          </cell>
          <cell r="O64">
            <v>8</v>
          </cell>
        </row>
        <row r="65">
          <cell r="A65" t="str">
            <v>Hermes Boot</v>
          </cell>
          <cell r="B65" t="str">
            <v>Hermes Boot</v>
          </cell>
          <cell r="C65" t="str">
            <v>Hermes</v>
          </cell>
          <cell r="D65" t="str">
            <v>Boot</v>
          </cell>
          <cell r="E65">
            <v>63</v>
          </cell>
          <cell r="F65" t="str">
            <v>3F</v>
          </cell>
          <cell r="G65">
            <v>-2</v>
          </cell>
          <cell r="H65">
            <v>6800</v>
          </cell>
          <cell r="I65">
            <v>4</v>
          </cell>
          <cell r="J65" t="str">
            <v>Agl</v>
          </cell>
          <cell r="K65">
            <v>10</v>
          </cell>
          <cell r="L65">
            <v>45</v>
          </cell>
          <cell r="M65" t="str">
            <v>Def +10</v>
          </cell>
          <cell r="N65" t="str">
            <v>Def</v>
          </cell>
          <cell r="O65">
            <v>8</v>
          </cell>
        </row>
        <row r="66">
          <cell r="A66" t="str">
            <v>Blitz Whip</v>
          </cell>
          <cell r="B66" t="str">
            <v>Blitz Whip</v>
          </cell>
          <cell r="C66" t="str">
            <v>Blitz</v>
          </cell>
          <cell r="D66" t="str">
            <v>Whip</v>
          </cell>
          <cell r="E66">
            <v>73</v>
          </cell>
          <cell r="F66">
            <v>49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7</v>
          </cell>
        </row>
        <row r="67">
          <cell r="A67" t="str">
            <v>ChainSaw</v>
          </cell>
          <cell r="B67" t="str">
            <v>ChainSaw</v>
          </cell>
          <cell r="C67" t="str">
            <v>ChainSaw</v>
          </cell>
          <cell r="D67"/>
          <cell r="E67">
            <v>74</v>
          </cell>
          <cell r="F67" t="str">
            <v>4A</v>
          </cell>
          <cell r="G67">
            <v>30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7</v>
          </cell>
        </row>
        <row r="68">
          <cell r="A68" t="str">
            <v>Counter</v>
          </cell>
          <cell r="B68" t="str">
            <v>Counter</v>
          </cell>
          <cell r="C68" t="str">
            <v>Counter</v>
          </cell>
          <cell r="D68" t="str">
            <v>Art</v>
          </cell>
          <cell r="E68">
            <v>75</v>
          </cell>
          <cell r="F68" t="str">
            <v>4B</v>
          </cell>
          <cell r="G68">
            <v>40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 t="str">
            <v>Agl</v>
          </cell>
          <cell r="O68">
            <v>7</v>
          </cell>
        </row>
        <row r="69">
          <cell r="A69" t="str">
            <v>Headbutt</v>
          </cell>
          <cell r="B69" t="str">
            <v>Headbutt</v>
          </cell>
          <cell r="C69" t="str">
            <v>Headbutt</v>
          </cell>
          <cell r="D69" t="str">
            <v>Art</v>
          </cell>
          <cell r="E69">
            <v>81</v>
          </cell>
          <cell r="F69">
            <v>51</v>
          </cell>
          <cell r="G69">
            <v>60</v>
          </cell>
          <cell r="H69">
            <v>6800</v>
          </cell>
          <cell r="I69"/>
          <cell r="J69"/>
          <cell r="K69"/>
          <cell r="L69">
            <v>45</v>
          </cell>
          <cell r="M69" t="str">
            <v>Agl +10</v>
          </cell>
          <cell r="N69">
            <v>0</v>
          </cell>
          <cell r="O69" t="str">
            <v>10</v>
          </cell>
        </row>
        <row r="70">
          <cell r="A70" t="str">
            <v>Temptat</v>
          </cell>
          <cell r="B70" t="str">
            <v>Temptat</v>
          </cell>
          <cell r="C70" t="str">
            <v>Temptat</v>
          </cell>
          <cell r="D70"/>
          <cell r="E70">
            <v>85</v>
          </cell>
          <cell r="F70">
            <v>55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SMG</v>
          </cell>
          <cell r="B71" t="str">
            <v>SMG</v>
          </cell>
          <cell r="C71" t="str">
            <v>SMG</v>
          </cell>
          <cell r="D71" t="str">
            <v>Gun</v>
          </cell>
          <cell r="E71">
            <v>90</v>
          </cell>
          <cell r="F71" t="str">
            <v>5A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SpeedUp</v>
          </cell>
          <cell r="B72" t="str">
            <v>SpeedUp</v>
          </cell>
          <cell r="C72" t="str">
            <v>SpeedUp</v>
          </cell>
          <cell r="D72"/>
          <cell r="E72">
            <v>112</v>
          </cell>
          <cell r="F72">
            <v>70</v>
          </cell>
          <cell r="G72">
            <v>20</v>
          </cell>
          <cell r="H72">
            <v>6800</v>
          </cell>
          <cell r="I72"/>
          <cell r="J72"/>
          <cell r="K72"/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A73" t="str">
            <v>Rocket</v>
          </cell>
          <cell r="B73" t="str">
            <v>Rocket</v>
          </cell>
          <cell r="C73" t="str">
            <v>Rocket</v>
          </cell>
          <cell r="D73"/>
          <cell r="E73">
            <v>113</v>
          </cell>
          <cell r="F73">
            <v>71</v>
          </cell>
          <cell r="G73">
            <v>30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Revenge Sword</v>
          </cell>
          <cell r="B74" t="str">
            <v>Revenge Sword</v>
          </cell>
          <cell r="C74" t="str">
            <v>Revenge</v>
          </cell>
          <cell r="D74" t="str">
            <v>Sword</v>
          </cell>
          <cell r="E74">
            <v>20</v>
          </cell>
          <cell r="F74">
            <v>14</v>
          </cell>
          <cell r="G74">
            <v>40</v>
          </cell>
          <cell r="H74">
            <v>6800</v>
          </cell>
          <cell r="I74"/>
          <cell r="J74"/>
          <cell r="K74"/>
          <cell r="L74">
            <v>45</v>
          </cell>
          <cell r="M74" t="str">
            <v>Str +10</v>
          </cell>
          <cell r="N74" t="str">
            <v>Str</v>
          </cell>
          <cell r="O74" t="str">
            <v>10</v>
          </cell>
        </row>
        <row r="75">
          <cell r="A75" t="str">
            <v>Musket</v>
          </cell>
          <cell r="B75" t="str">
            <v>Musket</v>
          </cell>
          <cell r="C75" t="str">
            <v>Musket</v>
          </cell>
          <cell r="D75" t="str">
            <v>Gun</v>
          </cell>
          <cell r="E75">
            <v>77</v>
          </cell>
          <cell r="F75" t="str">
            <v>4D</v>
          </cell>
          <cell r="G75">
            <v>50</v>
          </cell>
          <cell r="H75">
            <v>8000</v>
          </cell>
          <cell r="I75"/>
          <cell r="J75"/>
          <cell r="K75"/>
          <cell r="L75">
            <v>63</v>
          </cell>
          <cell r="M75" t="str">
            <v>Str +14</v>
          </cell>
          <cell r="N75" t="str">
            <v>Str</v>
          </cell>
          <cell r="O75" t="str">
            <v>14</v>
          </cell>
        </row>
        <row r="76">
          <cell r="A76" t="str">
            <v>Giant Glove</v>
          </cell>
          <cell r="B76" t="str">
            <v>Giant Glove</v>
          </cell>
          <cell r="C76" t="str">
            <v>Giant</v>
          </cell>
          <cell r="D76" t="str">
            <v>Glove</v>
          </cell>
          <cell r="E76">
            <v>61</v>
          </cell>
          <cell r="F76" t="str">
            <v>3D</v>
          </cell>
          <cell r="G76">
            <v>-2</v>
          </cell>
          <cell r="H76">
            <v>8500</v>
          </cell>
          <cell r="I76">
            <v>6</v>
          </cell>
          <cell r="J76" t="str">
            <v>Str</v>
          </cell>
          <cell r="K76">
            <v>10</v>
          </cell>
          <cell r="L76">
            <v>81</v>
          </cell>
          <cell r="M76" t="str">
            <v>Def +18</v>
          </cell>
          <cell r="N76" t="str">
            <v>Def</v>
          </cell>
          <cell r="O76" t="str">
            <v>18</v>
          </cell>
        </row>
        <row r="77">
          <cell r="A77" t="str">
            <v>Parasuit</v>
          </cell>
          <cell r="B77" t="str">
            <v>Parasuit</v>
          </cell>
          <cell r="C77" t="str">
            <v>Parasuit</v>
          </cell>
          <cell r="D77"/>
          <cell r="E77">
            <v>118</v>
          </cell>
          <cell r="F77">
            <v>76</v>
          </cell>
          <cell r="G77">
            <v>-2</v>
          </cell>
          <cell r="H77">
            <v>9464</v>
          </cell>
          <cell r="I77">
            <v>73</v>
          </cell>
          <cell r="J77" t="str">
            <v>Str, Agl</v>
          </cell>
          <cell r="K77">
            <v>15</v>
          </cell>
          <cell r="L77">
            <v>144</v>
          </cell>
          <cell r="M77" t="str">
            <v>Def +32</v>
          </cell>
          <cell r="N77" t="str">
            <v>Def</v>
          </cell>
          <cell r="O77" t="str">
            <v>32</v>
          </cell>
        </row>
        <row r="78">
          <cell r="A78" t="str">
            <v>Gold Armor</v>
          </cell>
          <cell r="B78" t="str">
            <v>Gold Armor</v>
          </cell>
          <cell r="C78" t="str">
            <v>Gold</v>
          </cell>
          <cell r="D78" t="str">
            <v>Armor</v>
          </cell>
          <cell r="E78">
            <v>55</v>
          </cell>
          <cell r="F78">
            <v>37</v>
          </cell>
          <cell r="G78">
            <v>-2</v>
          </cell>
          <cell r="H78">
            <v>10000</v>
          </cell>
          <cell r="I78">
            <v>13</v>
          </cell>
          <cell r="J78"/>
          <cell r="K78"/>
          <cell r="L78">
            <v>45</v>
          </cell>
          <cell r="M78" t="str">
            <v>Def +10</v>
          </cell>
          <cell r="N78" t="str">
            <v>Def</v>
          </cell>
          <cell r="O78">
            <v>8</v>
          </cell>
        </row>
        <row r="79">
          <cell r="A79" t="str">
            <v xml:space="preserve">Tent </v>
          </cell>
          <cell r="B79" t="str">
            <v xml:space="preserve">Tent </v>
          </cell>
          <cell r="C79" t="str">
            <v>Tent</v>
          </cell>
          <cell r="D79"/>
          <cell r="E79">
            <v>71</v>
          </cell>
          <cell r="F79">
            <v>47</v>
          </cell>
          <cell r="G79">
            <v>1</v>
          </cell>
          <cell r="H79">
            <v>10000</v>
          </cell>
          <cell r="I79"/>
          <cell r="J79"/>
          <cell r="K79"/>
          <cell r="L79">
            <v>9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Gold Sword</v>
          </cell>
          <cell r="B80" t="str">
            <v>Gold Sword</v>
          </cell>
          <cell r="C80" t="str">
            <v>Gold</v>
          </cell>
          <cell r="D80" t="str">
            <v>Sword</v>
          </cell>
          <cell r="E80">
            <v>5</v>
          </cell>
          <cell r="F80" t="str">
            <v>05</v>
          </cell>
          <cell r="G80">
            <v>50</v>
          </cell>
          <cell r="H80">
            <v>11000</v>
          </cell>
          <cell r="I80"/>
          <cell r="J80"/>
          <cell r="K80"/>
          <cell r="L80">
            <v>63</v>
          </cell>
          <cell r="M80" t="str">
            <v>Str +14</v>
          </cell>
          <cell r="N80" t="str">
            <v>Str</v>
          </cell>
          <cell r="O80" t="str">
            <v>14</v>
          </cell>
        </row>
        <row r="81">
          <cell r="A81" t="str">
            <v>Stone Book</v>
          </cell>
          <cell r="B81" t="str">
            <v>Stone Book</v>
          </cell>
          <cell r="C81" t="str">
            <v>Stone</v>
          </cell>
          <cell r="D81" t="str">
            <v>Book</v>
          </cell>
          <cell r="E81">
            <v>43</v>
          </cell>
          <cell r="F81" t="str">
            <v>2B</v>
          </cell>
          <cell r="G81">
            <v>15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Grenade</v>
          </cell>
          <cell r="B82" t="str">
            <v>Grenade</v>
          </cell>
          <cell r="C82" t="str">
            <v>Grenade</v>
          </cell>
          <cell r="D82"/>
          <cell r="E82">
            <v>91</v>
          </cell>
          <cell r="F82" t="str">
            <v>5B</v>
          </cell>
          <cell r="G82">
            <v>30</v>
          </cell>
          <cell r="H82">
            <v>11000</v>
          </cell>
          <cell r="I82"/>
          <cell r="J82"/>
          <cell r="K82"/>
          <cell r="L82">
            <v>63</v>
          </cell>
          <cell r="M82">
            <v>0</v>
          </cell>
          <cell r="N82">
            <v>0</v>
          </cell>
          <cell r="O82">
            <v>0</v>
          </cell>
        </row>
        <row r="83">
          <cell r="A83" t="str">
            <v>Sypha</v>
          </cell>
          <cell r="B83" t="str">
            <v>Sypha</v>
          </cell>
          <cell r="C83" t="str">
            <v>Sypha</v>
          </cell>
          <cell r="D83"/>
          <cell r="E83">
            <v>102</v>
          </cell>
          <cell r="F83">
            <v>66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Str +14</v>
          </cell>
          <cell r="N83" t="str">
            <v>Str</v>
          </cell>
          <cell r="O83" t="str">
            <v>14</v>
          </cell>
        </row>
        <row r="84">
          <cell r="A84" t="str">
            <v>Coin</v>
          </cell>
          <cell r="B84" t="str">
            <v>Coin</v>
          </cell>
          <cell r="C84" t="str">
            <v>Coin</v>
          </cell>
          <cell r="D84"/>
          <cell r="E84">
            <v>103</v>
          </cell>
          <cell r="F84">
            <v>67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>
            <v>10</v>
          </cell>
        </row>
        <row r="85">
          <cell r="A85" t="str">
            <v>Laser Blade</v>
          </cell>
          <cell r="B85" t="str">
            <v>Laser Blade</v>
          </cell>
          <cell r="C85" t="str">
            <v>Laser</v>
          </cell>
          <cell r="D85" t="str">
            <v>Blade</v>
          </cell>
          <cell r="E85">
            <v>108</v>
          </cell>
          <cell r="F85" t="str">
            <v>6C</v>
          </cell>
          <cell r="G85">
            <v>50</v>
          </cell>
          <cell r="H85">
            <v>11000</v>
          </cell>
          <cell r="I85"/>
          <cell r="J85"/>
          <cell r="K85"/>
          <cell r="L85">
            <v>63</v>
          </cell>
          <cell r="M85" t="str">
            <v>Agl +14</v>
          </cell>
          <cell r="N85" t="str">
            <v>Agl</v>
          </cell>
          <cell r="O85">
            <v>10</v>
          </cell>
        </row>
        <row r="86">
          <cell r="A86" t="str">
            <v>Flame Sword</v>
          </cell>
          <cell r="B86" t="str">
            <v>Flame Sword</v>
          </cell>
          <cell r="C86" t="str">
            <v>Flame</v>
          </cell>
          <cell r="D86" t="str">
            <v>Sword</v>
          </cell>
          <cell r="E86">
            <v>10</v>
          </cell>
          <cell r="F86" t="str">
            <v>0A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Ice Sword</v>
          </cell>
          <cell r="B87" t="str">
            <v>Ice Sword</v>
          </cell>
          <cell r="C87" t="str">
            <v>Ice</v>
          </cell>
          <cell r="D87" t="str">
            <v>Sword</v>
          </cell>
          <cell r="E87">
            <v>11</v>
          </cell>
          <cell r="F87" t="str">
            <v>0B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Thunder Axe</v>
          </cell>
          <cell r="B88" t="str">
            <v>Thunder Axe</v>
          </cell>
          <cell r="C88" t="str">
            <v>Thunder</v>
          </cell>
          <cell r="D88" t="str">
            <v>Axe</v>
          </cell>
          <cell r="E88">
            <v>12</v>
          </cell>
          <cell r="F88" t="str">
            <v>0C</v>
          </cell>
          <cell r="G88">
            <v>40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Str +18</v>
          </cell>
          <cell r="N88" t="str">
            <v>Str</v>
          </cell>
          <cell r="O88" t="str">
            <v>18</v>
          </cell>
        </row>
        <row r="89">
          <cell r="A89" t="str">
            <v>Flame Shield</v>
          </cell>
          <cell r="B89" t="str">
            <v>Flame Shield</v>
          </cell>
          <cell r="C89" t="str">
            <v>Flame</v>
          </cell>
          <cell r="D89" t="str">
            <v>Shield</v>
          </cell>
          <cell r="E89">
            <v>26</v>
          </cell>
          <cell r="F89" t="str">
            <v>1A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Ice Shield</v>
          </cell>
          <cell r="B90" t="str">
            <v>Ice Shield</v>
          </cell>
          <cell r="C90" t="str">
            <v>Ice</v>
          </cell>
          <cell r="D90" t="str">
            <v>Shield</v>
          </cell>
          <cell r="E90">
            <v>27</v>
          </cell>
          <cell r="F90" t="str">
            <v>1B</v>
          </cell>
          <cell r="G90">
            <v>30</v>
          </cell>
          <cell r="H90">
            <v>17000</v>
          </cell>
          <cell r="I90"/>
          <cell r="J90"/>
          <cell r="K90"/>
          <cell r="L90">
            <v>81</v>
          </cell>
          <cell r="M90" t="str">
            <v>Def +18</v>
          </cell>
          <cell r="N90" t="str">
            <v>Def</v>
          </cell>
          <cell r="O90" t="str">
            <v>18</v>
          </cell>
        </row>
        <row r="91">
          <cell r="A91" t="str">
            <v>Death Book</v>
          </cell>
          <cell r="B91" t="str">
            <v>Death Book</v>
          </cell>
          <cell r="C91" t="str">
            <v>Death</v>
          </cell>
          <cell r="D91" t="str">
            <v>Book</v>
          </cell>
          <cell r="E91">
            <v>44</v>
          </cell>
          <cell r="F91" t="str">
            <v>2C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Mage Staff</v>
          </cell>
          <cell r="B92" t="str">
            <v>Mage Staff</v>
          </cell>
          <cell r="C92" t="str">
            <v>Mage</v>
          </cell>
          <cell r="D92" t="str">
            <v>Staff</v>
          </cell>
          <cell r="E92">
            <v>45</v>
          </cell>
          <cell r="F92" t="str">
            <v>2D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Heal Staff</v>
          </cell>
          <cell r="B93" t="str">
            <v>Heal Staff</v>
          </cell>
          <cell r="C93" t="str">
            <v>Heal</v>
          </cell>
          <cell r="D93" t="str">
            <v>Staff</v>
          </cell>
          <cell r="E93">
            <v>47</v>
          </cell>
          <cell r="F93" t="str">
            <v>2F</v>
          </cell>
          <cell r="G93">
            <v>15</v>
          </cell>
          <cell r="H93">
            <v>17000</v>
          </cell>
          <cell r="I93"/>
          <cell r="J93"/>
          <cell r="K93"/>
          <cell r="L93">
            <v>81</v>
          </cell>
          <cell r="M93">
            <v>0</v>
          </cell>
          <cell r="N93">
            <v>0</v>
          </cell>
          <cell r="O93">
            <v>0</v>
          </cell>
        </row>
        <row r="94">
          <cell r="A94" t="str">
            <v>Hecate Boot</v>
          </cell>
          <cell r="B94" t="str">
            <v>Hecate Boot</v>
          </cell>
          <cell r="C94" t="str">
            <v>Hecate</v>
          </cell>
          <cell r="D94" t="str">
            <v>Boot</v>
          </cell>
          <cell r="E94">
            <v>64</v>
          </cell>
          <cell r="F94">
            <v>40</v>
          </cell>
          <cell r="G94">
            <v>-2</v>
          </cell>
          <cell r="H94">
            <v>17000</v>
          </cell>
          <cell r="I94">
            <v>6</v>
          </cell>
          <cell r="J94" t="str">
            <v>Mana</v>
          </cell>
          <cell r="K94">
            <v>15</v>
          </cell>
          <cell r="L94">
            <v>81</v>
          </cell>
          <cell r="M94" t="str">
            <v>Def +18</v>
          </cell>
          <cell r="N94" t="str">
            <v>Def</v>
          </cell>
          <cell r="O94" t="str">
            <v>18</v>
          </cell>
        </row>
        <row r="95">
          <cell r="A95" t="str">
            <v>Magnum</v>
          </cell>
          <cell r="B95" t="str">
            <v>Magnum</v>
          </cell>
          <cell r="C95" t="str">
            <v>Magnum</v>
          </cell>
          <cell r="D95" t="str">
            <v>Gun</v>
          </cell>
          <cell r="E95">
            <v>78</v>
          </cell>
          <cell r="F95" t="str">
            <v>4E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Str +18</v>
          </cell>
          <cell r="N95" t="str">
            <v>Str</v>
          </cell>
          <cell r="O95" t="str">
            <v>18</v>
          </cell>
        </row>
        <row r="96">
          <cell r="A96" t="str">
            <v>JumpKick</v>
          </cell>
          <cell r="B96" t="str">
            <v>JumpKick</v>
          </cell>
          <cell r="C96" t="str">
            <v>JumpKick</v>
          </cell>
          <cell r="D96" t="str">
            <v>Art</v>
          </cell>
          <cell r="E96">
            <v>82</v>
          </cell>
          <cell r="F96">
            <v>52</v>
          </cell>
          <cell r="G96">
            <v>50</v>
          </cell>
          <cell r="H96">
            <v>17000</v>
          </cell>
          <cell r="I96"/>
          <cell r="J96"/>
          <cell r="K96"/>
          <cell r="L96">
            <v>81</v>
          </cell>
          <cell r="M96" t="str">
            <v>Agl +18</v>
          </cell>
          <cell r="N96">
            <v>0</v>
          </cell>
          <cell r="O96" t="str">
            <v>18</v>
          </cell>
        </row>
        <row r="97">
          <cell r="A97" t="str">
            <v>Bazooka</v>
          </cell>
          <cell r="B97" t="str">
            <v>Bazooka</v>
          </cell>
          <cell r="C97" t="str">
            <v>Bazooka</v>
          </cell>
          <cell r="D97" t="str">
            <v>Cannon</v>
          </cell>
          <cell r="E97">
            <v>92</v>
          </cell>
          <cell r="F97" t="str">
            <v>5C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Flamethrower</v>
          </cell>
          <cell r="B98" t="str">
            <v>Flamethrower</v>
          </cell>
          <cell r="C98" t="str">
            <v>Fire</v>
          </cell>
          <cell r="D98" t="str">
            <v>Gun</v>
          </cell>
          <cell r="E98">
            <v>95</v>
          </cell>
          <cell r="F98" t="str">
            <v>5F</v>
          </cell>
          <cell r="G98">
            <v>30</v>
          </cell>
          <cell r="H98">
            <v>17000</v>
          </cell>
          <cell r="I98"/>
          <cell r="J98"/>
          <cell r="K98"/>
          <cell r="L98">
            <v>81</v>
          </cell>
          <cell r="M98">
            <v>0</v>
          </cell>
          <cell r="N98">
            <v>0</v>
          </cell>
          <cell r="O98">
            <v>0</v>
          </cell>
        </row>
        <row r="99">
          <cell r="A99" t="str">
            <v>Army Helm</v>
          </cell>
          <cell r="B99" t="str">
            <v>Army Helm</v>
          </cell>
          <cell r="C99" t="str">
            <v>Army</v>
          </cell>
          <cell r="D99" t="str">
            <v>Helm</v>
          </cell>
          <cell r="E99">
            <v>99</v>
          </cell>
          <cell r="F99">
            <v>63</v>
          </cell>
          <cell r="G99">
            <v>-2</v>
          </cell>
          <cell r="H99">
            <v>17000</v>
          </cell>
          <cell r="I99">
            <v>13</v>
          </cell>
          <cell r="J99"/>
          <cell r="K99"/>
          <cell r="L99">
            <v>81</v>
          </cell>
          <cell r="M99" t="str">
            <v>Def +18</v>
          </cell>
          <cell r="N99" t="str">
            <v>Def</v>
          </cell>
          <cell r="O99" t="str">
            <v>18</v>
          </cell>
        </row>
        <row r="100">
          <cell r="A100" t="str">
            <v>Army Armor</v>
          </cell>
          <cell r="B100" t="str">
            <v>Army Armor</v>
          </cell>
          <cell r="C100" t="str">
            <v>Army</v>
          </cell>
          <cell r="D100" t="str">
            <v>Armor</v>
          </cell>
          <cell r="E100">
            <v>100</v>
          </cell>
          <cell r="F100">
            <v>64</v>
          </cell>
          <cell r="G100">
            <v>-2</v>
          </cell>
          <cell r="H100">
            <v>17000</v>
          </cell>
          <cell r="I100">
            <v>16</v>
          </cell>
          <cell r="J100"/>
          <cell r="K100"/>
          <cell r="L100">
            <v>63</v>
          </cell>
          <cell r="M100" t="str">
            <v>Def +14</v>
          </cell>
          <cell r="N100" t="str">
            <v>Def</v>
          </cell>
          <cell r="O100" t="str">
            <v>14</v>
          </cell>
        </row>
        <row r="101">
          <cell r="A101" t="str">
            <v>Psi Sword</v>
          </cell>
          <cell r="B101" t="str">
            <v>Psi Sword</v>
          </cell>
          <cell r="C101" t="str">
            <v>Psi</v>
          </cell>
          <cell r="D101" t="str">
            <v>Sword</v>
          </cell>
          <cell r="E101">
            <v>110</v>
          </cell>
          <cell r="F101" t="str">
            <v>6E</v>
          </cell>
          <cell r="G101">
            <v>50</v>
          </cell>
          <cell r="H101">
            <v>17000</v>
          </cell>
          <cell r="I101"/>
          <cell r="J101"/>
          <cell r="K101"/>
          <cell r="L101">
            <v>81</v>
          </cell>
          <cell r="M101">
            <v>0</v>
          </cell>
          <cell r="N101">
            <v>0</v>
          </cell>
          <cell r="O101">
            <v>0</v>
          </cell>
        </row>
        <row r="102">
          <cell r="A102" t="str">
            <v>Giant Helm</v>
          </cell>
          <cell r="B102" t="str">
            <v>Giant Helm</v>
          </cell>
          <cell r="C102" t="str">
            <v>Giant</v>
          </cell>
          <cell r="D102" t="str">
            <v>Helm</v>
          </cell>
          <cell r="E102">
            <v>115</v>
          </cell>
          <cell r="F102">
            <v>73</v>
          </cell>
          <cell r="G102">
            <v>-2</v>
          </cell>
          <cell r="H102">
            <v>17000</v>
          </cell>
          <cell r="I102">
            <v>13</v>
          </cell>
          <cell r="J102" t="str">
            <v>Str</v>
          </cell>
          <cell r="K102">
            <v>10</v>
          </cell>
          <cell r="L102">
            <v>81</v>
          </cell>
          <cell r="M102" t="str">
            <v>Def +18</v>
          </cell>
          <cell r="N102" t="str">
            <v>Def</v>
          </cell>
          <cell r="O102" t="str">
            <v>18</v>
          </cell>
        </row>
        <row r="103">
          <cell r="A103" t="str">
            <v>Ninja Glove</v>
          </cell>
          <cell r="B103" t="str">
            <v>Ninja Glove</v>
          </cell>
          <cell r="C103" t="str">
            <v>Ninja</v>
          </cell>
          <cell r="D103" t="str">
            <v>Glove</v>
          </cell>
          <cell r="E103">
            <v>62</v>
          </cell>
          <cell r="F103" t="str">
            <v>3E</v>
          </cell>
          <cell r="G103">
            <v>-2</v>
          </cell>
          <cell r="H103">
            <v>18000</v>
          </cell>
          <cell r="I103">
            <v>10</v>
          </cell>
          <cell r="J103"/>
          <cell r="K103"/>
          <cell r="L103">
            <v>117</v>
          </cell>
          <cell r="M103" t="str">
            <v>Def +26</v>
          </cell>
          <cell r="N103" t="str">
            <v>Def</v>
          </cell>
          <cell r="O103" t="str">
            <v>26</v>
          </cell>
        </row>
        <row r="104">
          <cell r="A104" t="str">
            <v>Coral Sword</v>
          </cell>
          <cell r="B104" t="str">
            <v>Coral Sword</v>
          </cell>
          <cell r="C104" t="str">
            <v>Coral</v>
          </cell>
          <cell r="D104" t="str">
            <v>Sword</v>
          </cell>
          <cell r="E104">
            <v>6</v>
          </cell>
          <cell r="F104" t="str">
            <v>06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Ogre Axe</v>
          </cell>
          <cell r="B105" t="str">
            <v>Ogre Axe</v>
          </cell>
          <cell r="C105" t="str">
            <v>Ogre</v>
          </cell>
          <cell r="D105" t="str">
            <v>Axe</v>
          </cell>
          <cell r="E105">
            <v>7</v>
          </cell>
          <cell r="F105" t="str">
            <v>07</v>
          </cell>
          <cell r="G105">
            <v>40</v>
          </cell>
          <cell r="H105">
            <v>26000</v>
          </cell>
          <cell r="I105"/>
          <cell r="J105"/>
          <cell r="K105"/>
          <cell r="L105">
            <v>99</v>
          </cell>
          <cell r="M105" t="str">
            <v>Str +22</v>
          </cell>
          <cell r="N105" t="str">
            <v>Str</v>
          </cell>
          <cell r="O105" t="str">
            <v>22</v>
          </cell>
        </row>
        <row r="106">
          <cell r="A106" t="str">
            <v>Dragon Armor</v>
          </cell>
          <cell r="B106" t="str">
            <v>Dragon Armor</v>
          </cell>
          <cell r="C106" t="str">
            <v>Dragon</v>
          </cell>
          <cell r="D106" t="str">
            <v>Armor</v>
          </cell>
          <cell r="E106">
            <v>56</v>
          </cell>
          <cell r="F106">
            <v>38</v>
          </cell>
          <cell r="G106">
            <v>-2</v>
          </cell>
          <cell r="H106">
            <v>26000</v>
          </cell>
          <cell r="I106">
            <v>21</v>
          </cell>
          <cell r="J106"/>
          <cell r="K106"/>
          <cell r="L106">
            <v>81</v>
          </cell>
          <cell r="M106" t="str">
            <v>Def +18</v>
          </cell>
          <cell r="N106" t="str">
            <v>Def</v>
          </cell>
          <cell r="O106" t="str">
            <v>18</v>
          </cell>
        </row>
        <row r="107">
          <cell r="A107" t="str">
            <v>Vulcan</v>
          </cell>
          <cell r="B107" t="str">
            <v>Vulcan</v>
          </cell>
          <cell r="C107" t="str">
            <v>Vulcan</v>
          </cell>
          <cell r="D107" t="str">
            <v>Cannon</v>
          </cell>
          <cell r="E107">
            <v>93</v>
          </cell>
          <cell r="F107" t="str">
            <v>5D</v>
          </cell>
          <cell r="G107">
            <v>30</v>
          </cell>
          <cell r="H107">
            <v>26000</v>
          </cell>
          <cell r="I107"/>
          <cell r="J107"/>
          <cell r="K107"/>
          <cell r="L107">
            <v>99</v>
          </cell>
          <cell r="M107">
            <v>0</v>
          </cell>
          <cell r="N107">
            <v>0</v>
          </cell>
          <cell r="O107">
            <v>0</v>
          </cell>
        </row>
        <row r="108">
          <cell r="A108" t="str">
            <v>Giant Armor</v>
          </cell>
          <cell r="B108" t="str">
            <v>Giant Armor</v>
          </cell>
          <cell r="C108" t="str">
            <v>Giant</v>
          </cell>
          <cell r="D108" t="str">
            <v>Armor</v>
          </cell>
          <cell r="E108">
            <v>98</v>
          </cell>
          <cell r="F108">
            <v>62</v>
          </cell>
          <cell r="G108">
            <v>-2</v>
          </cell>
          <cell r="H108">
            <v>26000</v>
          </cell>
          <cell r="I108">
            <v>20</v>
          </cell>
          <cell r="J108" t="str">
            <v>Str</v>
          </cell>
          <cell r="K108">
            <v>10</v>
          </cell>
          <cell r="L108">
            <v>81</v>
          </cell>
          <cell r="M108" t="str">
            <v>Def +18</v>
          </cell>
          <cell r="N108" t="str">
            <v>Def</v>
          </cell>
          <cell r="O108" t="str">
            <v>18</v>
          </cell>
        </row>
        <row r="109">
          <cell r="A109" t="str">
            <v>Samurai Shield</v>
          </cell>
          <cell r="B109" t="str">
            <v>Samurai Shield</v>
          </cell>
          <cell r="C109" t="str">
            <v>Samurai</v>
          </cell>
          <cell r="D109" t="str">
            <v>Shield</v>
          </cell>
          <cell r="E109">
            <v>105</v>
          </cell>
          <cell r="F109">
            <v>69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Def +22</v>
          </cell>
          <cell r="N109" t="str">
            <v>Def</v>
          </cell>
          <cell r="O109" t="str">
            <v>22</v>
          </cell>
        </row>
        <row r="110">
          <cell r="A110" t="str">
            <v>Muramas</v>
          </cell>
          <cell r="B110" t="str">
            <v>Muramas</v>
          </cell>
          <cell r="C110" t="str">
            <v>Muramas</v>
          </cell>
          <cell r="D110" t="str">
            <v>Sword</v>
          </cell>
          <cell r="E110">
            <v>106</v>
          </cell>
          <cell r="F110" t="str">
            <v>6A</v>
          </cell>
          <cell r="G110">
            <v>40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Str +22</v>
          </cell>
          <cell r="N110" t="str">
            <v>Str</v>
          </cell>
          <cell r="O110" t="str">
            <v>22</v>
          </cell>
        </row>
        <row r="111">
          <cell r="A111" t="str">
            <v>CatClaw</v>
          </cell>
          <cell r="B111" t="str">
            <v>CatClaw</v>
          </cell>
          <cell r="C111" t="str">
            <v>CatClaw</v>
          </cell>
          <cell r="D111" t="str">
            <v>Blade</v>
          </cell>
          <cell r="E111">
            <v>17</v>
          </cell>
          <cell r="F111">
            <v>11</v>
          </cell>
          <cell r="G111">
            <v>50</v>
          </cell>
          <cell r="H111">
            <v>26000</v>
          </cell>
          <cell r="I111"/>
          <cell r="J111"/>
          <cell r="K111"/>
          <cell r="L111">
            <v>99</v>
          </cell>
          <cell r="M111" t="str">
            <v>Agl +22</v>
          </cell>
          <cell r="N111" t="str">
            <v>Agl</v>
          </cell>
          <cell r="O111">
            <v>16</v>
          </cell>
        </row>
        <row r="112">
          <cell r="A112" t="str">
            <v>Dragon Sword</v>
          </cell>
          <cell r="B112" t="str">
            <v>Dragon Sword</v>
          </cell>
          <cell r="C112" t="str">
            <v>Dragon</v>
          </cell>
          <cell r="D112" t="str">
            <v>Sword</v>
          </cell>
          <cell r="E112">
            <v>8</v>
          </cell>
          <cell r="F112" t="str">
            <v>08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Str +26</v>
          </cell>
          <cell r="N112" t="str">
            <v>Str</v>
          </cell>
          <cell r="O112" t="str">
            <v>26</v>
          </cell>
        </row>
        <row r="113">
          <cell r="A113" t="str">
            <v>Defend Sword</v>
          </cell>
          <cell r="B113" t="str">
            <v>Defend Sword</v>
          </cell>
          <cell r="C113" t="str">
            <v>Defend</v>
          </cell>
          <cell r="D113" t="str">
            <v>Sword</v>
          </cell>
          <cell r="E113">
            <v>13</v>
          </cell>
          <cell r="F113" t="str">
            <v>0D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  <cell r="N113" t="str">
            <v>Def</v>
          </cell>
          <cell r="O113" t="str">
            <v>26</v>
          </cell>
        </row>
        <row r="114">
          <cell r="A114" t="str">
            <v>Rune Axe</v>
          </cell>
          <cell r="B114" t="str">
            <v>Rune Axe</v>
          </cell>
          <cell r="C114" t="str">
            <v>Rune</v>
          </cell>
          <cell r="D114" t="str">
            <v>Axe</v>
          </cell>
          <cell r="E114">
            <v>14</v>
          </cell>
          <cell r="F114" t="str">
            <v>0E</v>
          </cell>
          <cell r="G114">
            <v>40</v>
          </cell>
          <cell r="H114">
            <v>36000</v>
          </cell>
          <cell r="I114"/>
          <cell r="J114"/>
          <cell r="K114"/>
          <cell r="L114">
            <v>45</v>
          </cell>
          <cell r="M114">
            <v>0</v>
          </cell>
          <cell r="N114">
            <v>0</v>
          </cell>
          <cell r="O114">
            <v>0</v>
          </cell>
        </row>
        <row r="115">
          <cell r="A115" t="str">
            <v>Dragon Shield</v>
          </cell>
          <cell r="B115" t="str">
            <v>Dragon Shield</v>
          </cell>
          <cell r="C115" t="str">
            <v>Dragon</v>
          </cell>
          <cell r="D115" t="str">
            <v>Shield</v>
          </cell>
          <cell r="E115">
            <v>28</v>
          </cell>
          <cell r="F115" t="str">
            <v>1C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Def +26</v>
          </cell>
          <cell r="N115" t="str">
            <v>Def</v>
          </cell>
          <cell r="O115" t="str">
            <v>26</v>
          </cell>
        </row>
        <row r="116">
          <cell r="A116" t="str">
            <v>Samurai Bow</v>
          </cell>
          <cell r="B116" t="str">
            <v>Samurai Bow</v>
          </cell>
          <cell r="C116" t="str">
            <v>Samurai</v>
          </cell>
          <cell r="D116" t="str">
            <v>Bow</v>
          </cell>
          <cell r="E116">
            <v>35</v>
          </cell>
          <cell r="F116">
            <v>23</v>
          </cell>
          <cell r="G116">
            <v>30</v>
          </cell>
          <cell r="H116">
            <v>36000</v>
          </cell>
          <cell r="I116"/>
          <cell r="J116"/>
          <cell r="K116"/>
          <cell r="L116">
            <v>117</v>
          </cell>
          <cell r="M116" t="str">
            <v>Agl +26</v>
          </cell>
          <cell r="N116" t="str">
            <v>Agl</v>
          </cell>
          <cell r="O116">
            <v>19</v>
          </cell>
        </row>
        <row r="117">
          <cell r="A117" t="str">
            <v>Wizard Staff</v>
          </cell>
          <cell r="B117" t="str">
            <v>Wizard Staff</v>
          </cell>
          <cell r="C117" t="str">
            <v>Wizard</v>
          </cell>
          <cell r="D117" t="str">
            <v>Staff</v>
          </cell>
          <cell r="E117">
            <v>46</v>
          </cell>
          <cell r="F117" t="str">
            <v>2E</v>
          </cell>
          <cell r="G117">
            <v>10</v>
          </cell>
          <cell r="H117">
            <v>36000</v>
          </cell>
          <cell r="I117"/>
          <cell r="J117"/>
          <cell r="K117"/>
          <cell r="L117">
            <v>117</v>
          </cell>
          <cell r="M117">
            <v>0</v>
          </cell>
          <cell r="N117">
            <v>0</v>
          </cell>
          <cell r="O117">
            <v>0</v>
          </cell>
        </row>
        <row r="118">
          <cell r="A118" t="str">
            <v>Dragon Helm</v>
          </cell>
          <cell r="B118" t="str">
            <v>Dragon Helm</v>
          </cell>
          <cell r="C118" t="str">
            <v>Dragon</v>
          </cell>
          <cell r="D118" t="str">
            <v>Helm</v>
          </cell>
          <cell r="E118">
            <v>52</v>
          </cell>
          <cell r="F118">
            <v>34</v>
          </cell>
          <cell r="G118">
            <v>-2</v>
          </cell>
          <cell r="H118">
            <v>36000</v>
          </cell>
          <cell r="I118">
            <v>20</v>
          </cell>
          <cell r="J118"/>
          <cell r="K118"/>
          <cell r="L118">
            <v>117</v>
          </cell>
          <cell r="M118" t="str">
            <v>Def +26</v>
          </cell>
          <cell r="N118" t="str">
            <v>Def</v>
          </cell>
          <cell r="O118" t="str">
            <v>26</v>
          </cell>
        </row>
        <row r="119">
          <cell r="A119" t="str">
            <v>Jyudo</v>
          </cell>
          <cell r="B119" t="str">
            <v>Jyudo</v>
          </cell>
          <cell r="C119" t="str">
            <v>Jyudo</v>
          </cell>
          <cell r="D119" t="str">
            <v>Art</v>
          </cell>
          <cell r="E119">
            <v>83</v>
          </cell>
          <cell r="F119">
            <v>53</v>
          </cell>
          <cell r="G119">
            <v>50</v>
          </cell>
          <cell r="H119">
            <v>36000</v>
          </cell>
          <cell r="I119"/>
          <cell r="J119"/>
          <cell r="K119"/>
          <cell r="L119">
            <v>117</v>
          </cell>
          <cell r="M119" t="str">
            <v>Agl +26</v>
          </cell>
          <cell r="N119">
            <v>0</v>
          </cell>
          <cell r="O119" t="str">
            <v>26</v>
          </cell>
        </row>
        <row r="120">
          <cell r="A120" t="str">
            <v>Tank</v>
          </cell>
          <cell r="B120" t="str">
            <v>Tank</v>
          </cell>
          <cell r="C120" t="str">
            <v>Tank</v>
          </cell>
          <cell r="D120" t="str">
            <v>Cannon</v>
          </cell>
          <cell r="E120">
            <v>94</v>
          </cell>
          <cell r="F120" t="str">
            <v>5E</v>
          </cell>
          <cell r="G120">
            <v>20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Missile</v>
          </cell>
          <cell r="B121" t="str">
            <v>Missile</v>
          </cell>
          <cell r="C121" t="str">
            <v>Missile</v>
          </cell>
          <cell r="D121" t="str">
            <v>Cannon</v>
          </cell>
          <cell r="E121">
            <v>96</v>
          </cell>
          <cell r="F121">
            <v>60</v>
          </cell>
          <cell r="G121">
            <v>10</v>
          </cell>
          <cell r="H121">
            <v>36000</v>
          </cell>
          <cell r="I121"/>
          <cell r="J121"/>
          <cell r="K121"/>
          <cell r="L121">
            <v>117</v>
          </cell>
          <cell r="M121">
            <v>0</v>
          </cell>
          <cell r="N121">
            <v>0</v>
          </cell>
          <cell r="O121">
            <v>0</v>
          </cell>
        </row>
        <row r="122">
          <cell r="A122" t="str">
            <v>Laser Gun</v>
          </cell>
          <cell r="B122" t="str">
            <v>Laser Gun</v>
          </cell>
          <cell r="C122" t="str">
            <v>Laser</v>
          </cell>
          <cell r="D122" t="str">
            <v>Gun</v>
          </cell>
          <cell r="E122">
            <v>111</v>
          </cell>
          <cell r="F122" t="str">
            <v>6F</v>
          </cell>
          <cell r="G122">
            <v>30</v>
          </cell>
          <cell r="H122">
            <v>36000</v>
          </cell>
          <cell r="I122"/>
          <cell r="J122"/>
          <cell r="K122"/>
          <cell r="L122">
            <v>117</v>
          </cell>
          <cell r="M122" t="str">
            <v>Agl +26</v>
          </cell>
          <cell r="N122" t="str">
            <v>Agl</v>
          </cell>
          <cell r="O122">
            <v>19</v>
          </cell>
        </row>
        <row r="123">
          <cell r="A123" t="str">
            <v>Battle Armor</v>
          </cell>
          <cell r="B123" t="str">
            <v>Battle Armor</v>
          </cell>
          <cell r="C123" t="str">
            <v>Battle</v>
          </cell>
          <cell r="D123" t="str">
            <v>Armor</v>
          </cell>
          <cell r="E123">
            <v>117</v>
          </cell>
          <cell r="F123">
            <v>75</v>
          </cell>
          <cell r="G123">
            <v>-2</v>
          </cell>
          <cell r="H123">
            <v>39000</v>
          </cell>
          <cell r="I123">
            <v>26</v>
          </cell>
          <cell r="J123" t="str">
            <v>Str</v>
          </cell>
          <cell r="K123">
            <v>5</v>
          </cell>
          <cell r="L123">
            <v>99</v>
          </cell>
          <cell r="M123" t="str">
            <v>Def +22</v>
          </cell>
          <cell r="N123" t="str">
            <v>Def</v>
          </cell>
          <cell r="O123" t="str">
            <v>22</v>
          </cell>
        </row>
        <row r="124">
          <cell r="A124" t="str">
            <v>Sun Sword</v>
          </cell>
          <cell r="B124" t="str">
            <v>Sun Sword</v>
          </cell>
          <cell r="C124" t="str">
            <v>Sun</v>
          </cell>
          <cell r="D124" t="str">
            <v>Sword</v>
          </cell>
          <cell r="E124">
            <v>9</v>
          </cell>
          <cell r="F124" t="str">
            <v>09</v>
          </cell>
          <cell r="G124">
            <v>40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Xcalibr</v>
          </cell>
          <cell r="B125" t="str">
            <v>Xcalibr</v>
          </cell>
          <cell r="C125" t="str">
            <v>Xcalibr</v>
          </cell>
          <cell r="D125" t="str">
            <v>Sword</v>
          </cell>
          <cell r="E125">
            <v>34</v>
          </cell>
          <cell r="F125">
            <v>22</v>
          </cell>
          <cell r="G125">
            <v>-2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Str +32</v>
          </cell>
          <cell r="N125" t="str">
            <v>Str</v>
          </cell>
          <cell r="O125" t="str">
            <v>32</v>
          </cell>
        </row>
        <row r="126">
          <cell r="A126" t="str">
            <v>Flare Book</v>
          </cell>
          <cell r="B126" t="str">
            <v>Flare Book</v>
          </cell>
          <cell r="C126" t="str">
            <v>Flare</v>
          </cell>
          <cell r="D126" t="str">
            <v>Book</v>
          </cell>
          <cell r="E126">
            <v>48</v>
          </cell>
          <cell r="F126">
            <v>30</v>
          </cell>
          <cell r="G126">
            <v>10</v>
          </cell>
          <cell r="H126">
            <v>50000</v>
          </cell>
          <cell r="I126"/>
          <cell r="J126"/>
          <cell r="K126"/>
          <cell r="L126">
            <v>144</v>
          </cell>
          <cell r="M126">
            <v>0</v>
          </cell>
          <cell r="N126">
            <v>0</v>
          </cell>
          <cell r="O126">
            <v>0</v>
          </cell>
        </row>
        <row r="127">
          <cell r="A127" t="str">
            <v>Karate</v>
          </cell>
          <cell r="B127" t="str">
            <v>Karate</v>
          </cell>
          <cell r="C127" t="str">
            <v>Karate</v>
          </cell>
          <cell r="D127" t="str">
            <v>Art</v>
          </cell>
          <cell r="E127">
            <v>84</v>
          </cell>
          <cell r="F127">
            <v>54</v>
          </cell>
          <cell r="G127">
            <v>40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Agl +32</v>
          </cell>
          <cell r="N127">
            <v>0</v>
          </cell>
          <cell r="O127" t="str">
            <v>32</v>
          </cell>
        </row>
        <row r="128">
          <cell r="A128" t="str">
            <v>Gungnir</v>
          </cell>
          <cell r="B128" t="str">
            <v>Gungnir</v>
          </cell>
          <cell r="C128" t="str">
            <v>Gungnir</v>
          </cell>
          <cell r="D128" t="str">
            <v>Spear</v>
          </cell>
          <cell r="E128">
            <v>107</v>
          </cell>
          <cell r="F128" t="str">
            <v>6B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>Str +32</v>
          </cell>
          <cell r="N128" t="str">
            <v>Str</v>
          </cell>
          <cell r="O128" t="str">
            <v>32</v>
          </cell>
        </row>
        <row r="129">
          <cell r="A129" t="str">
            <v>Psi Gun</v>
          </cell>
          <cell r="B129" t="str">
            <v>Psi Gun</v>
          </cell>
          <cell r="C129" t="str">
            <v>Psi</v>
          </cell>
          <cell r="D129" t="str">
            <v>Gun</v>
          </cell>
          <cell r="E129">
            <v>114</v>
          </cell>
          <cell r="F129">
            <v>72</v>
          </cell>
          <cell r="G129">
            <v>30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 xml:space="preserve"> Mana +0</v>
          </cell>
          <cell r="N129" t="str">
            <v xml:space="preserve"> Mana</v>
          </cell>
          <cell r="O129" t="str">
            <v>0</v>
          </cell>
        </row>
        <row r="130">
          <cell r="A130" t="str">
            <v>Hyper Cannon</v>
          </cell>
          <cell r="B130" t="str">
            <v>Hyper Cannon</v>
          </cell>
          <cell r="C130" t="str">
            <v>Hyper</v>
          </cell>
          <cell r="D130" t="str">
            <v>Cannon</v>
          </cell>
          <cell r="E130">
            <v>116</v>
          </cell>
          <cell r="F130">
            <v>74</v>
          </cell>
          <cell r="G130">
            <v>3</v>
          </cell>
          <cell r="H130">
            <v>50000</v>
          </cell>
          <cell r="I130"/>
          <cell r="J130"/>
          <cell r="K130"/>
          <cell r="L130">
            <v>144</v>
          </cell>
          <cell r="M130">
            <v>0</v>
          </cell>
          <cell r="N130">
            <v>0</v>
          </cell>
          <cell r="O130">
            <v>0</v>
          </cell>
        </row>
        <row r="131">
          <cell r="A131" t="str">
            <v>Glass Sword</v>
          </cell>
          <cell r="B131" t="str">
            <v>Glass Sword</v>
          </cell>
          <cell r="C131" t="str">
            <v>Glass</v>
          </cell>
          <cell r="D131" t="str">
            <v>Sword</v>
          </cell>
          <cell r="E131">
            <v>19</v>
          </cell>
          <cell r="F131">
            <v>13</v>
          </cell>
          <cell r="G131">
            <v>1</v>
          </cell>
          <cell r="H131">
            <v>50000</v>
          </cell>
          <cell r="I131"/>
          <cell r="J131"/>
          <cell r="K131"/>
          <cell r="L131">
            <v>144</v>
          </cell>
          <cell r="M131" t="str">
            <v>Str +32</v>
          </cell>
          <cell r="N131" t="str">
            <v>Str</v>
          </cell>
          <cell r="O131" t="str">
            <v>32</v>
          </cell>
        </row>
        <row r="132">
          <cell r="A132" t="str">
            <v>Arthur Armor</v>
          </cell>
          <cell r="B132" t="str">
            <v>Arthur Armor</v>
          </cell>
          <cell r="C132" t="str">
            <v>Arthur</v>
          </cell>
          <cell r="D132" t="str">
            <v>Armor</v>
          </cell>
          <cell r="E132">
            <v>57</v>
          </cell>
          <cell r="F132">
            <v>39</v>
          </cell>
          <cell r="G132">
            <v>-2</v>
          </cell>
          <cell r="H132">
            <v>54000</v>
          </cell>
          <cell r="I132">
            <v>31</v>
          </cell>
          <cell r="J132"/>
          <cell r="K132"/>
          <cell r="L132">
            <v>117</v>
          </cell>
          <cell r="M132" t="str">
            <v>Def +26</v>
          </cell>
          <cell r="N132" t="str">
            <v>Def</v>
          </cell>
          <cell r="O132" t="str">
            <v>26</v>
          </cell>
        </row>
        <row r="133">
          <cell r="A133" t="str">
            <v>Nail</v>
          </cell>
          <cell r="B133" t="str">
            <v>Nail</v>
          </cell>
          <cell r="C133" t="str">
            <v>Nail</v>
          </cell>
          <cell r="D133"/>
          <cell r="E133">
            <v>128</v>
          </cell>
          <cell r="F133">
            <v>80</v>
          </cell>
          <cell r="G133">
            <v>30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Tusk</v>
          </cell>
          <cell r="B134" t="str">
            <v>Tusk</v>
          </cell>
          <cell r="C134" t="str">
            <v>Tusk</v>
          </cell>
          <cell r="D134"/>
          <cell r="E134">
            <v>129</v>
          </cell>
          <cell r="F134">
            <v>81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Tongue</v>
          </cell>
          <cell r="B135" t="str">
            <v>Tongue</v>
          </cell>
          <cell r="C135" t="str">
            <v>Tongue</v>
          </cell>
          <cell r="D135"/>
          <cell r="E135">
            <v>130</v>
          </cell>
          <cell r="F135">
            <v>82</v>
          </cell>
          <cell r="G135">
            <v>15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Stab</v>
          </cell>
          <cell r="B136" t="str">
            <v>Stab</v>
          </cell>
          <cell r="C136" t="str">
            <v>Stab</v>
          </cell>
          <cell r="D136"/>
          <cell r="E136">
            <v>131</v>
          </cell>
          <cell r="F136">
            <v>83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Branch</v>
          </cell>
          <cell r="B137" t="str">
            <v>Branch</v>
          </cell>
          <cell r="C137" t="str">
            <v>Branch</v>
          </cell>
          <cell r="D137"/>
          <cell r="E137">
            <v>132</v>
          </cell>
          <cell r="F137">
            <v>84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Bash</v>
          </cell>
          <cell r="B138" t="str">
            <v>Bash</v>
          </cell>
          <cell r="C138" t="str">
            <v>Bash</v>
          </cell>
          <cell r="D138"/>
          <cell r="E138">
            <v>133</v>
          </cell>
          <cell r="F138">
            <v>85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Punch</v>
          </cell>
          <cell r="B139" t="str">
            <v>Punch</v>
          </cell>
          <cell r="C139" t="str">
            <v>Punch</v>
          </cell>
          <cell r="D139"/>
          <cell r="E139">
            <v>134</v>
          </cell>
          <cell r="F139">
            <v>86</v>
          </cell>
          <cell r="G139">
            <v>30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Kick</v>
          </cell>
          <cell r="B140" t="str">
            <v>Kick</v>
          </cell>
          <cell r="C140" t="str">
            <v>Kick</v>
          </cell>
          <cell r="D140"/>
          <cell r="E140">
            <v>135</v>
          </cell>
          <cell r="F140">
            <v>87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Horn</v>
          </cell>
          <cell r="B141" t="str">
            <v>Horn</v>
          </cell>
          <cell r="C141" t="str">
            <v>Horn</v>
          </cell>
          <cell r="D141"/>
          <cell r="E141">
            <v>136</v>
          </cell>
          <cell r="F141">
            <v>88</v>
          </cell>
          <cell r="G141">
            <v>15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Thorn</v>
          </cell>
          <cell r="B142" t="str">
            <v>Thorn</v>
          </cell>
          <cell r="C142" t="str">
            <v>Thorn</v>
          </cell>
          <cell r="D142"/>
          <cell r="E142">
            <v>137</v>
          </cell>
          <cell r="F142">
            <v>89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Sword</v>
          </cell>
          <cell r="B143" t="str">
            <v>Sword</v>
          </cell>
          <cell r="C143" t="str">
            <v>Sword</v>
          </cell>
          <cell r="D143"/>
          <cell r="E143">
            <v>138</v>
          </cell>
          <cell r="F143" t="str">
            <v>8A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Wicked Blade</v>
          </cell>
          <cell r="B144" t="str">
            <v>Wicked Blade</v>
          </cell>
          <cell r="C144" t="str">
            <v>Wicked Blade</v>
          </cell>
          <cell r="D144"/>
          <cell r="E144"/>
          <cell r="F144"/>
          <cell r="G144">
            <v>15</v>
          </cell>
          <cell r="H144"/>
          <cell r="I144"/>
          <cell r="J144"/>
          <cell r="K144"/>
          <cell r="L144">
            <v>9</v>
          </cell>
          <cell r="M144"/>
          <cell r="N144">
            <v>0</v>
          </cell>
          <cell r="O144">
            <v>0</v>
          </cell>
        </row>
        <row r="145">
          <cell r="A145" t="str">
            <v>Chomp</v>
          </cell>
          <cell r="B145" t="str">
            <v>Chomp</v>
          </cell>
          <cell r="C145" t="str">
            <v>Chomp</v>
          </cell>
          <cell r="D145"/>
          <cell r="E145">
            <v>139</v>
          </cell>
          <cell r="F145" t="str">
            <v>8B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Crush</v>
          </cell>
          <cell r="B146" t="str">
            <v>Crush</v>
          </cell>
          <cell r="C146" t="str">
            <v>Crush</v>
          </cell>
          <cell r="D146"/>
          <cell r="E146"/>
          <cell r="F146"/>
          <cell r="G146">
            <v>15</v>
          </cell>
          <cell r="H146"/>
          <cell r="I146"/>
          <cell r="J146"/>
          <cell r="K146"/>
          <cell r="L146">
            <v>9</v>
          </cell>
          <cell r="M146"/>
          <cell r="N146">
            <v>0</v>
          </cell>
          <cell r="O146">
            <v>0</v>
          </cell>
        </row>
        <row r="147">
          <cell r="A147" t="str">
            <v>Ravage</v>
          </cell>
          <cell r="B147" t="str">
            <v>Ravage</v>
          </cell>
          <cell r="C147" t="str">
            <v>Ravage</v>
          </cell>
          <cell r="D147"/>
          <cell r="E147"/>
          <cell r="F147"/>
          <cell r="G147">
            <v>10</v>
          </cell>
          <cell r="H147"/>
          <cell r="I147"/>
          <cell r="J147"/>
          <cell r="K147"/>
          <cell r="L147">
            <v>9</v>
          </cell>
          <cell r="M147"/>
          <cell r="N147">
            <v>0</v>
          </cell>
          <cell r="O147">
            <v>0</v>
          </cell>
        </row>
        <row r="148">
          <cell r="A148" t="str">
            <v>Beak</v>
          </cell>
          <cell r="B148" t="str">
            <v>Beak</v>
          </cell>
          <cell r="C148" t="str">
            <v>Beak</v>
          </cell>
          <cell r="D148"/>
          <cell r="E148">
            <v>140</v>
          </cell>
          <cell r="F148" t="str">
            <v>8C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Tail</v>
          </cell>
          <cell r="B149" t="str">
            <v>Tail</v>
          </cell>
          <cell r="C149" t="str">
            <v>Tail</v>
          </cell>
          <cell r="D149"/>
          <cell r="E149">
            <v>141</v>
          </cell>
          <cell r="F149" t="str">
            <v>8D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Mandible</v>
          </cell>
          <cell r="B150" t="str">
            <v>Mandible</v>
          </cell>
          <cell r="C150" t="str">
            <v>Mandible</v>
          </cell>
          <cell r="D150"/>
          <cell r="E150">
            <v>142</v>
          </cell>
          <cell r="F150" t="str">
            <v>8E</v>
          </cell>
          <cell r="G150">
            <v>30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Fin</v>
          </cell>
          <cell r="B151" t="str">
            <v>Fin</v>
          </cell>
          <cell r="C151" t="str">
            <v>Fin</v>
          </cell>
          <cell r="D151"/>
          <cell r="E151">
            <v>143</v>
          </cell>
          <cell r="F151" t="str">
            <v>8F</v>
          </cell>
          <cell r="G151">
            <v>30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Tentacle</v>
          </cell>
          <cell r="B152" t="str">
            <v>Tentacle</v>
          </cell>
          <cell r="C152" t="str">
            <v>Tentacle</v>
          </cell>
          <cell r="D152"/>
          <cell r="E152">
            <v>144</v>
          </cell>
          <cell r="F152">
            <v>90</v>
          </cell>
          <cell r="G152">
            <v>30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W-Pincer</v>
          </cell>
          <cell r="B153" t="str">
            <v>W-Pincer</v>
          </cell>
          <cell r="C153" t="str">
            <v>W-Pincer</v>
          </cell>
          <cell r="D153"/>
          <cell r="E153">
            <v>145</v>
          </cell>
          <cell r="F153">
            <v>91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W-Attack</v>
          </cell>
          <cell r="B154" t="str">
            <v>W-Attack</v>
          </cell>
          <cell r="C154" t="str">
            <v>W-Attack</v>
          </cell>
          <cell r="D154"/>
          <cell r="E154">
            <v>146</v>
          </cell>
          <cell r="F154">
            <v>92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4-Heads</v>
          </cell>
          <cell r="B155" t="str">
            <v>4-Heads</v>
          </cell>
          <cell r="C155" t="str">
            <v>4-Heads</v>
          </cell>
          <cell r="D155"/>
          <cell r="E155">
            <v>147</v>
          </cell>
          <cell r="F155">
            <v>93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8-Legs</v>
          </cell>
          <cell r="B156" t="str">
            <v>8-Legs</v>
          </cell>
          <cell r="C156" t="str">
            <v>8-Legs</v>
          </cell>
          <cell r="D156"/>
          <cell r="E156">
            <v>148</v>
          </cell>
          <cell r="F156">
            <v>94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Touch</v>
          </cell>
          <cell r="B157" t="str">
            <v>Touch</v>
          </cell>
          <cell r="C157" t="str">
            <v>Touch</v>
          </cell>
          <cell r="D157"/>
          <cell r="E157">
            <v>149</v>
          </cell>
          <cell r="F157">
            <v>95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>
            <v>0</v>
          </cell>
          <cell r="N157">
            <v>0</v>
          </cell>
          <cell r="O157">
            <v>0</v>
          </cell>
        </row>
        <row r="158">
          <cell r="A158" t="str">
            <v>Saw</v>
          </cell>
          <cell r="B158" t="str">
            <v>Saw</v>
          </cell>
          <cell r="C158" t="str">
            <v>Saw</v>
          </cell>
          <cell r="D158"/>
          <cell r="E158">
            <v>150</v>
          </cell>
          <cell r="F158">
            <v>96</v>
          </cell>
          <cell r="G158">
            <v>15</v>
          </cell>
          <cell r="H158"/>
          <cell r="I158"/>
          <cell r="J158"/>
          <cell r="K158"/>
          <cell r="L158">
            <v>9</v>
          </cell>
          <cell r="M158">
            <v>0</v>
          </cell>
          <cell r="N158">
            <v>0</v>
          </cell>
          <cell r="O158">
            <v>0</v>
          </cell>
        </row>
        <row r="159">
          <cell r="A159" t="str">
            <v>Dissolve</v>
          </cell>
          <cell r="B159" t="str">
            <v>Dissolve</v>
          </cell>
          <cell r="C159" t="str">
            <v>Dissolve</v>
          </cell>
          <cell r="D159"/>
          <cell r="E159">
            <v>151</v>
          </cell>
          <cell r="F159">
            <v>97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>
            <v>0</v>
          </cell>
          <cell r="N159">
            <v>0</v>
          </cell>
          <cell r="O159">
            <v>0</v>
          </cell>
        </row>
        <row r="160">
          <cell r="A160" t="str">
            <v>Absorb</v>
          </cell>
          <cell r="B160" t="str">
            <v>Absorb</v>
          </cell>
          <cell r="C160" t="str">
            <v>Absorb</v>
          </cell>
          <cell r="D160"/>
          <cell r="E160">
            <v>152</v>
          </cell>
          <cell r="F160">
            <v>98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Cure</v>
          </cell>
          <cell r="B161" t="str">
            <v>Cure</v>
          </cell>
          <cell r="C161" t="str">
            <v>Cure</v>
          </cell>
          <cell r="D161"/>
          <cell r="E161">
            <v>153</v>
          </cell>
          <cell r="F161">
            <v>99</v>
          </cell>
          <cell r="G161">
            <v>15</v>
          </cell>
          <cell r="H161"/>
          <cell r="I161"/>
          <cell r="J161"/>
          <cell r="K161"/>
          <cell r="L161">
            <v>9</v>
          </cell>
          <cell r="M161" t="str">
            <v xml:space="preserve"> Mana +0</v>
          </cell>
          <cell r="N161" t="str">
            <v xml:space="preserve"> Mana</v>
          </cell>
          <cell r="O161" t="str">
            <v>0</v>
          </cell>
        </row>
        <row r="162">
          <cell r="A162" t="str">
            <v>Defense</v>
          </cell>
          <cell r="B162" t="str">
            <v>Defense</v>
          </cell>
          <cell r="C162" t="str">
            <v>Defense</v>
          </cell>
          <cell r="D162"/>
          <cell r="E162">
            <v>154</v>
          </cell>
          <cell r="F162" t="str">
            <v>9A</v>
          </cell>
          <cell r="G162">
            <v>30</v>
          </cell>
          <cell r="H162"/>
          <cell r="I162"/>
          <cell r="J162"/>
          <cell r="K162"/>
          <cell r="L162">
            <v>9</v>
          </cell>
          <cell r="M162" t="str">
            <v>Def +2</v>
          </cell>
          <cell r="N162" t="str">
            <v>Def</v>
          </cell>
          <cell r="O162" t="str">
            <v>2</v>
          </cell>
        </row>
        <row r="163">
          <cell r="A163" t="str">
            <v>Shell</v>
          </cell>
          <cell r="B163" t="str">
            <v>Shell</v>
          </cell>
          <cell r="C163" t="str">
            <v>Shell</v>
          </cell>
          <cell r="D163"/>
          <cell r="E163">
            <v>155</v>
          </cell>
          <cell r="F163" t="str">
            <v>9B</v>
          </cell>
          <cell r="G163">
            <v>30</v>
          </cell>
          <cell r="H163"/>
          <cell r="I163"/>
          <cell r="J163"/>
          <cell r="K163"/>
          <cell r="L163">
            <v>9</v>
          </cell>
          <cell r="M163" t="str">
            <v>Def +2</v>
          </cell>
          <cell r="N163" t="str">
            <v>Def</v>
          </cell>
          <cell r="O163" t="str">
            <v>2</v>
          </cell>
        </row>
        <row r="164">
          <cell r="A164" t="str">
            <v>Mirror</v>
          </cell>
          <cell r="B164" t="str">
            <v>Mirror</v>
          </cell>
          <cell r="C164" t="str">
            <v>Mirror</v>
          </cell>
          <cell r="D164"/>
          <cell r="E164">
            <v>157</v>
          </cell>
          <cell r="F164" t="str">
            <v>9D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 t="str">
            <v xml:space="preserve"> Mana +0</v>
          </cell>
          <cell r="N164" t="str">
            <v xml:space="preserve"> Mana</v>
          </cell>
          <cell r="O164" t="str">
            <v>0</v>
          </cell>
        </row>
        <row r="165">
          <cell r="A165" t="str">
            <v>Riposte</v>
          </cell>
          <cell r="B165" t="str">
            <v>Riposte</v>
          </cell>
          <cell r="C165" t="str">
            <v>Riposte</v>
          </cell>
          <cell r="D165"/>
          <cell r="E165">
            <v>158</v>
          </cell>
          <cell r="F165" t="str">
            <v>9E</v>
          </cell>
          <cell r="G165">
            <v>30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Backlash</v>
          </cell>
          <cell r="B166" t="str">
            <v>Backlash</v>
          </cell>
          <cell r="C166" t="str">
            <v>Backlash</v>
          </cell>
          <cell r="D166"/>
          <cell r="E166"/>
          <cell r="F166"/>
          <cell r="G166">
            <v>30</v>
          </cell>
          <cell r="H166"/>
          <cell r="I166"/>
          <cell r="J166"/>
          <cell r="K166"/>
          <cell r="L166"/>
          <cell r="M166"/>
          <cell r="N166"/>
          <cell r="O166"/>
        </row>
        <row r="167">
          <cell r="A167" t="str">
            <v>Burning</v>
          </cell>
          <cell r="B167" t="str">
            <v>Burning</v>
          </cell>
          <cell r="C167" t="str">
            <v>Burning</v>
          </cell>
          <cell r="D167"/>
          <cell r="E167">
            <v>159</v>
          </cell>
          <cell r="F167" t="str">
            <v>9F</v>
          </cell>
          <cell r="G167">
            <v>30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2-Swords</v>
          </cell>
          <cell r="B168" t="str">
            <v>2-Swords</v>
          </cell>
          <cell r="C168" t="str">
            <v>2-Swords</v>
          </cell>
          <cell r="D168"/>
          <cell r="E168">
            <v>160</v>
          </cell>
          <cell r="F168" t="str">
            <v>A0</v>
          </cell>
          <cell r="G168">
            <v>15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2-Tusks</v>
          </cell>
          <cell r="B169" t="str">
            <v>2-Tusks</v>
          </cell>
          <cell r="C169" t="str">
            <v>2-Tusks</v>
          </cell>
          <cell r="D169"/>
          <cell r="E169">
            <v>161</v>
          </cell>
          <cell r="F169" t="str">
            <v>A1</v>
          </cell>
          <cell r="G169">
            <v>15</v>
          </cell>
          <cell r="H169"/>
          <cell r="I169"/>
          <cell r="J169"/>
          <cell r="K169"/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3-Heads</v>
          </cell>
          <cell r="B170" t="str">
            <v>3-Heads</v>
          </cell>
          <cell r="C170" t="str">
            <v>3-Heads</v>
          </cell>
          <cell r="D170"/>
          <cell r="E170">
            <v>162</v>
          </cell>
          <cell r="F170" t="str">
            <v>A2</v>
          </cell>
          <cell r="G170">
            <v>15</v>
          </cell>
          <cell r="H170"/>
          <cell r="I170"/>
          <cell r="J170"/>
          <cell r="K170"/>
          <cell r="L170">
            <v>9</v>
          </cell>
          <cell r="M170">
            <v>0</v>
          </cell>
          <cell r="N170">
            <v>0</v>
          </cell>
          <cell r="O170">
            <v>0</v>
          </cell>
        </row>
        <row r="171">
          <cell r="A171" t="str">
            <v>3-Horns</v>
          </cell>
          <cell r="B171" t="str">
            <v>3-Horns</v>
          </cell>
          <cell r="C171" t="str">
            <v>3-Horns</v>
          </cell>
          <cell r="D171"/>
          <cell r="E171">
            <v>163</v>
          </cell>
          <cell r="F171" t="str">
            <v>A3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6-Arms</v>
          </cell>
          <cell r="B172" t="str">
            <v>6-Arms</v>
          </cell>
          <cell r="C172" t="str">
            <v>6-Arms</v>
          </cell>
          <cell r="D172"/>
          <cell r="E172">
            <v>164</v>
          </cell>
          <cell r="F172" t="str">
            <v>A4</v>
          </cell>
          <cell r="G172">
            <v>15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Critical</v>
          </cell>
          <cell r="B173" t="str">
            <v>Critical</v>
          </cell>
          <cell r="C173" t="str">
            <v>Critical</v>
          </cell>
          <cell r="D173"/>
          <cell r="E173">
            <v>165</v>
          </cell>
          <cell r="F173" t="str">
            <v>A5</v>
          </cell>
          <cell r="G173">
            <v>10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Honey</v>
          </cell>
          <cell r="B174" t="str">
            <v>Honey</v>
          </cell>
          <cell r="C174" t="str">
            <v>Honey</v>
          </cell>
          <cell r="D174"/>
          <cell r="E174">
            <v>167</v>
          </cell>
          <cell r="F174" t="str">
            <v>A7</v>
          </cell>
          <cell r="G174">
            <v>10</v>
          </cell>
          <cell r="H174"/>
          <cell r="I174"/>
          <cell r="J174"/>
          <cell r="K174"/>
          <cell r="L174">
            <v>9</v>
          </cell>
          <cell r="M174" t="str">
            <v xml:space="preserve"> Mana +0</v>
          </cell>
          <cell r="N174" t="str">
            <v xml:space="preserve"> Mana</v>
          </cell>
          <cell r="O174" t="str">
            <v>0</v>
          </cell>
        </row>
        <row r="175">
          <cell r="A175" t="str">
            <v>Refresh</v>
          </cell>
          <cell r="B175" t="str">
            <v>Refresh</v>
          </cell>
          <cell r="C175" t="str">
            <v>Refresh</v>
          </cell>
          <cell r="D175"/>
          <cell r="E175">
            <v>168</v>
          </cell>
          <cell r="F175" t="str">
            <v>A8</v>
          </cell>
          <cell r="G175">
            <v>10</v>
          </cell>
          <cell r="H175"/>
          <cell r="I175"/>
          <cell r="J175"/>
          <cell r="K175"/>
          <cell r="L175">
            <v>9</v>
          </cell>
          <cell r="M175" t="str">
            <v xml:space="preserve"> Mana +0</v>
          </cell>
          <cell r="N175" t="str">
            <v xml:space="preserve"> Mana</v>
          </cell>
          <cell r="O175" t="str">
            <v>0</v>
          </cell>
        </row>
        <row r="176">
          <cell r="A176" t="str">
            <v>Life</v>
          </cell>
          <cell r="B176" t="str">
            <v>Life</v>
          </cell>
          <cell r="C176" t="str">
            <v>Life</v>
          </cell>
          <cell r="D176" t="str">
            <v>Potion</v>
          </cell>
          <cell r="E176">
            <v>169</v>
          </cell>
          <cell r="F176" t="str">
            <v>A9</v>
          </cell>
          <cell r="G176">
            <v>3</v>
          </cell>
          <cell r="H176"/>
          <cell r="I176"/>
          <cell r="J176"/>
          <cell r="K176"/>
          <cell r="L176">
            <v>9</v>
          </cell>
          <cell r="M176" t="str">
            <v xml:space="preserve"> Mana +0</v>
          </cell>
          <cell r="N176" t="str">
            <v xml:space="preserve"> Mana</v>
          </cell>
          <cell r="O176" t="str">
            <v>0</v>
          </cell>
        </row>
        <row r="177">
          <cell r="A177" t="str">
            <v>W-Kick</v>
          </cell>
          <cell r="B177" t="str">
            <v>W-Kick</v>
          </cell>
          <cell r="C177" t="str">
            <v>W-Kick</v>
          </cell>
          <cell r="D177"/>
          <cell r="E177">
            <v>170</v>
          </cell>
          <cell r="F177" t="str">
            <v>AA</v>
          </cell>
          <cell r="G177">
            <v>15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ParaNail</v>
          </cell>
          <cell r="B178" t="str">
            <v>ParaNail</v>
          </cell>
          <cell r="C178" t="str">
            <v>ParaNail</v>
          </cell>
          <cell r="D178"/>
          <cell r="E178">
            <v>171</v>
          </cell>
          <cell r="F178" t="str">
            <v>AB</v>
          </cell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Wind Up</v>
          </cell>
          <cell r="B179" t="str">
            <v>Wind Up</v>
          </cell>
          <cell r="C179" t="str">
            <v>Wind Up</v>
          </cell>
          <cell r="D179"/>
          <cell r="E179">
            <v>172</v>
          </cell>
          <cell r="F179" t="str">
            <v>AC</v>
          </cell>
          <cell r="G179">
            <v>20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Constrict</v>
          </cell>
          <cell r="B180" t="str">
            <v>Constrict</v>
          </cell>
          <cell r="C180" t="str">
            <v>Constrict</v>
          </cell>
          <cell r="D180"/>
          <cell r="E180">
            <v>173</v>
          </cell>
          <cell r="F180" t="str">
            <v>AD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Breath</v>
          </cell>
          <cell r="B181" t="str">
            <v>Breath</v>
          </cell>
          <cell r="C181" t="str">
            <v>Breath</v>
          </cell>
          <cell r="D181"/>
          <cell r="E181">
            <v>174</v>
          </cell>
          <cell r="F181" t="str">
            <v>AE</v>
          </cell>
          <cell r="G181">
            <v>20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Venom</v>
          </cell>
          <cell r="B182" t="str">
            <v>Venom</v>
          </cell>
          <cell r="C182" t="str">
            <v>Venom</v>
          </cell>
          <cell r="D182"/>
          <cell r="E182">
            <v>175</v>
          </cell>
          <cell r="F182" t="str">
            <v>AF</v>
          </cell>
          <cell r="G182">
            <v>20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Poison</v>
          </cell>
          <cell r="B183" t="str">
            <v>Poison</v>
          </cell>
          <cell r="C183" t="str">
            <v>Poison</v>
          </cell>
          <cell r="D183"/>
          <cell r="E183"/>
          <cell r="F183"/>
          <cell r="G183">
            <v>15</v>
          </cell>
          <cell r="H183"/>
          <cell r="I183"/>
          <cell r="J183"/>
          <cell r="K183"/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P-Skin</v>
          </cell>
          <cell r="B184" t="str">
            <v>P-Skin</v>
          </cell>
          <cell r="C184" t="str">
            <v>P-Skin</v>
          </cell>
          <cell r="D184"/>
          <cell r="E184">
            <v>177</v>
          </cell>
          <cell r="F184" t="str">
            <v>B1</v>
          </cell>
          <cell r="G184">
            <v>30</v>
          </cell>
          <cell r="H184"/>
          <cell r="I184"/>
          <cell r="J184"/>
          <cell r="K184"/>
          <cell r="L184">
            <v>9</v>
          </cell>
          <cell r="M184">
            <v>0</v>
          </cell>
          <cell r="N184">
            <v>0</v>
          </cell>
          <cell r="O184">
            <v>0</v>
          </cell>
        </row>
        <row r="185">
          <cell r="A185" t="str">
            <v>ParaSkin</v>
          </cell>
          <cell r="B185" t="str">
            <v>ParaSkin</v>
          </cell>
          <cell r="C185" t="str">
            <v>ParaSkin</v>
          </cell>
          <cell r="D185"/>
          <cell r="E185">
            <v>178</v>
          </cell>
          <cell r="F185" t="str">
            <v>B2</v>
          </cell>
          <cell r="G185">
            <v>30</v>
          </cell>
          <cell r="H185"/>
          <cell r="I185"/>
          <cell r="J185"/>
          <cell r="K185"/>
          <cell r="L185">
            <v>9</v>
          </cell>
          <cell r="M185">
            <v>0</v>
          </cell>
          <cell r="N185">
            <v>0</v>
          </cell>
          <cell r="O185">
            <v>0</v>
          </cell>
        </row>
        <row r="186">
          <cell r="A186" t="str">
            <v>Petrify</v>
          </cell>
          <cell r="B186" t="str">
            <v>Petrify</v>
          </cell>
          <cell r="C186" t="str">
            <v>Petrify</v>
          </cell>
          <cell r="D186"/>
          <cell r="E186">
            <v>179</v>
          </cell>
          <cell r="F186" t="str">
            <v>B3</v>
          </cell>
          <cell r="G186">
            <v>20</v>
          </cell>
          <cell r="H186"/>
          <cell r="I186"/>
          <cell r="J186"/>
          <cell r="K186"/>
          <cell r="L186">
            <v>9</v>
          </cell>
          <cell r="M186">
            <v>0</v>
          </cell>
          <cell r="N186">
            <v>0</v>
          </cell>
          <cell r="O186">
            <v>0</v>
          </cell>
        </row>
        <row r="187">
          <cell r="A187" t="str">
            <v>StonSkin</v>
          </cell>
          <cell r="B187" t="str">
            <v>StonSkin</v>
          </cell>
          <cell r="C187" t="str">
            <v>StonSkin</v>
          </cell>
          <cell r="D187"/>
          <cell r="E187">
            <v>180</v>
          </cell>
          <cell r="F187" t="str">
            <v>B4</v>
          </cell>
          <cell r="G187">
            <v>30</v>
          </cell>
          <cell r="H187"/>
          <cell r="I187"/>
          <cell r="J187"/>
          <cell r="K187"/>
          <cell r="L187">
            <v>9</v>
          </cell>
          <cell r="M187">
            <v>0</v>
          </cell>
          <cell r="N187">
            <v>0</v>
          </cell>
          <cell r="O187">
            <v>0</v>
          </cell>
        </row>
        <row r="188">
          <cell r="A188" t="str">
            <v>Thunder</v>
          </cell>
          <cell r="B188" t="str">
            <v>Thunder</v>
          </cell>
          <cell r="C188" t="str">
            <v>Thunder</v>
          </cell>
          <cell r="D188"/>
          <cell r="E188">
            <v>181</v>
          </cell>
          <cell r="F188" t="str">
            <v>B5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Ice</v>
          </cell>
          <cell r="B189" t="str">
            <v>Ice</v>
          </cell>
          <cell r="C189" t="str">
            <v>Ice</v>
          </cell>
          <cell r="D189"/>
          <cell r="E189">
            <v>182</v>
          </cell>
          <cell r="F189" t="str">
            <v>B6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Fire</v>
          </cell>
          <cell r="B190" t="str">
            <v>Fire</v>
          </cell>
          <cell r="C190" t="str">
            <v>Fire</v>
          </cell>
          <cell r="D190"/>
          <cell r="E190">
            <v>183</v>
          </cell>
          <cell r="F190" t="str">
            <v>B7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Flame</v>
          </cell>
          <cell r="B191" t="str">
            <v>Flame</v>
          </cell>
          <cell r="C191" t="str">
            <v>Flame</v>
          </cell>
          <cell r="D191"/>
          <cell r="E191">
            <v>184</v>
          </cell>
          <cell r="F191" t="str">
            <v>B8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Gas</v>
          </cell>
          <cell r="B192" t="str">
            <v>Gas</v>
          </cell>
          <cell r="C192" t="str">
            <v>Gas</v>
          </cell>
          <cell r="D192"/>
          <cell r="E192">
            <v>185</v>
          </cell>
          <cell r="F192" t="str">
            <v>B9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Blizzard</v>
          </cell>
          <cell r="B193" t="str">
            <v>Blizzard</v>
          </cell>
          <cell r="C193" t="str">
            <v>Blizzard</v>
          </cell>
          <cell r="D193"/>
          <cell r="E193">
            <v>186</v>
          </cell>
          <cell r="F193" t="str">
            <v>BA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Lightning</v>
          </cell>
          <cell r="B194" t="str">
            <v>Lightning</v>
          </cell>
          <cell r="C194" t="str">
            <v>Lightning</v>
          </cell>
          <cell r="D194"/>
          <cell r="E194">
            <v>187</v>
          </cell>
          <cell r="F194" t="str">
            <v>BB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 t="str">
            <v xml:space="preserve"> Mana +0</v>
          </cell>
          <cell r="N194" t="str">
            <v xml:space="preserve"> Mana</v>
          </cell>
          <cell r="O194" t="str">
            <v>0</v>
          </cell>
        </row>
        <row r="195">
          <cell r="A195" t="str">
            <v>Ray</v>
          </cell>
          <cell r="B195" t="str">
            <v>Ray</v>
          </cell>
          <cell r="C195" t="str">
            <v>Ray</v>
          </cell>
          <cell r="D195"/>
          <cell r="E195"/>
          <cell r="F195"/>
          <cell r="G195">
            <v>15</v>
          </cell>
          <cell r="H195"/>
          <cell r="I195"/>
          <cell r="J195"/>
          <cell r="K195"/>
          <cell r="L195">
            <v>9</v>
          </cell>
          <cell r="M195"/>
          <cell r="N195" t="str">
            <v>Mana</v>
          </cell>
          <cell r="O195">
            <v>0</v>
          </cell>
        </row>
        <row r="196">
          <cell r="A196" t="str">
            <v>Beam</v>
          </cell>
          <cell r="B196" t="str">
            <v>Beam</v>
          </cell>
          <cell r="C196" t="str">
            <v>Beam</v>
          </cell>
          <cell r="D196"/>
          <cell r="E196">
            <v>188</v>
          </cell>
          <cell r="F196" t="str">
            <v>BC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P-Blast</v>
          </cell>
          <cell r="B197" t="str">
            <v>P-Blast</v>
          </cell>
          <cell r="C197" t="str">
            <v>P-Blast</v>
          </cell>
          <cell r="D197"/>
          <cell r="E197">
            <v>189</v>
          </cell>
          <cell r="F197" t="str">
            <v>BD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Dispel</v>
          </cell>
          <cell r="B198" t="str">
            <v>Dispel</v>
          </cell>
          <cell r="C198" t="str">
            <v>Dispel</v>
          </cell>
          <cell r="D198"/>
          <cell r="E198">
            <v>190</v>
          </cell>
          <cell r="F198" t="str">
            <v>BE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D-Beam</v>
          </cell>
          <cell r="B199" t="str">
            <v>D-Beam</v>
          </cell>
          <cell r="C199" t="str">
            <v>D-Beam</v>
          </cell>
          <cell r="D199"/>
          <cell r="E199">
            <v>191</v>
          </cell>
          <cell r="F199" t="str">
            <v>BF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Squirt</v>
          </cell>
          <cell r="B200" t="str">
            <v>Squirt</v>
          </cell>
          <cell r="C200" t="str">
            <v>Squirt</v>
          </cell>
          <cell r="D200"/>
          <cell r="E200">
            <v>192</v>
          </cell>
          <cell r="F200" t="str">
            <v>C0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Big Wave</v>
          </cell>
          <cell r="B201" t="str">
            <v>Cold Wave</v>
          </cell>
          <cell r="C201" t="str">
            <v>Cold Wave</v>
          </cell>
          <cell r="D201"/>
          <cell r="E201"/>
          <cell r="F201"/>
          <cell r="G201">
            <v>15</v>
          </cell>
          <cell r="H201"/>
          <cell r="I201"/>
          <cell r="J201"/>
          <cell r="K201"/>
          <cell r="L201">
            <v>9</v>
          </cell>
          <cell r="M201"/>
          <cell r="N201">
            <v>0</v>
          </cell>
          <cell r="O201">
            <v>0</v>
          </cell>
        </row>
        <row r="202">
          <cell r="A202" t="str">
            <v>SunBurst</v>
          </cell>
          <cell r="B202" t="str">
            <v>SunBurst</v>
          </cell>
          <cell r="C202" t="str">
            <v>SunBurst</v>
          </cell>
          <cell r="D202"/>
          <cell r="E202">
            <v>193</v>
          </cell>
          <cell r="F202" t="str">
            <v>C1</v>
          </cell>
          <cell r="G202">
            <v>10</v>
          </cell>
          <cell r="H202"/>
          <cell r="I202"/>
          <cell r="J202"/>
          <cell r="K202"/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SleepGas</v>
          </cell>
          <cell r="B203" t="str">
            <v>SleepGas</v>
          </cell>
          <cell r="C203" t="str">
            <v>SleepGas</v>
          </cell>
          <cell r="D203"/>
          <cell r="E203">
            <v>194</v>
          </cell>
          <cell r="F203" t="str">
            <v>C2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Sleep</v>
          </cell>
          <cell r="B204" t="str">
            <v>Sleep</v>
          </cell>
          <cell r="C204" t="str">
            <v>Sleep</v>
          </cell>
          <cell r="D204"/>
          <cell r="E204">
            <v>195</v>
          </cell>
          <cell r="F204" t="str">
            <v>C3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StonGaze</v>
          </cell>
          <cell r="B205" t="str">
            <v>StonGaze</v>
          </cell>
          <cell r="C205" t="str">
            <v>StonGaze</v>
          </cell>
          <cell r="D205"/>
          <cell r="E205">
            <v>196</v>
          </cell>
          <cell r="F205" t="str">
            <v>C4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 t="str">
            <v xml:space="preserve"> Mana +0</v>
          </cell>
          <cell r="N205" t="str">
            <v xml:space="preserve"> Mana</v>
          </cell>
          <cell r="O205" t="str">
            <v>0</v>
          </cell>
        </row>
        <row r="206">
          <cell r="A206" t="str">
            <v>Stone</v>
          </cell>
          <cell r="B206" t="str">
            <v>Stone</v>
          </cell>
          <cell r="C206" t="str">
            <v>Stone</v>
          </cell>
          <cell r="D206"/>
          <cell r="E206">
            <v>197</v>
          </cell>
          <cell r="F206" t="str">
            <v>C5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 t="str">
            <v xml:space="preserve"> Mana +0</v>
          </cell>
          <cell r="N206" t="str">
            <v xml:space="preserve"> Mana</v>
          </cell>
          <cell r="O206" t="str">
            <v>0</v>
          </cell>
        </row>
        <row r="207">
          <cell r="A207" t="str">
            <v>StoneGas</v>
          </cell>
          <cell r="B207" t="str">
            <v>StoneGas</v>
          </cell>
          <cell r="C207" t="str">
            <v>StoneGas</v>
          </cell>
          <cell r="D207"/>
          <cell r="E207">
            <v>198</v>
          </cell>
          <cell r="F207" t="str">
            <v>C6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FatalGas</v>
          </cell>
          <cell r="B208" t="str">
            <v>FatalGas</v>
          </cell>
          <cell r="C208" t="str">
            <v>FatalGas</v>
          </cell>
          <cell r="D208"/>
          <cell r="E208">
            <v>199</v>
          </cell>
          <cell r="F208" t="str">
            <v>C7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DeathGaze</v>
          </cell>
          <cell r="B209" t="str">
            <v>DeathGaze</v>
          </cell>
          <cell r="C209" t="str">
            <v>DeathGaze</v>
          </cell>
          <cell r="D209"/>
          <cell r="E209">
            <v>200</v>
          </cell>
          <cell r="F209" t="str">
            <v>C8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Slay</v>
          </cell>
          <cell r="B210" t="str">
            <v>Slay</v>
          </cell>
          <cell r="C210" t="str">
            <v>Slay</v>
          </cell>
          <cell r="D210"/>
          <cell r="E210">
            <v>201</v>
          </cell>
          <cell r="F210" t="str">
            <v>C9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Blind</v>
          </cell>
          <cell r="B211" t="str">
            <v>Blind</v>
          </cell>
          <cell r="C211" t="str">
            <v>Blind</v>
          </cell>
          <cell r="D211"/>
          <cell r="E211">
            <v>202</v>
          </cell>
          <cell r="F211" t="str">
            <v>CA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>
            <v>0</v>
          </cell>
          <cell r="N211">
            <v>0</v>
          </cell>
          <cell r="O211">
            <v>0</v>
          </cell>
        </row>
        <row r="212">
          <cell r="A212" t="str">
            <v>Flash</v>
          </cell>
          <cell r="B212" t="str">
            <v>Flash</v>
          </cell>
          <cell r="C212" t="str">
            <v>Flash</v>
          </cell>
          <cell r="D212"/>
          <cell r="E212">
            <v>203</v>
          </cell>
          <cell r="F212" t="str">
            <v>CB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Ink</v>
          </cell>
          <cell r="B213" t="str">
            <v>Ink</v>
          </cell>
          <cell r="C213" t="str">
            <v>Ink</v>
          </cell>
          <cell r="D213"/>
          <cell r="E213">
            <v>204</v>
          </cell>
          <cell r="F213" t="str">
            <v>CC</v>
          </cell>
          <cell r="G213">
            <v>5</v>
          </cell>
          <cell r="H213"/>
          <cell r="I213"/>
          <cell r="J213"/>
          <cell r="K213"/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PoisonGas</v>
          </cell>
          <cell r="B214" t="str">
            <v>PoisonGas</v>
          </cell>
          <cell r="C214" t="str">
            <v>PoisonGas</v>
          </cell>
          <cell r="D214"/>
          <cell r="E214">
            <v>205</v>
          </cell>
          <cell r="F214" t="str">
            <v>CD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EvilEye</v>
          </cell>
          <cell r="B215" t="str">
            <v>EvilEye</v>
          </cell>
          <cell r="C215" t="str">
            <v>EvilEye</v>
          </cell>
          <cell r="D215"/>
          <cell r="E215">
            <v>206</v>
          </cell>
          <cell r="F215" t="str">
            <v>CE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Powder</v>
          </cell>
          <cell r="B216" t="str">
            <v>Powder</v>
          </cell>
          <cell r="C216" t="str">
            <v>Powder</v>
          </cell>
          <cell r="D216"/>
          <cell r="E216">
            <v>207</v>
          </cell>
          <cell r="F216" t="str">
            <v>CF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Gaze</v>
          </cell>
          <cell r="B217" t="str">
            <v>Gaze</v>
          </cell>
          <cell r="C217" t="str">
            <v>Gaze</v>
          </cell>
          <cell r="D217"/>
          <cell r="E217">
            <v>208</v>
          </cell>
          <cell r="F217" t="str">
            <v>D0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Charm</v>
          </cell>
          <cell r="B218" t="str">
            <v>Charm</v>
          </cell>
          <cell r="C218" t="str">
            <v>Charm</v>
          </cell>
          <cell r="D218"/>
          <cell r="E218">
            <v>209</v>
          </cell>
          <cell r="F218" t="str">
            <v>D1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ChaosGas</v>
          </cell>
          <cell r="B219" t="str">
            <v>ChaosGas</v>
          </cell>
          <cell r="C219" t="str">
            <v>ChaosGas</v>
          </cell>
          <cell r="D219"/>
          <cell r="E219">
            <v>210</v>
          </cell>
          <cell r="F219" t="str">
            <v>D2</v>
          </cell>
          <cell r="G219">
            <v>15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Sand</v>
          </cell>
          <cell r="B220" t="str">
            <v>Sand</v>
          </cell>
          <cell r="C220" t="str">
            <v>Sand</v>
          </cell>
          <cell r="D220"/>
          <cell r="E220">
            <v>211</v>
          </cell>
          <cell r="F220" t="str">
            <v>D3</v>
          </cell>
          <cell r="G220">
            <v>15</v>
          </cell>
          <cell r="H220"/>
          <cell r="I220"/>
          <cell r="J220"/>
          <cell r="K220"/>
          <cell r="L220">
            <v>9</v>
          </cell>
          <cell r="M220">
            <v>0</v>
          </cell>
          <cell r="N220">
            <v>0</v>
          </cell>
          <cell r="O220">
            <v>0</v>
          </cell>
        </row>
        <row r="221">
          <cell r="A221" t="str">
            <v>Web</v>
          </cell>
          <cell r="B221" t="str">
            <v>Web</v>
          </cell>
          <cell r="C221" t="str">
            <v>Web</v>
          </cell>
          <cell r="D221"/>
          <cell r="E221">
            <v>212</v>
          </cell>
          <cell r="F221" t="str">
            <v>D4</v>
          </cell>
          <cell r="G221">
            <v>15</v>
          </cell>
          <cell r="H221"/>
          <cell r="I221"/>
          <cell r="J221"/>
          <cell r="K221"/>
          <cell r="L221">
            <v>9</v>
          </cell>
          <cell r="M221">
            <v>0</v>
          </cell>
          <cell r="N221">
            <v>0</v>
          </cell>
          <cell r="O221">
            <v>0</v>
          </cell>
        </row>
        <row r="222">
          <cell r="A222" t="str">
            <v>Electroshock</v>
          </cell>
          <cell r="B222" t="str">
            <v>Electroshock</v>
          </cell>
          <cell r="C222" t="str">
            <v>Electroshock</v>
          </cell>
          <cell r="D222"/>
          <cell r="E222">
            <v>213</v>
          </cell>
          <cell r="F222" t="str">
            <v>D5</v>
          </cell>
          <cell r="G222">
            <v>15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Enfeeble</v>
          </cell>
          <cell r="B223" t="str">
            <v>Enfeeble</v>
          </cell>
          <cell r="C223" t="str">
            <v>Enfeeble</v>
          </cell>
          <cell r="D223"/>
          <cell r="E223">
            <v>214</v>
          </cell>
          <cell r="F223" t="str">
            <v>D6</v>
          </cell>
          <cell r="G223">
            <v>15</v>
          </cell>
          <cell r="H223"/>
          <cell r="I223"/>
          <cell r="J223"/>
          <cell r="K223"/>
          <cell r="L223">
            <v>9</v>
          </cell>
          <cell r="M223">
            <v>0</v>
          </cell>
          <cell r="N223">
            <v>0</v>
          </cell>
          <cell r="O223">
            <v>0</v>
          </cell>
        </row>
        <row r="224">
          <cell r="A224" t="str">
            <v>Stench</v>
          </cell>
          <cell r="B224" t="str">
            <v>Stench</v>
          </cell>
          <cell r="C224" t="str">
            <v>Stench</v>
          </cell>
          <cell r="D224"/>
          <cell r="E224">
            <v>215</v>
          </cell>
          <cell r="F224" t="str">
            <v>D7</v>
          </cell>
          <cell r="G224">
            <v>15</v>
          </cell>
          <cell r="H224"/>
          <cell r="I224"/>
          <cell r="J224"/>
          <cell r="K224"/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Haste</v>
          </cell>
          <cell r="B225" t="str">
            <v>Haste</v>
          </cell>
          <cell r="C225" t="str">
            <v>Haste</v>
          </cell>
          <cell r="D225"/>
          <cell r="E225">
            <v>216</v>
          </cell>
          <cell r="F225" t="str">
            <v>D8</v>
          </cell>
          <cell r="G225">
            <v>15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Tornado</v>
          </cell>
          <cell r="B226" t="str">
            <v>Tornado</v>
          </cell>
          <cell r="C226" t="str">
            <v>Tornado</v>
          </cell>
          <cell r="D226"/>
          <cell r="E226">
            <v>217</v>
          </cell>
          <cell r="F226" t="str">
            <v>D9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Quake</v>
          </cell>
          <cell r="B227" t="str">
            <v>Quake</v>
          </cell>
          <cell r="C227" t="str">
            <v>Quake</v>
          </cell>
          <cell r="D227"/>
          <cell r="E227">
            <v>218</v>
          </cell>
          <cell r="F227" t="str">
            <v>DA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Whirl</v>
          </cell>
          <cell r="B228" t="str">
            <v>Whirl</v>
          </cell>
          <cell r="C228" t="str">
            <v>Whirl</v>
          </cell>
          <cell r="D228"/>
          <cell r="E228">
            <v>219</v>
          </cell>
          <cell r="F228" t="str">
            <v>DB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Flare</v>
          </cell>
          <cell r="B229" t="str">
            <v>Flare</v>
          </cell>
          <cell r="C229" t="str">
            <v>Flare</v>
          </cell>
          <cell r="D229"/>
          <cell r="E229">
            <v>220</v>
          </cell>
          <cell r="F229" t="str">
            <v>DC</v>
          </cell>
          <cell r="G229">
            <v>5</v>
          </cell>
          <cell r="H229"/>
          <cell r="I229"/>
          <cell r="J229"/>
          <cell r="K229"/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Steal</v>
          </cell>
          <cell r="B230" t="str">
            <v>Steal</v>
          </cell>
          <cell r="C230" t="str">
            <v>Steal</v>
          </cell>
          <cell r="D230"/>
          <cell r="E230">
            <v>221</v>
          </cell>
          <cell r="F230" t="str">
            <v>DD</v>
          </cell>
          <cell r="G230">
            <v>10</v>
          </cell>
          <cell r="H230"/>
          <cell r="I230"/>
          <cell r="J230"/>
          <cell r="K230"/>
          <cell r="L230">
            <v>9</v>
          </cell>
          <cell r="M230" t="str">
            <v>Agl +2</v>
          </cell>
          <cell r="N230" t="str">
            <v>Agl</v>
          </cell>
          <cell r="O230" t="str">
            <v>2</v>
          </cell>
        </row>
        <row r="231">
          <cell r="A231" t="str">
            <v>Self-Detonate</v>
          </cell>
          <cell r="B231" t="str">
            <v>Self-Detonate</v>
          </cell>
          <cell r="C231" t="str">
            <v>Self-Detonate</v>
          </cell>
          <cell r="D231"/>
          <cell r="E231">
            <v>222</v>
          </cell>
          <cell r="F231" t="str">
            <v>DE</v>
          </cell>
          <cell r="G231">
            <v>1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Explode</v>
          </cell>
          <cell r="B232" t="str">
            <v>Explode</v>
          </cell>
          <cell r="C232" t="str">
            <v>Explode</v>
          </cell>
          <cell r="D232"/>
          <cell r="E232">
            <v>222</v>
          </cell>
          <cell r="F232" t="str">
            <v>DE</v>
          </cell>
          <cell r="G232">
            <v>1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Acid</v>
          </cell>
          <cell r="B233" t="str">
            <v>Acid</v>
          </cell>
          <cell r="C233" t="str">
            <v>Acid</v>
          </cell>
          <cell r="D233"/>
          <cell r="E233">
            <v>223</v>
          </cell>
          <cell r="F233" t="str">
            <v>DF</v>
          </cell>
          <cell r="G233">
            <v>15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Riddle</v>
          </cell>
          <cell r="B234" t="str">
            <v>Riddle</v>
          </cell>
          <cell r="C234" t="str">
            <v>Riddle</v>
          </cell>
          <cell r="D234"/>
          <cell r="E234">
            <v>224</v>
          </cell>
          <cell r="F234" t="str">
            <v>E0</v>
          </cell>
          <cell r="G234">
            <v>5</v>
          </cell>
          <cell r="H234"/>
          <cell r="I234"/>
          <cell r="J234"/>
          <cell r="K234"/>
          <cell r="L234">
            <v>9</v>
          </cell>
          <cell r="M234" t="str">
            <v xml:space="preserve"> Mana +0</v>
          </cell>
          <cell r="N234" t="str">
            <v xml:space="preserve"> Mana</v>
          </cell>
          <cell r="O234" t="str">
            <v>0</v>
          </cell>
        </row>
        <row r="235">
          <cell r="A235" t="str">
            <v>CursSong</v>
          </cell>
          <cell r="B235" t="str">
            <v>CursSong</v>
          </cell>
          <cell r="C235" t="str">
            <v>CursSong</v>
          </cell>
          <cell r="D235"/>
          <cell r="E235">
            <v>225</v>
          </cell>
          <cell r="F235" t="str">
            <v>E1</v>
          </cell>
          <cell r="G235">
            <v>5</v>
          </cell>
          <cell r="H235"/>
          <cell r="I235"/>
          <cell r="J235"/>
          <cell r="K235"/>
          <cell r="L235">
            <v>9</v>
          </cell>
          <cell r="M235" t="str">
            <v xml:space="preserve"> Mana +0</v>
          </cell>
          <cell r="N235" t="str">
            <v xml:space="preserve"> Mana</v>
          </cell>
          <cell r="O235" t="str">
            <v>0</v>
          </cell>
        </row>
        <row r="236">
          <cell r="A236" t="str">
            <v>MadSong</v>
          </cell>
          <cell r="B236" t="str">
            <v>MadSong</v>
          </cell>
          <cell r="C236" t="str">
            <v>MadSong</v>
          </cell>
          <cell r="D236"/>
          <cell r="E236">
            <v>226</v>
          </cell>
          <cell r="F236" t="str">
            <v>E2</v>
          </cell>
          <cell r="G236">
            <v>5</v>
          </cell>
          <cell r="H236"/>
          <cell r="I236"/>
          <cell r="J236"/>
          <cell r="K236"/>
          <cell r="L236">
            <v>9</v>
          </cell>
          <cell r="M236" t="str">
            <v xml:space="preserve"> Mana +0</v>
          </cell>
          <cell r="N236" t="str">
            <v xml:space="preserve"> Mana</v>
          </cell>
          <cell r="O236" t="str">
            <v>0</v>
          </cell>
        </row>
        <row r="237">
          <cell r="A237" t="str">
            <v>Surprise</v>
          </cell>
          <cell r="B237" t="str">
            <v>Surprise</v>
          </cell>
          <cell r="C237" t="str">
            <v>Surprise</v>
          </cell>
          <cell r="D237"/>
          <cell r="E237">
            <v>227</v>
          </cell>
          <cell r="F237" t="str">
            <v>E3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Warning</v>
          </cell>
          <cell r="B238" t="str">
            <v>Warning</v>
          </cell>
          <cell r="C238" t="str">
            <v>Warning</v>
          </cell>
          <cell r="D238"/>
          <cell r="E238">
            <v>228</v>
          </cell>
          <cell r="F238" t="str">
            <v>E4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Multiply</v>
          </cell>
          <cell r="B239" t="str">
            <v>Multiply</v>
          </cell>
          <cell r="C239" t="str">
            <v>Multiply</v>
          </cell>
          <cell r="D239"/>
          <cell r="E239">
            <v>229</v>
          </cell>
          <cell r="F239" t="str">
            <v>E5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O-Quake</v>
          </cell>
          <cell r="B240" t="str">
            <v>O-Quake</v>
          </cell>
          <cell r="C240" t="str">
            <v>Quake</v>
          </cell>
          <cell r="D240" t="str">
            <v>O</v>
          </cell>
          <cell r="E240">
            <v>230</v>
          </cell>
          <cell r="F240" t="str">
            <v>E6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O-Change</v>
          </cell>
          <cell r="B241" t="str">
            <v>O-Change</v>
          </cell>
          <cell r="C241" t="str">
            <v>Change</v>
          </cell>
          <cell r="D241" t="str">
            <v>O</v>
          </cell>
          <cell r="E241">
            <v>231</v>
          </cell>
          <cell r="F241" t="str">
            <v>E7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O-Fire</v>
          </cell>
          <cell r="B242" t="str">
            <v>O-Fire</v>
          </cell>
          <cell r="C242" t="str">
            <v>Fire</v>
          </cell>
          <cell r="D242" t="str">
            <v>O</v>
          </cell>
          <cell r="E242">
            <v>232</v>
          </cell>
          <cell r="F242" t="str">
            <v>E8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O-Poison</v>
          </cell>
          <cell r="B243" t="str">
            <v>O-Poison</v>
          </cell>
          <cell r="C243" t="str">
            <v>Poison</v>
          </cell>
          <cell r="D243" t="str">
            <v>O</v>
          </cell>
          <cell r="E243">
            <v>233</v>
          </cell>
          <cell r="F243" t="str">
            <v>E9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O-Damage</v>
          </cell>
          <cell r="B244" t="str">
            <v>O-Damage</v>
          </cell>
          <cell r="C244" t="str">
            <v>Damage</v>
          </cell>
          <cell r="D244" t="str">
            <v>O</v>
          </cell>
          <cell r="E244">
            <v>234</v>
          </cell>
          <cell r="F244" t="str">
            <v>EA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O-Weapon</v>
          </cell>
          <cell r="B245" t="str">
            <v>O-Weapon</v>
          </cell>
          <cell r="C245" t="str">
            <v>Weapon</v>
          </cell>
          <cell r="D245" t="str">
            <v>O</v>
          </cell>
          <cell r="E245">
            <v>235</v>
          </cell>
          <cell r="F245" t="str">
            <v>EB</v>
          </cell>
          <cell r="G245">
            <v>-2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O-Pa/Po</v>
          </cell>
          <cell r="B246" t="str">
            <v>O-Pa/Po</v>
          </cell>
          <cell r="C246" t="str">
            <v>Pa/Po</v>
          </cell>
          <cell r="D246" t="str">
            <v>O</v>
          </cell>
          <cell r="E246">
            <v>236</v>
          </cell>
          <cell r="F246" t="str">
            <v>EC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O-Para</v>
          </cell>
          <cell r="B247" t="str">
            <v>O-Para</v>
          </cell>
          <cell r="C247" t="str">
            <v>Para</v>
          </cell>
          <cell r="D247" t="str">
            <v>O</v>
          </cell>
          <cell r="E247">
            <v>237</v>
          </cell>
          <cell r="F247" t="str">
            <v>ED</v>
          </cell>
          <cell r="G247">
            <v>-2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O-Ice</v>
          </cell>
          <cell r="B248" t="str">
            <v>O-Ice</v>
          </cell>
          <cell r="C248" t="str">
            <v>Ice</v>
          </cell>
          <cell r="D248" t="str">
            <v>O</v>
          </cell>
          <cell r="E248">
            <v>238</v>
          </cell>
          <cell r="F248" t="str">
            <v>EE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O-Stone</v>
          </cell>
          <cell r="B249" t="str">
            <v>O-Stone</v>
          </cell>
          <cell r="C249" t="str">
            <v>Stone</v>
          </cell>
          <cell r="D249" t="str">
            <v>O</v>
          </cell>
          <cell r="E249">
            <v>239</v>
          </cell>
          <cell r="F249" t="str">
            <v>EF</v>
          </cell>
          <cell r="G249">
            <v>-2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O-Death</v>
          </cell>
          <cell r="B250" t="str">
            <v>O-Death</v>
          </cell>
          <cell r="C250" t="str">
            <v>Death</v>
          </cell>
          <cell r="D250" t="str">
            <v>O</v>
          </cell>
          <cell r="E250"/>
          <cell r="F250"/>
          <cell r="G250">
            <v>-2</v>
          </cell>
          <cell r="H250"/>
          <cell r="I250"/>
          <cell r="J250"/>
          <cell r="K250"/>
          <cell r="L250">
            <v>9</v>
          </cell>
          <cell r="M250"/>
          <cell r="N250">
            <v>0</v>
          </cell>
          <cell r="O250">
            <v>0</v>
          </cell>
        </row>
        <row r="251">
          <cell r="A251" t="str">
            <v>X-Fire</v>
          </cell>
          <cell r="B251" t="str">
            <v>X-Fire</v>
          </cell>
          <cell r="C251" t="str">
            <v>Fire</v>
          </cell>
          <cell r="D251" t="str">
            <v>X</v>
          </cell>
          <cell r="E251">
            <v>240</v>
          </cell>
          <cell r="F251" t="str">
            <v>F0</v>
          </cell>
          <cell r="G251">
            <v>-2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X-Ice</v>
          </cell>
          <cell r="B252" t="str">
            <v>X-Ice</v>
          </cell>
          <cell r="C252" t="str">
            <v>Ice</v>
          </cell>
          <cell r="D252" t="str">
            <v>X</v>
          </cell>
          <cell r="E252">
            <v>241</v>
          </cell>
          <cell r="F252" t="str">
            <v>F1</v>
          </cell>
          <cell r="G252">
            <v>-2</v>
          </cell>
          <cell r="H252"/>
          <cell r="I252"/>
          <cell r="J252"/>
          <cell r="K252"/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X-Thunder</v>
          </cell>
          <cell r="B253" t="str">
            <v>X-Thunder</v>
          </cell>
          <cell r="C253" t="str">
            <v>Thunder</v>
          </cell>
          <cell r="D253" t="str">
            <v>X</v>
          </cell>
          <cell r="E253">
            <v>242</v>
          </cell>
          <cell r="F253" t="str">
            <v>F2</v>
          </cell>
          <cell r="G253">
            <v>-2</v>
          </cell>
          <cell r="H253"/>
          <cell r="I253"/>
          <cell r="J253"/>
          <cell r="K253"/>
          <cell r="L253">
            <v>9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Teleport</v>
          </cell>
          <cell r="B254" t="str">
            <v>Teleport</v>
          </cell>
          <cell r="C254" t="str">
            <v>Teleport</v>
          </cell>
          <cell r="D254"/>
          <cell r="E254">
            <v>243</v>
          </cell>
          <cell r="F254" t="str">
            <v>F3</v>
          </cell>
          <cell r="G254">
            <v>30</v>
          </cell>
          <cell r="H254"/>
          <cell r="I254"/>
          <cell r="J254"/>
          <cell r="K254"/>
          <cell r="L254">
            <v>9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Remedy</v>
          </cell>
          <cell r="B255" t="str">
            <v>Remedy</v>
          </cell>
          <cell r="C255" t="str">
            <v>Remedy</v>
          </cell>
          <cell r="D255"/>
          <cell r="E255">
            <v>244</v>
          </cell>
          <cell r="F255" t="str">
            <v>F4</v>
          </cell>
          <cell r="G255">
            <v>30</v>
          </cell>
          <cell r="H255"/>
          <cell r="I255"/>
          <cell r="J255"/>
          <cell r="K255"/>
          <cell r="L255">
            <v>9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O-All</v>
          </cell>
          <cell r="B256" t="str">
            <v>O-All</v>
          </cell>
          <cell r="C256" t="str">
            <v>All</v>
          </cell>
          <cell r="D256" t="str">
            <v>O</v>
          </cell>
          <cell r="E256">
            <v>245</v>
          </cell>
          <cell r="F256" t="str">
            <v>F5</v>
          </cell>
          <cell r="G256">
            <v>-2</v>
          </cell>
          <cell r="H256"/>
          <cell r="I256"/>
          <cell r="J256"/>
          <cell r="K256"/>
          <cell r="L256">
            <v>9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PoisonBurst</v>
          </cell>
          <cell r="B257" t="str">
            <v>PoisonBurst</v>
          </cell>
          <cell r="C257" t="str">
            <v>PoisonBurst</v>
          </cell>
          <cell r="D257"/>
          <cell r="E257">
            <v>246</v>
          </cell>
          <cell r="F257" t="str">
            <v>F6</v>
          </cell>
          <cell r="G257">
            <v>15</v>
          </cell>
          <cell r="H257"/>
          <cell r="I257"/>
          <cell r="J257"/>
          <cell r="K257"/>
          <cell r="L257">
            <v>9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FlareApollo</v>
          </cell>
          <cell r="B258" t="str">
            <v>FlareApollo</v>
          </cell>
          <cell r="C258" t="str">
            <v>Flare</v>
          </cell>
          <cell r="D258" t="str">
            <v>Apollo</v>
          </cell>
          <cell r="E258">
            <v>250</v>
          </cell>
          <cell r="F258" t="str">
            <v>FA</v>
          </cell>
          <cell r="G258">
            <v>-2</v>
          </cell>
          <cell r="H258"/>
          <cell r="I258"/>
          <cell r="J258"/>
          <cell r="K258"/>
          <cell r="L258">
            <v>9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Smasher</v>
          </cell>
          <cell r="B259" t="str">
            <v>Smasher</v>
          </cell>
          <cell r="C259" t="str">
            <v>Smasher</v>
          </cell>
          <cell r="D259"/>
          <cell r="E259">
            <v>253</v>
          </cell>
          <cell r="F259" t="str">
            <v>FD</v>
          </cell>
          <cell r="G259">
            <v>30</v>
          </cell>
          <cell r="H259"/>
          <cell r="I259"/>
          <cell r="J259"/>
          <cell r="K259"/>
          <cell r="L259">
            <v>9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Recover</v>
          </cell>
          <cell r="B260" t="str">
            <v>Recover</v>
          </cell>
          <cell r="C260" t="str">
            <v>Recover</v>
          </cell>
          <cell r="D260"/>
          <cell r="E260">
            <v>254</v>
          </cell>
          <cell r="F260" t="str">
            <v>FE</v>
          </cell>
          <cell r="G260">
            <v>-2</v>
          </cell>
          <cell r="H260"/>
          <cell r="I260"/>
          <cell r="J260"/>
          <cell r="K260"/>
          <cell r="L260">
            <v>9</v>
          </cell>
          <cell r="M260">
            <v>0</v>
          </cell>
          <cell r="N260">
            <v>0</v>
          </cell>
          <cell r="O260">
            <v>0</v>
          </cell>
        </row>
        <row r="261">
          <cell r="A261" t="str">
            <v>Power Magi</v>
          </cell>
          <cell r="B261" t="str">
            <v>Power Magi</v>
          </cell>
          <cell r="C261" t="str">
            <v>Power</v>
          </cell>
          <cell r="D261" t="str">
            <v>Magi</v>
          </cell>
          <cell r="E261">
            <v>256</v>
          </cell>
          <cell r="F261">
            <v>100</v>
          </cell>
          <cell r="G261">
            <v>-2</v>
          </cell>
          <cell r="H261"/>
          <cell r="I261"/>
          <cell r="J261"/>
          <cell r="K261"/>
          <cell r="L261">
            <v>0</v>
          </cell>
          <cell r="M261" t="str">
            <v>Str +22</v>
          </cell>
          <cell r="N261" t="str">
            <v>Str</v>
          </cell>
          <cell r="O261" t="str">
            <v>22</v>
          </cell>
        </row>
        <row r="262">
          <cell r="A262" t="str">
            <v>Speed Magi</v>
          </cell>
          <cell r="B262" t="str">
            <v>Speed Magi</v>
          </cell>
          <cell r="C262" t="str">
            <v>Speed</v>
          </cell>
          <cell r="D262" t="str">
            <v>Magi</v>
          </cell>
          <cell r="E262">
            <v>257</v>
          </cell>
          <cell r="F262" t="str">
            <v>101</v>
          </cell>
          <cell r="G262">
            <v>-2</v>
          </cell>
          <cell r="H262"/>
          <cell r="I262"/>
          <cell r="J262"/>
          <cell r="K262"/>
          <cell r="L262">
            <v>0</v>
          </cell>
          <cell r="M262" t="str">
            <v>Agl +22</v>
          </cell>
          <cell r="N262">
            <v>0</v>
          </cell>
          <cell r="O262">
            <v>0</v>
          </cell>
        </row>
        <row r="263">
          <cell r="A263" t="str">
            <v>Mana Magi</v>
          </cell>
          <cell r="B263" t="str">
            <v>Mana Magi</v>
          </cell>
          <cell r="C263" t="str">
            <v>Mana</v>
          </cell>
          <cell r="D263" t="str">
            <v>Magi</v>
          </cell>
          <cell r="E263">
            <v>258</v>
          </cell>
          <cell r="F263" t="str">
            <v>102</v>
          </cell>
          <cell r="G263">
            <v>-2</v>
          </cell>
          <cell r="H263"/>
          <cell r="I263"/>
          <cell r="J263"/>
          <cell r="K263"/>
          <cell r="L263">
            <v>0</v>
          </cell>
          <cell r="M263">
            <v>0</v>
          </cell>
          <cell r="N263">
            <v>0</v>
          </cell>
          <cell r="O263">
            <v>0</v>
          </cell>
        </row>
        <row r="264">
          <cell r="A264" t="str">
            <v>Defense Magi</v>
          </cell>
          <cell r="B264" t="str">
            <v>Defense Magi</v>
          </cell>
          <cell r="C264" t="str">
            <v>Defense</v>
          </cell>
          <cell r="D264" t="str">
            <v>Magi</v>
          </cell>
          <cell r="E264">
            <v>259</v>
          </cell>
          <cell r="F264" t="str">
            <v>103</v>
          </cell>
          <cell r="G264">
            <v>-2</v>
          </cell>
          <cell r="H264"/>
          <cell r="I264"/>
          <cell r="J264"/>
          <cell r="K264"/>
          <cell r="L264">
            <v>0</v>
          </cell>
          <cell r="M264" t="str">
            <v>Def +22</v>
          </cell>
          <cell r="N264" t="str">
            <v>Def</v>
          </cell>
          <cell r="O264" t="str">
            <v>22</v>
          </cell>
        </row>
        <row r="265">
          <cell r="A265" t="str">
            <v>Fire Magi</v>
          </cell>
          <cell r="B265" t="str">
            <v>Fire Magi</v>
          </cell>
          <cell r="C265" t="str">
            <v>Fire</v>
          </cell>
          <cell r="D265" t="str">
            <v>Magi</v>
          </cell>
          <cell r="E265">
            <v>260</v>
          </cell>
          <cell r="F265" t="str">
            <v>104</v>
          </cell>
          <cell r="G265">
            <v>-2</v>
          </cell>
          <cell r="H265"/>
          <cell r="I265"/>
          <cell r="J265"/>
          <cell r="K265"/>
          <cell r="L265">
            <v>0</v>
          </cell>
          <cell r="M265">
            <v>0</v>
          </cell>
          <cell r="N265">
            <v>0</v>
          </cell>
          <cell r="O265">
            <v>0</v>
          </cell>
        </row>
        <row r="266">
          <cell r="A266" t="str">
            <v>Ice Magi</v>
          </cell>
          <cell r="B266" t="str">
            <v>Ice Magi</v>
          </cell>
          <cell r="C266" t="str">
            <v>Ice</v>
          </cell>
          <cell r="D266" t="str">
            <v>Magi</v>
          </cell>
          <cell r="E266">
            <v>261</v>
          </cell>
          <cell r="F266" t="str">
            <v>105</v>
          </cell>
          <cell r="G266">
            <v>-2</v>
          </cell>
          <cell r="H266"/>
          <cell r="I266"/>
          <cell r="J266"/>
          <cell r="K266"/>
          <cell r="L266">
            <v>0</v>
          </cell>
          <cell r="M266">
            <v>0</v>
          </cell>
          <cell r="N266">
            <v>0</v>
          </cell>
          <cell r="O266">
            <v>0</v>
          </cell>
        </row>
        <row r="267">
          <cell r="A267" t="str">
            <v>Thunder Magi</v>
          </cell>
          <cell r="B267" t="str">
            <v>Thunder Magi</v>
          </cell>
          <cell r="C267" t="str">
            <v>Thunder</v>
          </cell>
          <cell r="D267" t="str">
            <v>Magi</v>
          </cell>
          <cell r="E267">
            <v>262</v>
          </cell>
          <cell r="F267" t="str">
            <v>106</v>
          </cell>
          <cell r="G267">
            <v>-2</v>
          </cell>
          <cell r="H267"/>
          <cell r="I267"/>
          <cell r="J267"/>
          <cell r="K267"/>
          <cell r="L267">
            <v>0</v>
          </cell>
          <cell r="M267">
            <v>0</v>
          </cell>
          <cell r="N267">
            <v>0</v>
          </cell>
          <cell r="O267">
            <v>0</v>
          </cell>
        </row>
        <row r="268">
          <cell r="A268" t="str">
            <v>Poison Magi</v>
          </cell>
          <cell r="B268" t="str">
            <v>Poison Magi</v>
          </cell>
          <cell r="C268" t="str">
            <v>Poison</v>
          </cell>
          <cell r="D268" t="str">
            <v>Magi</v>
          </cell>
          <cell r="E268">
            <v>263</v>
          </cell>
          <cell r="F268" t="str">
            <v>107</v>
          </cell>
          <cell r="G268">
            <v>-2</v>
          </cell>
          <cell r="H268"/>
          <cell r="I268"/>
          <cell r="J268"/>
          <cell r="K268"/>
          <cell r="L268">
            <v>0</v>
          </cell>
          <cell r="M268">
            <v>0</v>
          </cell>
          <cell r="N268">
            <v>0</v>
          </cell>
          <cell r="O268">
            <v>0</v>
          </cell>
        </row>
        <row r="269">
          <cell r="A269" t="str">
            <v>O-Dragon</v>
          </cell>
          <cell r="B269" t="str">
            <v>O-Dragon</v>
          </cell>
          <cell r="C269" t="str">
            <v>Dragon</v>
          </cell>
          <cell r="D269" t="str">
            <v>O</v>
          </cell>
          <cell r="E269"/>
          <cell r="F269"/>
          <cell r="G269">
            <v>-2</v>
          </cell>
          <cell r="H269"/>
          <cell r="I269"/>
          <cell r="J269"/>
          <cell r="K269"/>
          <cell r="L269"/>
          <cell r="M269"/>
          <cell r="N269">
            <v>0</v>
          </cell>
          <cell r="O269">
            <v>0</v>
          </cell>
        </row>
        <row r="270">
          <cell r="A270" t="str">
            <v>kW B-Exp</v>
          </cell>
          <cell r="B270" t="str">
            <v>kW B-Exp</v>
          </cell>
          <cell r="C270"/>
          <cell r="D270" t="str">
            <v>Chip</v>
          </cell>
          <cell r="E270"/>
          <cell r="F270"/>
          <cell r="G270">
            <v>-2</v>
          </cell>
          <cell r="H270"/>
          <cell r="I270"/>
          <cell r="J270"/>
          <cell r="K270"/>
          <cell r="L270">
            <v>18</v>
          </cell>
          <cell r="M270"/>
          <cell r="N270" t="str">
            <v>Str</v>
          </cell>
          <cell r="O270">
            <v>8</v>
          </cell>
        </row>
        <row r="271">
          <cell r="A271" t="str">
            <v>MM Book</v>
          </cell>
          <cell r="B271" t="str">
            <v>MM Book</v>
          </cell>
          <cell r="C271" t="str">
            <v>MM</v>
          </cell>
          <cell r="D271" t="str">
            <v>Book</v>
          </cell>
          <cell r="E271"/>
          <cell r="F271"/>
          <cell r="G271">
            <v>30</v>
          </cell>
          <cell r="H271">
            <v>400</v>
          </cell>
          <cell r="I271"/>
          <cell r="J271"/>
          <cell r="K271"/>
          <cell r="L271">
            <v>0</v>
          </cell>
          <cell r="M271"/>
          <cell r="N271">
            <v>0</v>
          </cell>
          <cell r="O271">
            <v>0</v>
          </cell>
        </row>
        <row r="272">
          <cell r="A272" t="str">
            <v>PowerUp</v>
          </cell>
          <cell r="B272" t="str">
            <v>PowerUp</v>
          </cell>
          <cell r="C272" t="str">
            <v>PowerUp</v>
          </cell>
          <cell r="D272"/>
          <cell r="E272"/>
          <cell r="F272"/>
          <cell r="G272">
            <v>15</v>
          </cell>
          <cell r="H272"/>
          <cell r="I272"/>
          <cell r="J272"/>
          <cell r="K272"/>
          <cell r="L272">
            <v>0</v>
          </cell>
          <cell r="M272"/>
          <cell r="N272">
            <v>0</v>
          </cell>
          <cell r="O272">
            <v>0</v>
          </cell>
        </row>
        <row r="273">
          <cell r="A273" t="str">
            <v>Windstorm</v>
          </cell>
          <cell r="B273" t="str">
            <v>Windstorm</v>
          </cell>
          <cell r="C273" t="str">
            <v>Windstorm</v>
          </cell>
          <cell r="D273"/>
          <cell r="E273"/>
          <cell r="F273"/>
          <cell r="G273">
            <v>15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Sandblast</v>
          </cell>
          <cell r="B274" t="str">
            <v>Sandblast</v>
          </cell>
          <cell r="C274" t="str">
            <v>Sandblast</v>
          </cell>
          <cell r="D274"/>
          <cell r="E274"/>
          <cell r="F274"/>
          <cell r="G274">
            <v>5</v>
          </cell>
          <cell r="H274"/>
          <cell r="I274"/>
          <cell r="J274"/>
          <cell r="K274"/>
          <cell r="L274"/>
          <cell r="M274"/>
          <cell r="N274"/>
          <cell r="O274"/>
        </row>
        <row r="275">
          <cell r="A275" t="str">
            <v>O-Death</v>
          </cell>
          <cell r="B275" t="str">
            <v>O-Death</v>
          </cell>
          <cell r="C275" t="str">
            <v>Death</v>
          </cell>
          <cell r="D275" t="str">
            <v>O</v>
          </cell>
          <cell r="E275"/>
          <cell r="F275"/>
          <cell r="G275">
            <v>-2</v>
          </cell>
          <cell r="H275"/>
          <cell r="I275"/>
          <cell r="J275"/>
          <cell r="K275"/>
          <cell r="L275"/>
          <cell r="M275"/>
          <cell r="N275"/>
          <cell r="O275"/>
        </row>
        <row r="276">
          <cell r="A276" t="str">
            <v>O-Thunder</v>
          </cell>
          <cell r="B276" t="str">
            <v>O-Thunder</v>
          </cell>
          <cell r="C276" t="str">
            <v>Thunder</v>
          </cell>
          <cell r="D276" t="str">
            <v>O</v>
          </cell>
          <cell r="E276"/>
          <cell r="F276"/>
          <cell r="G276">
            <v>-2</v>
          </cell>
          <cell r="H276"/>
          <cell r="I276"/>
          <cell r="J276"/>
          <cell r="K276"/>
          <cell r="L276"/>
          <cell r="M276"/>
          <cell r="N276"/>
          <cell r="O276"/>
        </row>
        <row r="277">
          <cell r="A277" t="str">
            <v>AreaCure</v>
          </cell>
          <cell r="B277" t="str">
            <v>AreaCure</v>
          </cell>
          <cell r="C277" t="str">
            <v>AreaCure</v>
          </cell>
          <cell r="D277"/>
          <cell r="E277"/>
          <cell r="F277"/>
          <cell r="G277">
            <v>10</v>
          </cell>
          <cell r="H277"/>
          <cell r="I277"/>
          <cell r="J277"/>
          <cell r="K277"/>
          <cell r="L277"/>
          <cell r="M277"/>
          <cell r="N277"/>
          <cell r="O277"/>
        </row>
        <row r="278">
          <cell r="A278" t="str">
            <v>Storm Shield</v>
          </cell>
          <cell r="B278" t="str">
            <v>Storm Shield</v>
          </cell>
          <cell r="C278" t="str">
            <v>Storm</v>
          </cell>
          <cell r="D278" t="str">
            <v>Shield</v>
          </cell>
          <cell r="E278"/>
          <cell r="F278"/>
          <cell r="G278">
            <v>30</v>
          </cell>
          <cell r="H278"/>
          <cell r="I278"/>
          <cell r="J278"/>
          <cell r="K278"/>
          <cell r="L278">
            <v>81</v>
          </cell>
          <cell r="M278"/>
          <cell r="N278" t="str">
            <v>Def</v>
          </cell>
          <cell r="O278">
            <v>18</v>
          </cell>
        </row>
        <row r="279">
          <cell r="A279" t="str">
            <v>Bite</v>
          </cell>
          <cell r="B279" t="str">
            <v>Bite</v>
          </cell>
          <cell r="C279" t="str">
            <v>Bite</v>
          </cell>
          <cell r="D279"/>
          <cell r="E279">
            <v>129</v>
          </cell>
          <cell r="F279">
            <v>81</v>
          </cell>
          <cell r="G279">
            <v>15</v>
          </cell>
          <cell r="H279"/>
          <cell r="I279"/>
          <cell r="J279"/>
          <cell r="K279"/>
          <cell r="L279">
            <v>9</v>
          </cell>
          <cell r="M279">
            <v>0</v>
          </cell>
          <cell r="N279">
            <v>0</v>
          </cell>
          <cell r="O279">
            <v>0</v>
          </cell>
        </row>
        <row r="280">
          <cell r="A280" t="str">
            <v>Crash</v>
          </cell>
          <cell r="B280" t="str">
            <v>Crash</v>
          </cell>
          <cell r="C280" t="str">
            <v>Crash</v>
          </cell>
          <cell r="D280"/>
          <cell r="E280"/>
          <cell r="F280"/>
          <cell r="G280">
            <v>5</v>
          </cell>
          <cell r="H280"/>
          <cell r="I280"/>
          <cell r="J280"/>
          <cell r="K280"/>
          <cell r="L280"/>
          <cell r="M280"/>
          <cell r="N280"/>
          <cell r="O280"/>
        </row>
        <row r="281">
          <cell r="A281" t="str">
            <v>Run</v>
          </cell>
          <cell r="B281" t="str">
            <v>Run</v>
          </cell>
          <cell r="C281" t="str">
            <v>Run</v>
          </cell>
          <cell r="D281"/>
          <cell r="E281"/>
          <cell r="F281"/>
          <cell r="G281">
            <v>99</v>
          </cell>
          <cell r="H281"/>
          <cell r="I281"/>
          <cell r="J281"/>
          <cell r="K281"/>
          <cell r="L281"/>
          <cell r="M281"/>
          <cell r="N281"/>
          <cell r="O281"/>
        </row>
        <row r="282">
          <cell r="A282" t="str">
            <v>Wait</v>
          </cell>
          <cell r="B282" t="str">
            <v>Wait</v>
          </cell>
          <cell r="C282" t="str">
            <v>Wait</v>
          </cell>
          <cell r="D282"/>
          <cell r="E282"/>
          <cell r="F282"/>
          <cell r="G282">
            <v>99</v>
          </cell>
          <cell r="H282"/>
          <cell r="I282"/>
          <cell r="J282"/>
          <cell r="K282"/>
          <cell r="L282"/>
          <cell r="M282"/>
          <cell r="N282"/>
          <cell r="O282"/>
        </row>
        <row r="283">
          <cell r="A283" t="str">
            <v>T-Kimono</v>
          </cell>
          <cell r="B283" t="str">
            <v>T-Kimono</v>
          </cell>
          <cell r="C283" t="str">
            <v>T-Kimono</v>
          </cell>
          <cell r="D283" t="str">
            <v>Armor</v>
          </cell>
          <cell r="E283"/>
          <cell r="F283"/>
          <cell r="G283">
            <v>-2</v>
          </cell>
          <cell r="H283"/>
          <cell r="I283">
            <v>2</v>
          </cell>
          <cell r="J283" t="str">
            <v>Agl</v>
          </cell>
          <cell r="K283">
            <v>1</v>
          </cell>
          <cell r="L283"/>
          <cell r="M283"/>
          <cell r="N283"/>
          <cell r="O283"/>
        </row>
        <row r="284">
          <cell r="A284" t="str">
            <v>Spit</v>
          </cell>
          <cell r="B284" t="str">
            <v>Spit</v>
          </cell>
          <cell r="C284" t="str">
            <v>Spit</v>
          </cell>
          <cell r="G284">
            <v>15</v>
          </cell>
        </row>
        <row r="285">
          <cell r="A285" t="str">
            <v>Decapitate</v>
          </cell>
          <cell r="B285" t="str">
            <v>Decapitate</v>
          </cell>
          <cell r="C285" t="str">
            <v>Decapitate</v>
          </cell>
          <cell r="G285">
            <v>10</v>
          </cell>
        </row>
        <row r="286">
          <cell r="A286" t="str">
            <v>Roar</v>
          </cell>
          <cell r="B286" t="str">
            <v>Roar</v>
          </cell>
          <cell r="C286" t="str">
            <v>Roar</v>
          </cell>
          <cell r="G286">
            <v>10</v>
          </cell>
        </row>
        <row r="287">
          <cell r="A287" t="str">
            <v>Sting</v>
          </cell>
          <cell r="B287" t="str">
            <v>Sting</v>
          </cell>
          <cell r="C287" t="str">
            <v>Sting</v>
          </cell>
          <cell r="G287">
            <v>20</v>
          </cell>
        </row>
        <row r="288">
          <cell r="A288" t="str">
            <v>Repeat X-Bow</v>
          </cell>
          <cell r="B288" t="str">
            <v>Repeat X-Bow</v>
          </cell>
          <cell r="D288" t="str">
            <v>Bow</v>
          </cell>
          <cell r="G288">
            <v>40</v>
          </cell>
          <cell r="H288">
            <v>11000</v>
          </cell>
          <cell r="L288">
            <v>63</v>
          </cell>
          <cell r="N288" t="str">
            <v>Agl</v>
          </cell>
          <cell r="O288">
            <v>10</v>
          </cell>
        </row>
        <row r="289">
          <cell r="A289" t="str">
            <v>Psi Flurry</v>
          </cell>
          <cell r="B289" t="str">
            <v>Psi Flurry</v>
          </cell>
          <cell r="C289" t="str">
            <v>Psi Flurry</v>
          </cell>
          <cell r="G289">
            <v>10</v>
          </cell>
        </row>
        <row r="290">
          <cell r="A290" t="str">
            <v>Hex</v>
          </cell>
          <cell r="B290" t="str">
            <v>Hex</v>
          </cell>
          <cell r="C290" t="str">
            <v>Hex</v>
          </cell>
          <cell r="G290">
            <v>15</v>
          </cell>
        </row>
        <row r="291">
          <cell r="A291" t="str">
            <v>Charge</v>
          </cell>
          <cell r="B291" t="str">
            <v>Charge</v>
          </cell>
          <cell r="C291" t="str">
            <v>Charge</v>
          </cell>
          <cell r="G291">
            <v>10</v>
          </cell>
        </row>
        <row r="292">
          <cell r="A292" t="str">
            <v>DiveBomb</v>
          </cell>
          <cell r="B292" t="str">
            <v>DiveBomb</v>
          </cell>
          <cell r="C292" t="str">
            <v>DiveBomb</v>
          </cell>
          <cell r="G292">
            <v>15</v>
          </cell>
        </row>
        <row r="293">
          <cell r="A293" t="str">
            <v>Trample</v>
          </cell>
          <cell r="B293" t="str">
            <v>Trample</v>
          </cell>
          <cell r="C293" t="str">
            <v>Trample</v>
          </cell>
          <cell r="G293">
            <v>15</v>
          </cell>
        </row>
        <row r="294">
          <cell r="A294" t="str">
            <v>BURNING FINGER</v>
          </cell>
          <cell r="B294" t="str">
            <v>BURNING FINGER</v>
          </cell>
          <cell r="D294" t="str">
            <v>Art</v>
          </cell>
          <cell r="G294">
            <v>99</v>
          </cell>
        </row>
        <row r="295">
          <cell r="A295" t="str">
            <v>GOLDEN GUN</v>
          </cell>
          <cell r="B295" t="str">
            <v>GOLDEN GUN</v>
          </cell>
          <cell r="D295" t="str">
            <v>Gun</v>
          </cell>
          <cell r="G295">
            <v>99</v>
          </cell>
        </row>
        <row r="296">
          <cell r="A296" t="str">
            <v>Hammer of Sol</v>
          </cell>
          <cell r="B296" t="str">
            <v>Hammer of Sol</v>
          </cell>
          <cell r="D296" t="str">
            <v>Axe</v>
          </cell>
          <cell r="G296">
            <v>99</v>
          </cell>
        </row>
        <row r="297">
          <cell r="A297" t="str">
            <v>Flight of Trishula</v>
          </cell>
          <cell r="B297" t="str">
            <v>Flight of Trishula</v>
          </cell>
          <cell r="D297" t="str">
            <v>Spear</v>
          </cell>
          <cell r="G297">
            <v>99</v>
          </cell>
        </row>
        <row r="298">
          <cell r="A298" t="str">
            <v>Spellfire</v>
          </cell>
          <cell r="B298" t="str">
            <v>Spellfire</v>
          </cell>
          <cell r="C298" t="str">
            <v>Spellfire</v>
          </cell>
          <cell r="G298">
            <v>99</v>
          </cell>
        </row>
        <row r="299">
          <cell r="A299" t="str">
            <v>Beretta</v>
          </cell>
          <cell r="B299" t="str">
            <v>Beretta</v>
          </cell>
          <cell r="C299" t="str">
            <v>Beretta</v>
          </cell>
          <cell r="D299" t="str">
            <v>Gun</v>
          </cell>
          <cell r="G299">
            <v>50</v>
          </cell>
          <cell r="H299">
            <v>400</v>
          </cell>
          <cell r="L299">
            <v>18</v>
          </cell>
          <cell r="N299" t="str">
            <v>Str</v>
          </cell>
          <cell r="O299">
            <v>4</v>
          </cell>
        </row>
        <row r="300">
          <cell r="A300" t="str">
            <v>None</v>
          </cell>
          <cell r="B300" t="str">
            <v>None</v>
          </cell>
          <cell r="G300">
            <v>99</v>
          </cell>
        </row>
        <row r="301">
          <cell r="A301" t="str">
            <v>Clipper</v>
          </cell>
          <cell r="B301" t="str">
            <v>Clipper</v>
          </cell>
          <cell r="C301" t="str">
            <v>Clipper</v>
          </cell>
          <cell r="D301" t="str">
            <v>Gun</v>
          </cell>
          <cell r="G301">
            <v>20</v>
          </cell>
          <cell r="H301">
            <v>1400</v>
          </cell>
          <cell r="L301">
            <v>18</v>
          </cell>
          <cell r="N301" t="str">
            <v>Str</v>
          </cell>
          <cell r="O301">
            <v>2</v>
          </cell>
        </row>
        <row r="302">
          <cell r="A302" t="str">
            <v>Goggles</v>
          </cell>
          <cell r="B302" t="str">
            <v>Goggles</v>
          </cell>
          <cell r="C302" t="str">
            <v>Goggles</v>
          </cell>
          <cell r="D302" t="str">
            <v>Helm</v>
          </cell>
          <cell r="G302">
            <v>-2</v>
          </cell>
          <cell r="H302">
            <v>3200</v>
          </cell>
          <cell r="I302">
            <v>2</v>
          </cell>
          <cell r="L302">
            <v>27</v>
          </cell>
          <cell r="N302" t="str">
            <v>Def</v>
          </cell>
          <cell r="O302">
            <v>2</v>
          </cell>
        </row>
        <row r="303">
          <cell r="A303" t="str">
            <v>Psi Smash</v>
          </cell>
          <cell r="B303" t="str">
            <v>Psi Smash</v>
          </cell>
          <cell r="C303" t="str">
            <v>Psi Smash</v>
          </cell>
          <cell r="G303">
            <v>15</v>
          </cell>
        </row>
        <row r="304">
          <cell r="A304" t="str">
            <v>Needles</v>
          </cell>
          <cell r="B304" t="str">
            <v>Needles</v>
          </cell>
          <cell r="C304" t="str">
            <v>Needles</v>
          </cell>
          <cell r="G304">
            <v>15</v>
          </cell>
        </row>
        <row r="305">
          <cell r="A305" t="str">
            <v>Tail Spikes</v>
          </cell>
          <cell r="B305" t="str">
            <v>Tail Spikes</v>
          </cell>
          <cell r="C305" t="str">
            <v>Tail Spikes</v>
          </cell>
          <cell r="G305">
            <v>15</v>
          </cell>
        </row>
        <row r="306">
          <cell r="A306" t="str">
            <v>Fissure</v>
          </cell>
          <cell r="B306" t="str">
            <v>Fissure</v>
          </cell>
          <cell r="C306" t="str">
            <v>Fissure</v>
          </cell>
          <cell r="G306">
            <v>15</v>
          </cell>
        </row>
        <row r="307">
          <cell r="A307" t="str">
            <v>Chain Lightning</v>
          </cell>
          <cell r="B307" t="str">
            <v>Chain Lightning</v>
          </cell>
          <cell r="C307" t="str">
            <v>Chain Lightning</v>
          </cell>
          <cell r="G307">
            <v>10</v>
          </cell>
        </row>
        <row r="308">
          <cell r="A308" t="str">
            <v>Inferno</v>
          </cell>
          <cell r="B308" t="str">
            <v>Inferno</v>
          </cell>
          <cell r="C308" t="str">
            <v>Inferno</v>
          </cell>
          <cell r="G308">
            <v>10</v>
          </cell>
        </row>
        <row r="309">
          <cell r="A309" t="str">
            <v>Stopping Pulse</v>
          </cell>
          <cell r="B309" t="str">
            <v>Stopping Pulse</v>
          </cell>
          <cell r="C309" t="str">
            <v>Stopping Pulse</v>
          </cell>
          <cell r="G309">
            <v>99</v>
          </cell>
        </row>
        <row r="310">
          <cell r="A310" t="str">
            <v>Wracking Pulse</v>
          </cell>
          <cell r="B310" t="str">
            <v>Wracking Pulse</v>
          </cell>
          <cell r="C310" t="str">
            <v>Wracking Pulse</v>
          </cell>
          <cell r="G310">
            <v>99</v>
          </cell>
        </row>
        <row r="311">
          <cell r="A311" t="str">
            <v>Cure Beam</v>
          </cell>
          <cell r="B311" t="str">
            <v>Cure Beam</v>
          </cell>
          <cell r="C311" t="str">
            <v>Cure Beam</v>
          </cell>
          <cell r="G311">
            <v>20</v>
          </cell>
          <cell r="H311">
            <v>1400</v>
          </cell>
          <cell r="L311">
            <v>27</v>
          </cell>
        </row>
        <row r="312">
          <cell r="A312" t="str">
            <v>Cannon</v>
          </cell>
          <cell r="B312" t="str">
            <v>Cannon</v>
          </cell>
          <cell r="C312" t="str">
            <v>Cannon</v>
          </cell>
          <cell r="D312" t="str">
            <v>Cannon</v>
          </cell>
          <cell r="G312">
            <v>15</v>
          </cell>
          <cell r="H312">
            <v>3200</v>
          </cell>
          <cell r="L312">
            <v>36</v>
          </cell>
          <cell r="N312" t="str">
            <v>Str</v>
          </cell>
          <cell r="O312">
            <v>8</v>
          </cell>
        </row>
        <row r="313">
          <cell r="A313" t="str">
            <v>Visage</v>
          </cell>
          <cell r="B313" t="str">
            <v>Visage</v>
          </cell>
          <cell r="C313" t="str">
            <v>Visage</v>
          </cell>
          <cell r="G313">
            <v>15</v>
          </cell>
        </row>
        <row r="314">
          <cell r="A314" t="str">
            <v>Presence</v>
          </cell>
          <cell r="B314" t="str">
            <v>Presence</v>
          </cell>
          <cell r="C314" t="str">
            <v>Presence</v>
          </cell>
          <cell r="G314">
            <v>10</v>
          </cell>
        </row>
        <row r="315">
          <cell r="A315" t="str">
            <v>Tremor</v>
          </cell>
          <cell r="B315" t="str">
            <v>Tremor</v>
          </cell>
          <cell r="C315" t="str">
            <v>Tremor</v>
          </cell>
          <cell r="G315">
            <v>10</v>
          </cell>
        </row>
        <row r="316">
          <cell r="A316" t="str">
            <v>Multi-Attack</v>
          </cell>
          <cell r="B316" t="str">
            <v>Multi-Attack</v>
          </cell>
          <cell r="C316" t="str">
            <v>Multi-Attack</v>
          </cell>
          <cell r="G316">
            <v>10</v>
          </cell>
        </row>
        <row r="317">
          <cell r="A317" t="str">
            <v>Drop</v>
          </cell>
          <cell r="B317" t="str">
            <v>Drop</v>
          </cell>
          <cell r="C317" t="str">
            <v>Drop</v>
          </cell>
          <cell r="G317">
            <v>15</v>
          </cell>
        </row>
        <row r="318">
          <cell r="A318" t="str">
            <v>Stone Rain</v>
          </cell>
          <cell r="B318" t="str">
            <v>Stone Rain</v>
          </cell>
          <cell r="C318" t="str">
            <v>Stone Rain</v>
          </cell>
          <cell r="G318">
            <v>5</v>
          </cell>
        </row>
        <row r="319">
          <cell r="A319" t="str">
            <v>Goblin Torch</v>
          </cell>
          <cell r="B319" t="str">
            <v>Goblin Torch</v>
          </cell>
          <cell r="C319" t="str">
            <v>Goblin</v>
          </cell>
          <cell r="D319" t="str">
            <v>Gun</v>
          </cell>
          <cell r="E319">
            <v>95</v>
          </cell>
          <cell r="F319" t="str">
            <v>5F</v>
          </cell>
          <cell r="G319">
            <v>30</v>
          </cell>
          <cell r="H319">
            <v>3200</v>
          </cell>
          <cell r="I319"/>
          <cell r="J319"/>
          <cell r="K319"/>
          <cell r="L319">
            <v>45</v>
          </cell>
          <cell r="M319">
            <v>0</v>
          </cell>
          <cell r="N319">
            <v>0</v>
          </cell>
          <cell r="O319">
            <v>0</v>
          </cell>
        </row>
        <row r="320">
          <cell r="A320" t="str">
            <v>Goblin Mech</v>
          </cell>
          <cell r="B320" t="str">
            <v>Goblin Mech</v>
          </cell>
          <cell r="H320">
            <v>17000</v>
          </cell>
        </row>
        <row r="321">
          <cell r="A321" t="str">
            <v>Entangle</v>
          </cell>
          <cell r="B321" t="str">
            <v>Entangle</v>
          </cell>
          <cell r="C321" t="str">
            <v>Entangle</v>
          </cell>
          <cell r="G321">
            <v>15</v>
          </cell>
          <cell r="L321">
            <v>9</v>
          </cell>
          <cell r="N321">
            <v>0</v>
          </cell>
          <cell r="O321">
            <v>0</v>
          </cell>
        </row>
        <row r="322">
          <cell r="A322" t="str">
            <v>Lullaby</v>
          </cell>
          <cell r="B322" t="str">
            <v>Lullaby</v>
          </cell>
          <cell r="C322" t="str">
            <v>Lullaby</v>
          </cell>
          <cell r="G322">
            <v>5</v>
          </cell>
        </row>
        <row r="323">
          <cell r="A323" t="str">
            <v>Barrel Toss</v>
          </cell>
          <cell r="B323" t="str">
            <v>Barrel Toss</v>
          </cell>
          <cell r="C323" t="str">
            <v>Barrel Toss</v>
          </cell>
          <cell r="G323">
            <v>15</v>
          </cell>
        </row>
        <row r="324">
          <cell r="A324" t="str">
            <v>Pyrotechnics</v>
          </cell>
          <cell r="B324" t="str">
            <v>Pyrotechnics</v>
          </cell>
          <cell r="C324" t="str">
            <v>Pyrotechnics</v>
          </cell>
          <cell r="G324">
            <v>15</v>
          </cell>
        </row>
        <row r="325">
          <cell r="A325" t="str">
            <v>Crippling Blow</v>
          </cell>
          <cell r="B325" t="str">
            <v>Crippling Blow</v>
          </cell>
          <cell r="C325" t="str">
            <v>Stunning Blow</v>
          </cell>
          <cell r="G325">
            <v>15</v>
          </cell>
        </row>
        <row r="326">
          <cell r="A326" t="str">
            <v>Shield Bash</v>
          </cell>
          <cell r="B326" t="str">
            <v>Shield Bash</v>
          </cell>
          <cell r="C326" t="str">
            <v>Shield Bash</v>
          </cell>
          <cell r="G326">
            <v>15</v>
          </cell>
        </row>
        <row r="327">
          <cell r="A327" t="str">
            <v>Boil</v>
          </cell>
          <cell r="B327" t="str">
            <v>Boil</v>
          </cell>
          <cell r="C327" t="str">
            <v>Boil</v>
          </cell>
          <cell r="G327">
            <v>5</v>
          </cell>
        </row>
        <row r="328">
          <cell r="A328" t="str">
            <v>Shake</v>
          </cell>
          <cell r="B328" t="str">
            <v>Shake</v>
          </cell>
          <cell r="C328" t="str">
            <v>Shake</v>
          </cell>
          <cell r="G328">
            <v>10</v>
          </cell>
        </row>
        <row r="329">
          <cell r="A329" t="str">
            <v>Spark Book</v>
          </cell>
          <cell r="B329" t="str">
            <v>Spark Book</v>
          </cell>
          <cell r="C329" t="str">
            <v>Spark</v>
          </cell>
          <cell r="D329" t="str">
            <v>Book</v>
          </cell>
          <cell r="G329">
            <v>30</v>
          </cell>
          <cell r="H329">
            <v>1400</v>
          </cell>
        </row>
        <row r="330">
          <cell r="A330" t="str">
            <v>Chill Book</v>
          </cell>
          <cell r="B330" t="str">
            <v>Chill Book</v>
          </cell>
          <cell r="C330" t="str">
            <v>Chill</v>
          </cell>
          <cell r="D330" t="str">
            <v>Book</v>
          </cell>
          <cell r="G330">
            <v>30</v>
          </cell>
          <cell r="H330">
            <v>1400</v>
          </cell>
        </row>
        <row r="331">
          <cell r="A331" t="str">
            <v>Scorch Book</v>
          </cell>
          <cell r="B331" t="str">
            <v>Scorch Book</v>
          </cell>
          <cell r="C331" t="str">
            <v>Scorch</v>
          </cell>
          <cell r="D331" t="str">
            <v>Book</v>
          </cell>
          <cell r="G331">
            <v>30</v>
          </cell>
          <cell r="H331">
            <v>1400</v>
          </cell>
        </row>
        <row r="332">
          <cell r="A332" t="str">
            <v>T-Strike</v>
          </cell>
          <cell r="B332" t="str">
            <v>T-Strike</v>
          </cell>
          <cell r="C332" t="str">
            <v>T-Strike</v>
          </cell>
          <cell r="D332" t="str">
            <v>Art</v>
          </cell>
          <cell r="G332">
            <v>40</v>
          </cell>
          <cell r="H332">
            <v>3200</v>
          </cell>
        </row>
        <row r="333">
          <cell r="A333" t="str">
            <v>Swipe</v>
          </cell>
          <cell r="B333" t="str">
            <v>Swipe</v>
          </cell>
          <cell r="C333" t="str">
            <v>Swipe</v>
          </cell>
          <cell r="G333">
            <v>15</v>
          </cell>
        </row>
        <row r="334">
          <cell r="A334" t="str">
            <v>Twinblades</v>
          </cell>
          <cell r="B334" t="str">
            <v>Twinblades</v>
          </cell>
          <cell r="C334" t="str">
            <v>Twinblades</v>
          </cell>
          <cell r="D334" t="str">
            <v>Blade</v>
          </cell>
          <cell r="G334">
            <v>30</v>
          </cell>
          <cell r="H334">
            <v>3200</v>
          </cell>
          <cell r="L334">
            <v>36</v>
          </cell>
          <cell r="N334" t="str">
            <v>Agl</v>
          </cell>
          <cell r="O334">
            <v>6</v>
          </cell>
        </row>
        <row r="335">
          <cell r="A335" t="str">
            <v>Target Chip</v>
          </cell>
          <cell r="B335" t="str">
            <v>Target Chip</v>
          </cell>
          <cell r="C335" t="str">
            <v>Target</v>
          </cell>
          <cell r="D335" t="str">
            <v>Chip</v>
          </cell>
          <cell r="G335">
            <v>-2</v>
          </cell>
          <cell r="H335">
            <v>2100</v>
          </cell>
          <cell r="I335">
            <v>0</v>
          </cell>
          <cell r="L335">
            <v>27</v>
          </cell>
          <cell r="M335">
            <v>0</v>
          </cell>
          <cell r="N335" t="str">
            <v>Mana</v>
          </cell>
          <cell r="O335">
            <v>3</v>
          </cell>
        </row>
        <row r="336">
          <cell r="A336" t="str">
            <v>Bullet Rain</v>
          </cell>
          <cell r="B336" t="str">
            <v>Bullet Rain</v>
          </cell>
          <cell r="C336" t="str">
            <v>Bullet Rain</v>
          </cell>
          <cell r="G336">
            <v>5</v>
          </cell>
        </row>
        <row r="337">
          <cell r="A337" t="str">
            <v>Envelop</v>
          </cell>
          <cell r="B337" t="str">
            <v>Envelop</v>
          </cell>
          <cell r="C337" t="str">
            <v>Envelop</v>
          </cell>
          <cell r="G337">
            <v>15</v>
          </cell>
        </row>
        <row r="338">
          <cell r="A338" t="str">
            <v>Devour</v>
          </cell>
          <cell r="B338" t="str">
            <v>Devour</v>
          </cell>
          <cell r="C338" t="str">
            <v>Devour</v>
          </cell>
          <cell r="G338">
            <v>15</v>
          </cell>
        </row>
        <row r="339">
          <cell r="A339" t="str">
            <v>Skraja</v>
          </cell>
          <cell r="B339" t="str">
            <v>Skraja</v>
          </cell>
          <cell r="C339" t="str">
            <v>Skraja</v>
          </cell>
          <cell r="D339" t="str">
            <v>Axe</v>
          </cell>
          <cell r="G339">
            <v>50</v>
          </cell>
          <cell r="H339">
            <v>3400</v>
          </cell>
          <cell r="L339">
            <v>36</v>
          </cell>
          <cell r="N339" t="str">
            <v>Str</v>
          </cell>
          <cell r="O339">
            <v>8</v>
          </cell>
        </row>
        <row r="340">
          <cell r="A340" t="str">
            <v>Seed Soda</v>
          </cell>
          <cell r="B340" t="str">
            <v>Seed Soda</v>
          </cell>
          <cell r="C340" t="str">
            <v>Seed</v>
          </cell>
          <cell r="D340" t="str">
            <v>Potion</v>
          </cell>
          <cell r="G340">
            <v>1</v>
          </cell>
        </row>
        <row r="341">
          <cell r="A341" t="str">
            <v>Enrage</v>
          </cell>
          <cell r="B341" t="str">
            <v>Enrage</v>
          </cell>
          <cell r="C341" t="str">
            <v>Enrage</v>
          </cell>
          <cell r="G341">
            <v>5</v>
          </cell>
        </row>
        <row r="342">
          <cell r="A342" t="str">
            <v>Roil</v>
          </cell>
          <cell r="B342" t="str">
            <v>Roil</v>
          </cell>
          <cell r="C342" t="str">
            <v>Roil</v>
          </cell>
          <cell r="G342">
            <v>5</v>
          </cell>
        </row>
        <row r="343">
          <cell r="A343" t="str">
            <v>X-Zone</v>
          </cell>
          <cell r="B343" t="str">
            <v>X-Zone</v>
          </cell>
          <cell r="C343" t="str">
            <v>X-Zone</v>
          </cell>
          <cell r="G343">
            <v>5</v>
          </cell>
        </row>
        <row r="344">
          <cell r="A344" t="str">
            <v>Full Cure</v>
          </cell>
          <cell r="B344" t="str">
            <v>Full Cure</v>
          </cell>
          <cell r="C344" t="str">
            <v>Full Cure</v>
          </cell>
          <cell r="G344">
            <v>5</v>
          </cell>
        </row>
        <row r="345">
          <cell r="A345" t="str">
            <v>Bandana</v>
          </cell>
          <cell r="B345" t="str">
            <v>Bandana</v>
          </cell>
          <cell r="C345" t="str">
            <v>Bandana</v>
          </cell>
          <cell r="G345">
            <v>-2</v>
          </cell>
          <cell r="H345">
            <v>3200</v>
          </cell>
          <cell r="I345">
            <v>4</v>
          </cell>
        </row>
        <row r="346">
          <cell r="A346" t="str">
            <v>Chakra</v>
          </cell>
          <cell r="B346" t="str">
            <v>Chakra</v>
          </cell>
          <cell r="C346" t="str">
            <v>Chakra</v>
          </cell>
          <cell r="G346">
            <v>10</v>
          </cell>
        </row>
        <row r="347">
          <cell r="A347" t="str">
            <v>Bomb</v>
          </cell>
          <cell r="B347" t="str">
            <v>Bomb</v>
          </cell>
          <cell r="C347" t="str">
            <v>Bomb</v>
          </cell>
          <cell r="G347">
            <v>30</v>
          </cell>
          <cell r="H347">
            <v>3200</v>
          </cell>
          <cell r="L347">
            <v>36</v>
          </cell>
          <cell r="N347">
            <v>0</v>
          </cell>
          <cell r="O347">
            <v>0</v>
          </cell>
        </row>
        <row r="348">
          <cell r="A348" t="str">
            <v>Rifle</v>
          </cell>
          <cell r="B348" t="str">
            <v>Rifle</v>
          </cell>
          <cell r="C348" t="str">
            <v>Rifle</v>
          </cell>
          <cell r="G348">
            <v>30</v>
          </cell>
        </row>
        <row r="349">
          <cell r="A349" t="str">
            <v>Krantu</v>
          </cell>
          <cell r="B349" t="str">
            <v>Krantu</v>
          </cell>
          <cell r="C349" t="str">
            <v>Krantu</v>
          </cell>
          <cell r="D349" t="str">
            <v>Spear</v>
          </cell>
          <cell r="G349">
            <v>50</v>
          </cell>
          <cell r="H349">
            <v>3200</v>
          </cell>
          <cell r="L349">
            <v>36</v>
          </cell>
          <cell r="N349" t="str">
            <v>Str</v>
          </cell>
          <cell r="O349">
            <v>8</v>
          </cell>
        </row>
        <row r="350">
          <cell r="A350" t="str">
            <v>LED</v>
          </cell>
          <cell r="B350" t="str">
            <v>LED</v>
          </cell>
          <cell r="C350" t="str">
            <v>LED</v>
          </cell>
          <cell r="G350">
            <v>-2</v>
          </cell>
          <cell r="L350">
            <v>45</v>
          </cell>
        </row>
        <row r="351">
          <cell r="A351" t="str">
            <v>Slip Colt</v>
          </cell>
          <cell r="B351" t="str">
            <v>Slip Colt</v>
          </cell>
          <cell r="C351" t="str">
            <v>Slip Colt</v>
          </cell>
          <cell r="D351" t="str">
            <v>Gun</v>
          </cell>
          <cell r="E351">
            <v>50</v>
          </cell>
          <cell r="F351">
            <v>1400</v>
          </cell>
          <cell r="G351">
            <v>25</v>
          </cell>
          <cell r="H351">
            <v>6800</v>
          </cell>
          <cell r="I351"/>
          <cell r="J351"/>
          <cell r="K351"/>
          <cell r="L351">
            <v>27</v>
          </cell>
          <cell r="M351" t="str">
            <v>Damage=(5*20) to (5*45)=80 to 180; range attack; 65% hit chance</v>
          </cell>
          <cell r="N351" t="str">
            <v>Str</v>
          </cell>
          <cell r="O351">
            <v>6</v>
          </cell>
        </row>
        <row r="352">
          <cell r="A352" t="str">
            <v>Pitfall</v>
          </cell>
          <cell r="B352" t="str">
            <v>Pitfall</v>
          </cell>
          <cell r="C352" t="str">
            <v>Pitfall</v>
          </cell>
          <cell r="G352">
            <v>99</v>
          </cell>
        </row>
        <row r="353">
          <cell r="A353" t="str">
            <v>Pendant</v>
          </cell>
          <cell r="B353" t="str">
            <v>Pendant</v>
          </cell>
          <cell r="C353" t="str">
            <v>Pendant</v>
          </cell>
          <cell r="G353">
            <v>-2</v>
          </cell>
          <cell r="H353">
            <v>3200</v>
          </cell>
          <cell r="I353">
            <v>2</v>
          </cell>
          <cell r="L353">
            <v>36</v>
          </cell>
          <cell r="N353">
            <v>0</v>
          </cell>
          <cell r="O353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 filterMode="1">
    <tabColor rgb="FF92D050"/>
  </sheetPr>
  <dimension ref="A1:AU4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0" sqref="D30"/>
    </sheetView>
  </sheetViews>
  <sheetFormatPr defaultColWidth="9.140625" defaultRowHeight="15" x14ac:dyDescent="0.25"/>
  <cols>
    <col min="1" max="1" width="2.85546875" style="1" customWidth="1"/>
    <col min="2" max="2" width="11.42578125" style="1" bestFit="1" customWidth="1"/>
    <col min="3" max="3" width="8" style="5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5.5703125" style="4" bestFit="1" customWidth="1"/>
    <col min="8" max="8" width="3.7109375" style="129" bestFit="1" customWidth="1"/>
    <col min="9" max="9" width="3.7109375" style="4" bestFit="1" customWidth="1"/>
    <col min="10" max="10" width="3.7109375" style="1" bestFit="1" customWidth="1"/>
    <col min="11" max="11" width="3.7109375" style="4" customWidth="1"/>
    <col min="12" max="12" width="3.7109375" style="129" bestFit="1" customWidth="1"/>
    <col min="13" max="13" width="3.7109375" style="4" bestFit="1" customWidth="1"/>
    <col min="14" max="14" width="3.7109375" style="1" bestFit="1" customWidth="1"/>
    <col min="15" max="15" width="3.7109375" style="2" bestFit="1" customWidth="1"/>
    <col min="16" max="16" width="14.85546875" style="21" bestFit="1" customWidth="1"/>
    <col min="17" max="18" width="3.7109375" style="5" bestFit="1" customWidth="1"/>
    <col min="19" max="19" width="14.85546875" style="21" bestFit="1" customWidth="1"/>
    <col min="20" max="21" width="3.7109375" style="5" bestFit="1" customWidth="1"/>
    <col min="22" max="22" width="13.7109375" style="21" bestFit="1" customWidth="1"/>
    <col min="23" max="24" width="3.7109375" style="5" bestFit="1" customWidth="1"/>
    <col min="25" max="25" width="14.140625" style="21" bestFit="1" customWidth="1"/>
    <col min="26" max="27" width="3.7109375" style="5" bestFit="1" customWidth="1"/>
    <col min="28" max="28" width="13.42578125" style="21" bestFit="1" customWidth="1"/>
    <col min="29" max="30" width="3.7109375" style="5" bestFit="1" customWidth="1"/>
    <col min="31" max="31" width="13.28515625" style="21" bestFit="1" customWidth="1"/>
    <col min="32" max="33" width="3.7109375" style="5" bestFit="1" customWidth="1"/>
    <col min="34" max="34" width="13.28515625" style="21" bestFit="1" customWidth="1"/>
    <col min="35" max="36" width="3.7109375" style="5" bestFit="1" customWidth="1"/>
    <col min="37" max="37" width="12.7109375" style="21" bestFit="1" customWidth="1"/>
    <col min="38" max="39" width="3.7109375" style="5" bestFit="1" customWidth="1"/>
    <col min="40" max="40" width="13.28515625" style="21" bestFit="1" customWidth="1"/>
    <col min="41" max="41" width="3.7109375" style="5" bestFit="1" customWidth="1"/>
    <col min="42" max="42" width="3.5703125" style="25" customWidth="1"/>
    <col min="43" max="43" width="20.28515625" style="1" customWidth="1"/>
    <col min="44" max="44" width="60.4257812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7" s="19" customFormat="1" ht="75.75" customHeight="1" x14ac:dyDescent="0.2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3" t="s">
        <v>34</v>
      </c>
      <c r="H1" s="14" t="s">
        <v>41</v>
      </c>
      <c r="I1" s="13" t="s">
        <v>33</v>
      </c>
      <c r="J1" s="14" t="s">
        <v>42</v>
      </c>
      <c r="K1" s="13" t="s">
        <v>32</v>
      </c>
      <c r="L1" s="14" t="s">
        <v>43</v>
      </c>
      <c r="M1" s="13" t="s">
        <v>31</v>
      </c>
      <c r="N1" s="14" t="s">
        <v>44</v>
      </c>
      <c r="O1" s="12" t="s">
        <v>30</v>
      </c>
      <c r="P1" s="20" t="s">
        <v>29</v>
      </c>
      <c r="Q1" s="15" t="s">
        <v>47</v>
      </c>
      <c r="R1" s="16" t="s">
        <v>58</v>
      </c>
      <c r="S1" s="20" t="s">
        <v>28</v>
      </c>
      <c r="T1" s="15" t="s">
        <v>49</v>
      </c>
      <c r="U1" s="16" t="s">
        <v>59</v>
      </c>
      <c r="V1" s="20" t="s">
        <v>27</v>
      </c>
      <c r="W1" s="15" t="s">
        <v>50</v>
      </c>
      <c r="X1" s="16" t="s">
        <v>60</v>
      </c>
      <c r="Y1" s="20" t="s">
        <v>26</v>
      </c>
      <c r="Z1" s="15" t="s">
        <v>51</v>
      </c>
      <c r="AA1" s="16" t="s">
        <v>61</v>
      </c>
      <c r="AB1" s="26" t="s">
        <v>25</v>
      </c>
      <c r="AC1" s="27" t="s">
        <v>52</v>
      </c>
      <c r="AD1" s="16" t="s">
        <v>62</v>
      </c>
      <c r="AE1" s="20" t="s">
        <v>24</v>
      </c>
      <c r="AF1" s="15" t="s">
        <v>53</v>
      </c>
      <c r="AG1" s="16" t="s">
        <v>63</v>
      </c>
      <c r="AH1" s="20" t="s">
        <v>23</v>
      </c>
      <c r="AI1" s="15" t="s">
        <v>54</v>
      </c>
      <c r="AJ1" s="16" t="s">
        <v>64</v>
      </c>
      <c r="AK1" s="20" t="s">
        <v>22</v>
      </c>
      <c r="AL1" s="15" t="s">
        <v>55</v>
      </c>
      <c r="AM1" s="16" t="s">
        <v>65</v>
      </c>
      <c r="AN1" s="23" t="s">
        <v>45</v>
      </c>
      <c r="AO1" s="15" t="s">
        <v>48</v>
      </c>
      <c r="AP1" s="24" t="s">
        <v>67</v>
      </c>
      <c r="AQ1" s="14" t="s">
        <v>46</v>
      </c>
      <c r="AR1" s="17" t="s">
        <v>40</v>
      </c>
      <c r="AS1" s="18" t="s">
        <v>69</v>
      </c>
      <c r="AT1" s="18" t="s">
        <v>70</v>
      </c>
      <c r="AU1" s="124" t="s">
        <v>164</v>
      </c>
    </row>
    <row r="2" spans="1:47" x14ac:dyDescent="0.25">
      <c r="A2" s="56" t="str">
        <f t="shared" ref="A2:A12" si="0">B2</f>
        <v>Rando</v>
      </c>
      <c r="B2" s="61" t="s">
        <v>89</v>
      </c>
      <c r="C2" s="135"/>
      <c r="D2" s="32" t="s">
        <v>72</v>
      </c>
      <c r="E2" s="87" t="s">
        <v>235</v>
      </c>
      <c r="F2">
        <v>209</v>
      </c>
      <c r="G2" s="128">
        <f>27+IF(ISBLANK(VLOOKUP($E2,[1]Monster!$A$2:$X$400,10,FALSE)),"",VLOOKUP($E2,[1]Monster!$A$2:$X$400,10,FALSE))</f>
        <v>209</v>
      </c>
      <c r="H2">
        <v>3</v>
      </c>
      <c r="I2" s="4">
        <f>IF(ISBLANK(VLOOKUP($E2,[1]Monster!$A$2:$X$400,11,FALSE)),"",VLOOKUP($E2,[1]Monster!$A$2:$X$400,11,FALSE))+H2</f>
        <v>24</v>
      </c>
      <c r="J2">
        <v>2</v>
      </c>
      <c r="K2" s="4">
        <f>IF(ISBLANK(VLOOKUP($E2,[1]Monster!$A$2:$X$400,14,FALSE)),"",VLOOKUP($E2,[1]Monster!$A$2:$X$400,14,FALSE))+J2</f>
        <v>20</v>
      </c>
      <c r="L2">
        <v>3</v>
      </c>
      <c r="M2" s="4">
        <f>IF(ISBLANK(VLOOKUP($E2,[1]Monster!$A$2:$X$400,12,FALSE)),"",VLOOKUP($E2,[1]Monster!$A$2:$X$400,12,FALSE))+L2</f>
        <v>23</v>
      </c>
      <c r="N2">
        <v>2</v>
      </c>
      <c r="O2" s="2">
        <f>IF(ISBLANK(VLOOKUP($E2,[1]Monster!$A$2:$X$400,13,FALSE)),"",VLOOKUP($E2,[1]Monster!$A$2:$X$400,13,FALSE))+N2</f>
        <v>16</v>
      </c>
      <c r="P2" s="28" t="str">
        <f>IF(ISBLANK(VLOOKUP($E2,[1]Monster!$A$2:$X$400,16,FALSE)),"",VLOOKUP($E2,[1]Monster!$A$2:$X$400,16,FALSE))</f>
        <v>Tail</v>
      </c>
      <c r="Q2">
        <v>13</v>
      </c>
      <c r="R2" s="5">
        <f>_xlfn.IFNA(IF($E2="Robot",VLOOKUP(P2,[1]Weapon!$B$1:$G$355,6,FALSE)/2,VLOOKUP(P2,[1]Weapon!$B$1:$G$355,6,FALSE)),0)</f>
        <v>15</v>
      </c>
      <c r="S2" s="28" t="str">
        <f>IF(ISBLANK(VLOOKUP($E2,[1]Monster!$A$2:$X$400,17,FALSE)),"",VLOOKUP($E2,[1]Monster!$A$2:$X$400,17,FALSE))</f>
        <v>Multi-Attack</v>
      </c>
      <c r="T2">
        <v>10</v>
      </c>
      <c r="U2" s="5">
        <f>_xlfn.IFNA(IF($E2="Robot",VLOOKUP(S2,[1]Weapon!$B$1:$G$355,6,FALSE)/2,VLOOKUP(S2,[1]Weapon!$B$1:$G$355,6,FALSE)),0)</f>
        <v>10</v>
      </c>
      <c r="V2" s="28" t="str">
        <f>IF(ISBLANK(VLOOKUP($E2,[1]Monster!$A$2:$X$400,18,FALSE)),"",VLOOKUP($E2,[1]Monster!$A$2:$X$400,18,FALSE))</f>
        <v>Blind</v>
      </c>
      <c r="W2">
        <v>14</v>
      </c>
      <c r="X2" s="5">
        <f>_xlfn.IFNA(IF($E2="Robot",VLOOKUP(V2,[1]Weapon!$B$1:$G$355,6,FALSE)/2,VLOOKUP(V2,[1]Weapon!$B$1:$G$355,6,FALSE)),0)</f>
        <v>15</v>
      </c>
      <c r="Y2" s="28" t="str">
        <f>IF(ISBLANK(VLOOKUP($E2,[1]Monster!$A$2:$X$400,19,FALSE)),"",VLOOKUP($E2,[1]Monster!$A$2:$X$400,19,FALSE))</f>
        <v>O-Quake</v>
      </c>
      <c r="Z2">
        <v>-2</v>
      </c>
      <c r="AA2" s="5">
        <f>_xlfn.IFNA(IF($E2="Robot",VLOOKUP(Y2,[1]Weapon!$B$1:$G$355,6,FALSE)/2,VLOOKUP(Y2,[1]Weapon!$B$1:$G$355,6,FALSE)),0)</f>
        <v>-2</v>
      </c>
      <c r="AB2" s="28" t="str">
        <f>IF(ISBLANK(VLOOKUP($E2,[1]Monster!$A$2:$X$400,20,FALSE)),"",VLOOKUP($E2,[1]Monster!$A$2:$X$400,20,FALSE))</f>
        <v/>
      </c>
      <c r="AC2">
        <v>0</v>
      </c>
      <c r="AD2" s="5">
        <f>_xlfn.IFNA(IF($E2="Robot",VLOOKUP(AB2,[1]Weapon!$B$1:$G$355,6,FALSE)/2,VLOOKUP(AB2,[1]Weapon!$B$1:$G$355,6,FALSE)),0)</f>
        <v>0</v>
      </c>
      <c r="AE2" s="28" t="str">
        <f>IF(ISBLANK(VLOOKUP($E2,[1]Monster!$A$2:$X$400,21,FALSE)),"",VLOOKUP($E2,[1]Monster!$A$2:$X$400,21,FALSE))</f>
        <v/>
      </c>
      <c r="AF2">
        <v>0</v>
      </c>
      <c r="AG2" s="5">
        <f>_xlfn.IFNA(IF($E2="Robot",VLOOKUP(AE2,[1]Weapon!$B$1:$G$355,6,FALSE)/2,VLOOKUP(AE2,[1]Weapon!$B$1:$G$355,6,FALSE)),0)</f>
        <v>0</v>
      </c>
      <c r="AH2" s="28" t="str">
        <f>IF(ISBLANK(VLOOKUP($E2,[1]Monster!$A$2:$X$400,22,FALSE)),"",VLOOKUP($E2,[1]Monster!$A$2:$X$400,22,FALSE))</f>
        <v/>
      </c>
      <c r="AI2">
        <v>0</v>
      </c>
      <c r="AJ2" s="5">
        <f>_xlfn.IFNA(IF($E2="Robot",VLOOKUP(AH2,[1]Weapon!$B$1:$G$355,6,FALSE)/2,VLOOKUP(AH2,[1]Weapon!$B$1:$G$355,6,FALSE)),0)</f>
        <v>0</v>
      </c>
      <c r="AK2" s="137"/>
      <c r="AL2">
        <v>0</v>
      </c>
      <c r="AM2" s="5">
        <f>_xlfn.IFNA(IF($E2="Robot",VLOOKUP(AK2,[1]Weapon!$B$1:$G$355,6,FALSE)/2,VLOOKUP(AK2,[1]Weapon!$B$1:$G$355,6,FALSE)),0)</f>
        <v>0</v>
      </c>
      <c r="AN2" s="98" t="s">
        <v>174</v>
      </c>
      <c r="AO2">
        <v>-2</v>
      </c>
      <c r="AP2" s="5">
        <f>IF(ISTEXT(AN2),_xlfn.IFNA(VLOOKUP(LEFT(AN2,FIND("-",AN2)-1),[1]Weapon!$B$1:$G$355,6,FALSE),0),0)</f>
        <v>-2</v>
      </c>
      <c r="AQ2" s="130"/>
      <c r="AR2" s="136" t="s">
        <v>231</v>
      </c>
      <c r="AS2">
        <v>7149</v>
      </c>
      <c r="AT2" t="s">
        <v>181</v>
      </c>
      <c r="AU2" s="95">
        <f>HLOOKUP(B2,[1]Evolve!$S$1:$AA$38,38,FALSE)</f>
        <v>38</v>
      </c>
    </row>
    <row r="3" spans="1:47" x14ac:dyDescent="0.25">
      <c r="A3" s="56" t="str">
        <f t="shared" si="0"/>
        <v>Grace</v>
      </c>
      <c r="B3" s="85" t="s">
        <v>90</v>
      </c>
      <c r="C3" s="135"/>
      <c r="D3" s="31" t="s">
        <v>91</v>
      </c>
      <c r="E3" s="78" t="s">
        <v>88</v>
      </c>
      <c r="F3">
        <v>173</v>
      </c>
      <c r="G3">
        <v>173</v>
      </c>
      <c r="H3">
        <v>4</v>
      </c>
      <c r="I3" s="4">
        <f>H3</f>
        <v>4</v>
      </c>
      <c r="J3">
        <v>0</v>
      </c>
      <c r="K3" s="4">
        <f>J3+_xlfn.IFNA(VLOOKUP($P3,[1]Weapon!$A$1:$M$353,9,FALSE),0)+_xlfn.IFNA(VLOOKUP($S3,[1]Weapon!$A$1:$M$353,9,FALSE),0)+_xlfn.IFNA(VLOOKUP($V3,[1]Weapon!$A$1:$M$353,9,FALSE),0)+_xlfn.IFNA(VLOOKUP($Y3,[1]Weapon!$A$1:$M$353,9,FALSE),0)+_xlfn.IFNA(VLOOKUP($AB3,[1]Weapon!$A$1:$M$353,9,FALSE),0)+_xlfn.IFNA(VLOOKUP($AE3,[1]Weapon!$A$1:$M$353,9,FALSE),0)+_xlfn.IFNA(VLOOKUP($AH3,[1]Weapon!$A$1:$M$353,9,FALSE),0)+_xlfn.IFNA(VLOOKUP($AK3,[1]Weapon!$A$1:$M$353,9,FALSE),0)</f>
        <v>9</v>
      </c>
      <c r="L3">
        <v>9</v>
      </c>
      <c r="M3" s="4">
        <f>L3</f>
        <v>9</v>
      </c>
      <c r="N3">
        <v>15</v>
      </c>
      <c r="O3" s="2">
        <f>N3</f>
        <v>15</v>
      </c>
      <c r="P3" s="69" t="s">
        <v>86</v>
      </c>
      <c r="Q3">
        <v>13</v>
      </c>
      <c r="R3" s="5">
        <f>_xlfn.IFNA(IF($E3="Robot",VLOOKUP(P3,[1]Weapon!$B$1:$G$355,6,FALSE)/2,VLOOKUP(P3,[1]Weapon!$B$1:$G$355,6,FALSE)),0)</f>
        <v>15</v>
      </c>
      <c r="S3" s="142" t="s">
        <v>138</v>
      </c>
      <c r="T3">
        <v>-2</v>
      </c>
      <c r="U3" s="5">
        <f>_xlfn.IFNA(IF($E3="Robot",VLOOKUP(S3,[1]Weapon!$B$1:$G$355,6,FALSE)/2,VLOOKUP(S3,[1]Weapon!$B$1:$G$355,6,FALSE)),0)</f>
        <v>-2</v>
      </c>
      <c r="V3" s="99" t="s">
        <v>163</v>
      </c>
      <c r="W3">
        <v>15</v>
      </c>
      <c r="X3" s="5">
        <f>_xlfn.IFNA(IF($E3="Robot",VLOOKUP(V3,[1]Weapon!$B$1:$G$355,6,FALSE)/2,VLOOKUP(V3,[1]Weapon!$B$1:$G$355,6,FALSE)),0)</f>
        <v>15</v>
      </c>
      <c r="Y3" s="99" t="s">
        <v>165</v>
      </c>
      <c r="Z3">
        <v>15</v>
      </c>
      <c r="AA3" s="5">
        <f>_xlfn.IFNA(IF($E3="Robot",VLOOKUP(Y3,[1]Weapon!$B$1:$G$355,6,FALSE)/2,VLOOKUP(Y3,[1]Weapon!$B$1:$G$355,6,FALSE)),0)</f>
        <v>15</v>
      </c>
      <c r="AB3" s="137" t="s">
        <v>199</v>
      </c>
      <c r="AC3">
        <v>44</v>
      </c>
      <c r="AD3" s="5">
        <f>_xlfn.IFNA(IF($E3="Robot",VLOOKUP(AB3,[1]Weapon!$B$1:$G$355,6,FALSE)/2,VLOOKUP(AB3,[1]Weapon!$B$1:$G$355,6,FALSE)),0)</f>
        <v>50</v>
      </c>
      <c r="AE3" s="33" t="s">
        <v>93</v>
      </c>
      <c r="AF3">
        <v>-1</v>
      </c>
      <c r="AG3" s="5">
        <f>_xlfn.IFNA(IF($E3="Robot",VLOOKUP(AE3,[1]Weapon!$B$1:$G$355,6,FALSE)/2,VLOOKUP(AE3,[1]Weapon!$B$1:$G$355,6,FALSE)),0)</f>
        <v>-2</v>
      </c>
      <c r="AH3" s="137" t="s">
        <v>166</v>
      </c>
      <c r="AI3">
        <v>-1</v>
      </c>
      <c r="AJ3" s="5">
        <f>_xlfn.IFNA(IF($E3="Robot",VLOOKUP(AH3,[1]Weapon!$B$1:$G$355,6,FALSE)/2,VLOOKUP(AH3,[1]Weapon!$B$1:$G$355,6,FALSE)),0)</f>
        <v>-2</v>
      </c>
      <c r="AK3" s="137" t="s">
        <v>207</v>
      </c>
      <c r="AL3">
        <v>-1</v>
      </c>
      <c r="AM3" s="5">
        <f>_xlfn.IFNA(IF($E3="Robot",VLOOKUP(AK3,[1]Weapon!$B$1:$G$355,6,FALSE)/2,VLOOKUP(AK3,[1]Weapon!$B$1:$G$355,6,FALSE)),0)</f>
        <v>-2</v>
      </c>
      <c r="AN3" s="137" t="s">
        <v>195</v>
      </c>
      <c r="AO3">
        <v>-2</v>
      </c>
      <c r="AP3" s="5">
        <v>-2</v>
      </c>
      <c r="AQ3" s="3"/>
      <c r="AR3" s="136" t="s">
        <v>228</v>
      </c>
      <c r="AS3">
        <v>5598</v>
      </c>
      <c r="AT3" t="s">
        <v>181</v>
      </c>
    </row>
    <row r="4" spans="1:47" x14ac:dyDescent="0.25">
      <c r="A4" s="56" t="str">
        <f t="shared" si="0"/>
        <v>Astrid</v>
      </c>
      <c r="B4" s="85" t="s">
        <v>94</v>
      </c>
      <c r="C4" s="135"/>
      <c r="D4" s="31" t="s">
        <v>75</v>
      </c>
      <c r="E4" s="78" t="s">
        <v>88</v>
      </c>
      <c r="F4">
        <v>144</v>
      </c>
      <c r="G4">
        <v>144</v>
      </c>
      <c r="H4">
        <v>4</v>
      </c>
      <c r="I4" s="4">
        <f>H4</f>
        <v>4</v>
      </c>
      <c r="J4">
        <v>0</v>
      </c>
      <c r="K4" s="4">
        <f>J4+_xlfn.IFNA(VLOOKUP($P4,[1]Weapon!$A$1:$M$353,9,FALSE),0)+_xlfn.IFNA(VLOOKUP($S4,[1]Weapon!$A$1:$M$353,9,FALSE),0)+_xlfn.IFNA(VLOOKUP($V4,[1]Weapon!$A$1:$M$353,9,FALSE),0)+_xlfn.IFNA(VLOOKUP($Y4,[1]Weapon!$A$1:$M$353,9,FALSE),0)+_xlfn.IFNA(VLOOKUP($AB4,[1]Weapon!$A$1:$M$353,9,FALSE),0)+_xlfn.IFNA(VLOOKUP($AE4,[1]Weapon!$A$1:$M$353,9,FALSE),0)+_xlfn.IFNA(VLOOKUP($AH4,[1]Weapon!$A$1:$M$353,9,FALSE),0)+_xlfn.IFNA(VLOOKUP($AK4,[1]Weapon!$A$1:$M$353,9,FALSE),0)</f>
        <v>9</v>
      </c>
      <c r="L4">
        <v>10</v>
      </c>
      <c r="M4" s="4">
        <f>L4</f>
        <v>10</v>
      </c>
      <c r="N4">
        <v>17</v>
      </c>
      <c r="O4" s="2">
        <f>N4</f>
        <v>17</v>
      </c>
      <c r="P4" s="99" t="s">
        <v>85</v>
      </c>
      <c r="Q4">
        <v>15</v>
      </c>
      <c r="R4" s="5">
        <f>_xlfn.IFNA(IF($E4="Robot",VLOOKUP(P4,[1]Weapon!$B$1:$G$355,6,FALSE)/2,VLOOKUP(P4,[1]Weapon!$B$1:$G$355,6,FALSE)),0)</f>
        <v>15</v>
      </c>
      <c r="S4" s="70" t="s">
        <v>136</v>
      </c>
      <c r="T4">
        <v>-2</v>
      </c>
      <c r="U4" s="5">
        <f>_xlfn.IFNA(IF($E4="Robot",VLOOKUP(S4,[1]Weapon!$B$1:$G$355,6,FALSE)/2,VLOOKUP(S4,[1]Weapon!$B$1:$G$355,6,FALSE)),0)</f>
        <v>-2</v>
      </c>
      <c r="V4" s="142" t="s">
        <v>222</v>
      </c>
      <c r="W4">
        <v>15</v>
      </c>
      <c r="X4" s="5">
        <f>_xlfn.IFNA(IF($E4="Robot",VLOOKUP(V4,[1]Weapon!$B$1:$G$355,6,FALSE)/2,VLOOKUP(V4,[1]Weapon!$B$1:$G$355,6,FALSE)),0)</f>
        <v>15</v>
      </c>
      <c r="Y4" s="92" t="s">
        <v>156</v>
      </c>
      <c r="Z4">
        <v>15</v>
      </c>
      <c r="AA4" s="5">
        <f>_xlfn.IFNA(IF($E4="Robot",VLOOKUP(Y4,[1]Weapon!$B$1:$G$355,6,FALSE)/2,VLOOKUP(Y4,[1]Weapon!$B$1:$G$355,6,FALSE)),0)</f>
        <v>15</v>
      </c>
      <c r="AB4" s="137" t="s">
        <v>207</v>
      </c>
      <c r="AC4">
        <v>-2</v>
      </c>
      <c r="AD4" s="5">
        <f>_xlfn.IFNA(IF($E4="Robot",VLOOKUP(AB4,[1]Weapon!$B$1:$G$355,6,FALSE)/2,VLOOKUP(AB4,[1]Weapon!$B$1:$G$355,6,FALSE)),0)</f>
        <v>-2</v>
      </c>
      <c r="AE4" s="33" t="s">
        <v>93</v>
      </c>
      <c r="AF4">
        <v>-1</v>
      </c>
      <c r="AG4" s="5">
        <f>_xlfn.IFNA(IF($E4="Robot",VLOOKUP(AE4,[1]Weapon!$B$1:$G$355,6,FALSE)/2,VLOOKUP(AE4,[1]Weapon!$B$1:$G$355,6,FALSE)),0)</f>
        <v>-2</v>
      </c>
      <c r="AH4" s="137" t="s">
        <v>166</v>
      </c>
      <c r="AI4">
        <v>-1</v>
      </c>
      <c r="AJ4" s="5">
        <f>_xlfn.IFNA(IF($E4="Robot",VLOOKUP(AH4,[1]Weapon!$B$1:$G$355,6,FALSE)/2,VLOOKUP(AH4,[1]Weapon!$B$1:$G$355,6,FALSE)),0)</f>
        <v>-2</v>
      </c>
      <c r="AK4" s="137" t="s">
        <v>171</v>
      </c>
      <c r="AL4">
        <v>46</v>
      </c>
      <c r="AM4" s="5">
        <f>_xlfn.IFNA(IF($E4="Robot",VLOOKUP(AK4,[1]Weapon!$B$1:$G$355,6,FALSE)/2,VLOOKUP(AK4,[1]Weapon!$B$1:$G$355,6,FALSE)),0)</f>
        <v>50</v>
      </c>
      <c r="AO4">
        <v>0</v>
      </c>
      <c r="AP4" s="5">
        <f>IF(ISTEXT(AN4),_xlfn.IFNA(VLOOKUP(LEFT(AN4,FIND("-",AN4)-1),[1]Weapon!$B$1:$G$355,6,FALSE),0),0)</f>
        <v>0</v>
      </c>
      <c r="AQ4" s="3"/>
      <c r="AR4" s="136" t="s">
        <v>230</v>
      </c>
      <c r="AS4">
        <v>5099</v>
      </c>
      <c r="AT4" t="s">
        <v>181</v>
      </c>
    </row>
    <row r="5" spans="1:47" x14ac:dyDescent="0.25">
      <c r="A5" s="56" t="str">
        <f t="shared" si="0"/>
        <v>Cuthbert</v>
      </c>
      <c r="B5" s="77" t="s">
        <v>95</v>
      </c>
      <c r="C5" s="135"/>
      <c r="D5" s="31" t="s">
        <v>96</v>
      </c>
      <c r="E5" s="87" t="s">
        <v>186</v>
      </c>
      <c r="F5">
        <v>104</v>
      </c>
      <c r="G5" s="4">
        <f>IF(ISBLANK(VLOOKUP($E5,[1]Monster!$A$2:$X$400,10,FALSE)),"",VLOOKUP($E5,[1]Monster!$A$2:$X$400,10,FALSE))</f>
        <v>104</v>
      </c>
      <c r="H5">
        <v>0</v>
      </c>
      <c r="I5" s="4">
        <f>IF(ISBLANK(VLOOKUP($E5,[1]Monster!$A$2:$X$400,11,FALSE)),"",VLOOKUP($E5,[1]Monster!$A$2:$X$400,11,FALSE))+H5</f>
        <v>9</v>
      </c>
      <c r="J5">
        <v>0</v>
      </c>
      <c r="K5" s="4">
        <f>IF(ISBLANK(VLOOKUP($E5,[1]Monster!$A$2:$X$400,14,FALSE)),"",VLOOKUP($E5,[1]Monster!$A$2:$X$400,14,FALSE))+J5</f>
        <v>12</v>
      </c>
      <c r="L5">
        <v>0</v>
      </c>
      <c r="M5" s="4">
        <f>IF(ISBLANK(VLOOKUP($E5,[1]Monster!$A$2:$X$400,12,FALSE)),"",VLOOKUP($E5,[1]Monster!$A$2:$X$400,12,FALSE))+L5</f>
        <v>16</v>
      </c>
      <c r="N5">
        <v>0</v>
      </c>
      <c r="O5" s="2">
        <f>IF(ISBLANK(VLOOKUP($E5,[1]Monster!$A$2:$X$400,13,FALSE)),"",VLOOKUP($E5,[1]Monster!$A$2:$X$400,13,FALSE))+N5</f>
        <v>17</v>
      </c>
      <c r="P5" s="28" t="str">
        <f>IF(ISBLANK(VLOOKUP($E5,[1]Monster!$A$2:$X$400,16,FALSE)),"",VLOOKUP($E5,[1]Monster!$A$2:$X$400,16,FALSE))</f>
        <v>Sleep</v>
      </c>
      <c r="Q5">
        <v>13</v>
      </c>
      <c r="R5" s="5">
        <f>_xlfn.IFNA(IF($E5="Robot",VLOOKUP(P5,[1]Weapon!$B$1:$G$355,6,FALSE)/2,VLOOKUP(P5,[1]Weapon!$B$1:$G$355,6,FALSE)),0)</f>
        <v>15</v>
      </c>
      <c r="S5" s="28" t="str">
        <f>IF(ISBLANK(VLOOKUP($E5,[1]Monster!$A$2:$X$400,17,FALSE)),"",VLOOKUP($E5,[1]Monster!$A$2:$X$400,17,FALSE))</f>
        <v>Thunder</v>
      </c>
      <c r="T5">
        <v>15</v>
      </c>
      <c r="U5" s="5">
        <f>_xlfn.IFNA(IF($E5="Robot",VLOOKUP(S5,[1]Weapon!$B$1:$G$355,6,FALSE)/2,VLOOKUP(S5,[1]Weapon!$B$1:$G$355,6,FALSE)),0)</f>
        <v>15</v>
      </c>
      <c r="V5" s="28" t="str">
        <f>IF(ISBLANK(VLOOKUP($E5,[1]Monster!$A$2:$X$400,18,FALSE)),"",VLOOKUP($E5,[1]Monster!$A$2:$X$400,18,FALSE))</f>
        <v>Cure</v>
      </c>
      <c r="W5">
        <v>15</v>
      </c>
      <c r="X5" s="5">
        <f>_xlfn.IFNA(IF($E5="Robot",VLOOKUP(V5,[1]Weapon!$B$1:$G$355,6,FALSE)/2,VLOOKUP(V5,[1]Weapon!$B$1:$G$355,6,FALSE)),0)</f>
        <v>15</v>
      </c>
      <c r="Y5" s="28" t="str">
        <f>IF(ISBLANK(VLOOKUP($E5,[1]Monster!$A$2:$X$400,19,FALSE)),"",VLOOKUP($E5,[1]Monster!$A$2:$X$400,19,FALSE))</f>
        <v>O-Quake</v>
      </c>
      <c r="Z5">
        <v>-2</v>
      </c>
      <c r="AA5" s="5">
        <f>_xlfn.IFNA(IF($E5="Robot",VLOOKUP(Y5,[1]Weapon!$B$1:$G$355,6,FALSE)/2,VLOOKUP(Y5,[1]Weapon!$B$1:$G$355,6,FALSE)),0)</f>
        <v>-2</v>
      </c>
      <c r="AB5" s="28" t="str">
        <f>IF(ISBLANK(VLOOKUP($E5,[1]Monster!$A$2:$X$400,20,FALSE)),"",VLOOKUP($E5,[1]Monster!$A$2:$X$400,20,FALSE))</f>
        <v/>
      </c>
      <c r="AC5">
        <v>0</v>
      </c>
      <c r="AD5" s="5">
        <f>_xlfn.IFNA(IF($E5="Robot",VLOOKUP(AB5,[1]Weapon!$B$1:$G$355,6,FALSE)/2,VLOOKUP(AB5,[1]Weapon!$B$1:$G$355,6,FALSE)),0)</f>
        <v>0</v>
      </c>
      <c r="AE5" s="28" t="str">
        <f>IF(ISBLANK(VLOOKUP($E5,[1]Monster!$A$2:$X$400,21,FALSE)),"",VLOOKUP($E5,[1]Monster!$A$2:$X$400,21,FALSE))</f>
        <v/>
      </c>
      <c r="AF5">
        <v>0</v>
      </c>
      <c r="AG5" s="5">
        <f>_xlfn.IFNA(IF($E5="Robot",VLOOKUP(AE5,[1]Weapon!$B$1:$G$355,6,FALSE)/2,VLOOKUP(AE5,[1]Weapon!$B$1:$G$355,6,FALSE)),0)</f>
        <v>0</v>
      </c>
      <c r="AH5" s="28" t="str">
        <f>IF(ISBLANK(VLOOKUP($E5,[1]Monster!$A$2:$X$400,22,FALSE)),"",VLOOKUP($E5,[1]Monster!$A$2:$X$400,22,FALSE))</f>
        <v/>
      </c>
      <c r="AI5">
        <v>0</v>
      </c>
      <c r="AJ5" s="5">
        <f>_xlfn.IFNA(IF($E5="Robot",VLOOKUP(AH5,[1]Weapon!$B$1:$G$355,6,FALSE)/2,VLOOKUP(AH5,[1]Weapon!$B$1:$G$355,6,FALSE)),0)</f>
        <v>0</v>
      </c>
      <c r="AK5" s="137" t="s">
        <v>234</v>
      </c>
      <c r="AL5">
        <v>14</v>
      </c>
      <c r="AM5" s="5">
        <f>_xlfn.IFNA(IF($E5="Robot",VLOOKUP(AK5,[1]Weapon!$B$1:$G$355,6,FALSE)/2,VLOOKUP(AK5,[1]Weapon!$B$1:$G$355,6,FALSE)),0)</f>
        <v>15</v>
      </c>
      <c r="AO5">
        <v>0</v>
      </c>
      <c r="AP5" s="5">
        <f>IF(ISTEXT(AN5),_xlfn.IFNA(VLOOKUP(LEFT(AN5,FIND("-",AN5)-1),[1]Weapon!$B$1:$G$355,6,FALSE),0),0)</f>
        <v>0</v>
      </c>
      <c r="AQ5" s="3"/>
      <c r="AR5" s="136" t="s">
        <v>233</v>
      </c>
      <c r="AS5">
        <v>7173</v>
      </c>
      <c r="AT5" t="s">
        <v>181</v>
      </c>
      <c r="AU5" s="95">
        <f>HLOOKUP(B5,[1]Evolve!$S$1:$AA$38,38,FALSE)</f>
        <v>23</v>
      </c>
    </row>
    <row r="6" spans="1:47" hidden="1" x14ac:dyDescent="0.25">
      <c r="A6" s="56" t="str">
        <f t="shared" si="0"/>
        <v>Sandy</v>
      </c>
      <c r="B6" s="85" t="s">
        <v>73</v>
      </c>
      <c r="C6" s="135"/>
      <c r="D6" s="31" t="s">
        <v>74</v>
      </c>
      <c r="E6" s="89" t="s">
        <v>57</v>
      </c>
      <c r="F6">
        <v>149</v>
      </c>
      <c r="G6">
        <v>238</v>
      </c>
      <c r="H6">
        <v>18</v>
      </c>
      <c r="I6" s="4">
        <f t="shared" ref="I6:I11" si="1">H6</f>
        <v>18</v>
      </c>
      <c r="J6">
        <v>0</v>
      </c>
      <c r="K6" s="4">
        <f>J6+_xlfn.IFNA(VLOOKUP($P6,[1]Weapon!$A$1:$M$353,9,FALSE),0)+_xlfn.IFNA(VLOOKUP($S6,[1]Weapon!$A$1:$M$353,9,FALSE),0)+_xlfn.IFNA(VLOOKUP($V6,[1]Weapon!$A$1:$M$353,9,FALSE),0)+_xlfn.IFNA(VLOOKUP($Y6,[1]Weapon!$A$1:$M$353,9,FALSE),0)+_xlfn.IFNA(VLOOKUP($AB6,[1]Weapon!$A$1:$M$353,9,FALSE),0)+_xlfn.IFNA(VLOOKUP($AE6,[1]Weapon!$A$1:$M$353,9,FALSE),0)+_xlfn.IFNA(VLOOKUP($AH6,[1]Weapon!$A$1:$M$353,9,FALSE),0)+_xlfn.IFNA(VLOOKUP($AK6,[1]Weapon!$A$1:$M$353,9,FALSE),0)</f>
        <v>9</v>
      </c>
      <c r="L6">
        <v>14</v>
      </c>
      <c r="M6" s="4">
        <f>L6</f>
        <v>14</v>
      </c>
      <c r="N6">
        <v>14</v>
      </c>
      <c r="O6" s="2">
        <f>N6</f>
        <v>14</v>
      </c>
      <c r="P6" s="137" t="s">
        <v>196</v>
      </c>
      <c r="Q6">
        <v>22</v>
      </c>
      <c r="R6" s="5">
        <f>_xlfn.IFNA(IF($E6="Robot",VLOOKUP(P6,[1]Weapon!$B$1:$G$355,6,FALSE)/2,VLOOKUP(P6,[1]Weapon!$B$1:$G$355,6,FALSE)),0)</f>
        <v>40</v>
      </c>
      <c r="S6" s="33" t="s">
        <v>93</v>
      </c>
      <c r="T6">
        <v>-1</v>
      </c>
      <c r="U6" s="5">
        <f>_xlfn.IFNA(IF($E6="Robot",VLOOKUP(S6,[1]Weapon!$B$1:$G$355,6,FALSE)/2,VLOOKUP(S6,[1]Weapon!$B$1:$G$355,6,FALSE)),0)</f>
        <v>-2</v>
      </c>
      <c r="V6" s="137" t="s">
        <v>204</v>
      </c>
      <c r="W6">
        <v>55</v>
      </c>
      <c r="X6" s="5">
        <f>_xlfn.IFNA(IF($E6="Robot",VLOOKUP(V6,[1]Weapon!$B$1:$G$355,6,FALSE)/2,VLOOKUP(V6,[1]Weapon!$B$1:$G$355,6,FALSE)),0)</f>
        <v>60</v>
      </c>
      <c r="Y6" s="137" t="s">
        <v>166</v>
      </c>
      <c r="Z6">
        <v>-1</v>
      </c>
      <c r="AA6" s="5">
        <f>_xlfn.IFNA(IF($E6="Robot",VLOOKUP(Y6,[1]Weapon!$B$1:$G$355,6,FALSE)/2,VLOOKUP(Y6,[1]Weapon!$B$1:$G$355,6,FALSE)),0)</f>
        <v>-2</v>
      </c>
      <c r="AB6" s="137" t="s">
        <v>207</v>
      </c>
      <c r="AC6">
        <v>-1</v>
      </c>
      <c r="AD6" s="5">
        <f>_xlfn.IFNA(IF($E6="Robot",VLOOKUP(AB6,[1]Weapon!$B$1:$G$355,6,FALSE)/2,VLOOKUP(AB6,[1]Weapon!$B$1:$G$355,6,FALSE)),0)</f>
        <v>-2</v>
      </c>
      <c r="AE6" s="137" t="s">
        <v>193</v>
      </c>
      <c r="AF6">
        <v>10</v>
      </c>
      <c r="AG6" s="5">
        <f>_xlfn.IFNA(IF($E6="Robot",VLOOKUP(AE6,[1]Weapon!$B$1:$G$355,6,FALSE)/2,VLOOKUP(AE6,[1]Weapon!$B$1:$G$355,6,FALSE)),0)</f>
        <v>30</v>
      </c>
      <c r="AH6" s="98" t="s">
        <v>171</v>
      </c>
      <c r="AI6">
        <v>20</v>
      </c>
      <c r="AJ6" s="5">
        <f>_xlfn.IFNA(IF($E6="Robot",VLOOKUP(AH6,[1]Weapon!$B$1:$G$355,6,FALSE)/2,VLOOKUP(AH6,[1]Weapon!$B$1:$G$355,6,FALSE)),0)</f>
        <v>50</v>
      </c>
      <c r="AK6" s="98" t="s">
        <v>116</v>
      </c>
      <c r="AL6">
        <v>66</v>
      </c>
      <c r="AM6" s="5">
        <f>_xlfn.IFNA(IF($E6="Robot",VLOOKUP(AK6,[1]Weapon!$B$1:$G$355,6,FALSE)/2,VLOOKUP(AK6,[1]Weapon!$B$1:$G$355,6,FALSE)),0)</f>
        <v>70</v>
      </c>
      <c r="AO6">
        <v>0</v>
      </c>
      <c r="AP6" s="5">
        <f>IF(ISTEXT(AN6),_xlfn.IFNA(VLOOKUP(LEFT(AN6,FIND("-",AN6)-1),[1]Weapon!$B$1:$G$355,6,FALSE),0),0)</f>
        <v>0</v>
      </c>
      <c r="AQ6" s="131"/>
      <c r="AR6" s="136" t="s">
        <v>238</v>
      </c>
      <c r="AS6">
        <v>4491</v>
      </c>
      <c r="AT6" t="s">
        <v>181</v>
      </c>
      <c r="AU6" s="136" t="s">
        <v>220</v>
      </c>
    </row>
    <row r="7" spans="1:47" x14ac:dyDescent="0.25">
      <c r="A7" s="56" t="str">
        <f t="shared" si="0"/>
        <v>Roy</v>
      </c>
      <c r="B7" s="60" t="s">
        <v>98</v>
      </c>
      <c r="C7" s="135"/>
      <c r="D7" s="34" t="s">
        <v>99</v>
      </c>
      <c r="E7" s="82" t="s">
        <v>87</v>
      </c>
      <c r="F7">
        <v>231</v>
      </c>
      <c r="G7" s="4">
        <f>24+_xlfn.IFNA(VLOOKUP($P7,[1]Weapon!$A$1:$M$353,12,FALSE),0)+_xlfn.IFNA(VLOOKUP($S7,[1]Weapon!$A$1:$M$353,12,FALSE),0)+_xlfn.IFNA(VLOOKUP($V7,[1]Weapon!$A$1:$M$353,12,FALSE),0)+_xlfn.IFNA(VLOOKUP($Y7,[1]Weapon!$A$1:$M$353,12,FALSE),0)+_xlfn.IFNA(VLOOKUP($AB7,[1]Weapon!$A$1:$M$353,12,FALSE),0)+_xlfn.IFNA(VLOOKUP($AE7,[1]Weapon!$A$1:$M$353,12,FALSE),0)+_xlfn.IFNA(VLOOKUP($AH7,[1]Weapon!$A$1:$M$353,12,FALSE),0)+_xlfn.IFNA(VLOOKUP($AK7,[1]Weapon!$A$1:$M$353,12,FALSE),0)</f>
        <v>231</v>
      </c>
      <c r="H7">
        <v>0</v>
      </c>
      <c r="I7" s="38">
        <f>H7+_xlfn.IFNA(IF(VLOOKUP($P7,[1]Weapon!$B$2:$O$353,13,FALSE)="Str",VLOOKUP($P7,[1]Weapon!$B$2:$O$353,14,FALSE),0),0)+_xlfn.IFNA(IF(VLOOKUP($S7,[1]Weapon!$B$2:$O$353,13,FALSE)="Str",VLOOKUP($S7,[1]Weapon!$B$2:$O$353,14,FALSE),0),0)+_xlfn.IFNA(IF(VLOOKUP($V7,[1]Weapon!$B$2:$O$353,13,FALSE)="Str",VLOOKUP($V7,[1]Weapon!$B$2:$O$353,14,FALSE),0),0)+_xlfn.IFNA(IF(VLOOKUP($Y7,[1]Weapon!$B$2:$O$353,13,FALSE)="Str",VLOOKUP($Y7,[1]Weapon!$B$2:$O$353,14,FALSE),0),0)+_xlfn.IFNA(IF(VLOOKUP($AB7,[1]Weapon!$B$2:$O$353,13,FALSE)="Str",VLOOKUP($AB7,[1]Weapon!$B$2:$O$353,14,FALSE),0),0)+_xlfn.IFNA(IF(VLOOKUP($AE7,[1]Weapon!$B$2:$O$353,13,FALSE)="Str",VLOOKUP($AE7,[1]Weapon!$B$2:$O$353,14,FALSE),0),0)+_xlfn.IFNA(IF(VLOOKUP($AH7,[1]Weapon!$B$2:$O$353,13,FALSE)="Str",VLOOKUP($AH7,[1]Weapon!$B$2:$O$353,14,FALSE),0),0)+_xlfn.IFNA(IF(VLOOKUP($AK7,[1]Weapon!$B$2:$O$353,13,FALSE)="Str",VLOOKUP($AK7,[1]Weapon!$B$2:$O$353,14,FALSE),0),0)</f>
        <v>20</v>
      </c>
      <c r="J7">
        <v>6</v>
      </c>
      <c r="K7" s="4">
        <f>J7+_xlfn.IFNA(IF(VLOOKUP($P7,[1]Weapon!$B$2:$O$353,13,FALSE)="Def",VLOOKUP($P7,[1]Weapon!$B$2:$O$353,14,FALSE),0),0)+_xlfn.IFNA(IF(VLOOKUP($S7,[1]Weapon!$B$2:$O$353,13,FALSE)="Def",VLOOKUP($S7,[1]Weapon!$B$2:$O$353,14,FALSE),0),0)+_xlfn.IFNA(IF(VLOOKUP($V7,[1]Weapon!$B$2:$O$353,13,FALSE)="Def",VLOOKUP($V7,[1]Weapon!$B$2:$O$353,14,FALSE),0),0)+_xlfn.IFNA(IF(VLOOKUP($Y7,[1]Weapon!$B$2:$O$353,13,FALSE)="Def",VLOOKUP($Y7,[1]Weapon!$B$2:$O$353,14,FALSE),0),0)+_xlfn.IFNA(IF(VLOOKUP($AB7,[1]Weapon!$B$2:$O$353,13,FALSE)="Def",VLOOKUP($AB7,[1]Weapon!$B$2:$O$353,14,FALSE),0),0)+_xlfn.IFNA(IF(VLOOKUP($AE7,[1]Weapon!$B$2:$O$353,13,FALSE)="Def",VLOOKUP($AE7,[1]Weapon!$B$2:$O$353,14,FALSE),0),0)+_xlfn.IFNA(IF(VLOOKUP($AH7,[1]Weapon!$B$2:$O$353,13,FALSE)="Def",VLOOKUP($AH7,[1]Weapon!$B$2:$O$353,14,FALSE),0),0)+_xlfn.IFNA(IF(VLOOKUP($AK7,[1]Weapon!$B$2:$O$353,13,FALSE)="Def",VLOOKUP($AK7,[1]Weapon!$B$2:$O$353,14,FALSE),0),0)</f>
        <v>22</v>
      </c>
      <c r="L7">
        <v>5</v>
      </c>
      <c r="M7" s="4">
        <f>L7+_xlfn.IFNA(IF(VLOOKUP($P7,[1]Weapon!$B$2:$O$353,13,FALSE)="Agl",VLOOKUP($P7,[1]Weapon!$B$2:$O$353,14,FALSE),0),0)+_xlfn.IFNA(IF(VLOOKUP($S7,[1]Weapon!$B$2:$O$353,13,FALSE)="Agl",VLOOKUP($S7,[1]Weapon!$B$2:$O$353,14,FALSE),0),0)+_xlfn.IFNA(IF(VLOOKUP($V7,[1]Weapon!$B$2:$O$353,13,FALSE)="Agl",VLOOKUP($V7,[1]Weapon!$B$2:$O$353,14,FALSE),0),0)+_xlfn.IFNA(IF(VLOOKUP($Y7,[1]Weapon!$B$2:$O$353,13,FALSE)="Agl",VLOOKUP($Y7,[1]Weapon!$B$2:$O$353,14,FALSE),0),0)+_xlfn.IFNA(IF(VLOOKUP($AB7,[1]Weapon!$B$2:$O$353,13,FALSE)="Agl",VLOOKUP($AB7,[1]Weapon!$B$2:$O$353,14,FALSE),0),0)+_xlfn.IFNA(IF(VLOOKUP($AE7,[1]Weapon!$B$2:$O$353,13,FALSE)="Agl",VLOOKUP($AE7,[1]Weapon!$B$2:$O$353,14,FALSE),0),0)+_xlfn.IFNA(IF(VLOOKUP($AH7,[1]Weapon!$B$2:$O$353,13,FALSE)="Agl",VLOOKUP($AH7,[1]Weapon!$B$2:$O$353,14,FALSE),0),0)+_xlfn.IFNA(IF(VLOOKUP($AK7,[1]Weapon!$B$2:$O$353,13,FALSE)="Agl",VLOOKUP($AK7,[1]Weapon!$B$2:$O$353,14,FALSE),0),0)</f>
        <v>5</v>
      </c>
      <c r="N7">
        <v>0</v>
      </c>
      <c r="O7" s="2">
        <f>N7+_xlfn.IFNA(IF(VLOOKUP($P7,[1]Weapon!$B$2:$O$353,13,FALSE)="Mana",VLOOKUP($P7,[1]Weapon!$B$2:$O$353,14,FALSE),0),0)+_xlfn.IFNA(IF(VLOOKUP($S7,[1]Weapon!$B$2:$O$353,13,FALSE)="Mana",VLOOKUP($S7,[1]Weapon!$B$2:$O$353,14,FALSE),0),0)+_xlfn.IFNA(IF(VLOOKUP($V7,[1]Weapon!$B$2:$O$353,13,FALSE)="Mana",VLOOKUP($V7,[1]Weapon!$B$2:$O$353,14,FALSE),0),0)+_xlfn.IFNA(IF(VLOOKUP($Y7,[1]Weapon!$B$2:$O$353,13,FALSE)="Mana",VLOOKUP($Y7,[1]Weapon!$B$2:$O$353,14,FALSE),0),0)+_xlfn.IFNA(IF(VLOOKUP($AB7,[1]Weapon!$B$2:$O$353,13,FALSE)="Mana",VLOOKUP($AB7,[1]Weapon!$B$2:$O$353,14,FALSE),0),0)+_xlfn.IFNA(IF(VLOOKUP($AE7,[1]Weapon!$B$2:$O$353,13,FALSE)="Mana",VLOOKUP($AE7,[1]Weapon!$B$2:$O$353,14,FALSE),0),0)+_xlfn.IFNA(IF(VLOOKUP($AH7,[1]Weapon!$B$2:$O$353,13,FALSE)="Mana",VLOOKUP($AH7,[1]Weapon!$B$2:$O$353,14,FALSE),0),0)+_xlfn.IFNA(IF(VLOOKUP($AK7,[1]Weapon!$B$2:$O$353,13,FALSE)="Mana",VLOOKUP($AK7,[1]Weapon!$B$2:$O$353,14,FALSE),0),0)</f>
        <v>0</v>
      </c>
      <c r="P7" s="35" t="s">
        <v>100</v>
      </c>
      <c r="Q7">
        <v>-1</v>
      </c>
      <c r="R7" s="5">
        <f>_xlfn.IFNA(IF($E7="Robot",VLOOKUP(P7,[1]Weapon!$B$1:$G$355,6,FALSE)/2,VLOOKUP(P7,[1]Weapon!$B$1:$G$355,6,FALSE)),0)</f>
        <v>-1</v>
      </c>
      <c r="S7" s="98" t="s">
        <v>169</v>
      </c>
      <c r="T7">
        <v>18</v>
      </c>
      <c r="U7" s="5">
        <f>_xlfn.IFNA(IF($E7="Robot",VLOOKUP(S7,[1]Weapon!$B$1:$G$355,6,FALSE)/2,VLOOKUP(S7,[1]Weapon!$B$1:$G$355,6,FALSE)),0)</f>
        <v>25</v>
      </c>
      <c r="V7" s="98" t="s">
        <v>170</v>
      </c>
      <c r="W7">
        <v>4</v>
      </c>
      <c r="X7" s="5">
        <f>_xlfn.IFNA(IF($E7="Robot",ROUNDDOWN(VLOOKUP(V7,[1]Weapon!$B$1:$G$355,6,FALSE)/2,0),VLOOKUP(V7,[1]Weapon!$B$1:$G$355,6,FALSE)),0)</f>
        <v>7</v>
      </c>
      <c r="Y7" s="98" t="s">
        <v>154</v>
      </c>
      <c r="Z7">
        <v>25</v>
      </c>
      <c r="AA7" s="5">
        <f>_xlfn.IFNA(IF($E7="Robot",VLOOKUP(Y7,[1]Weapon!$B$1:$G$355,6,FALSE)/2,VLOOKUP(Y7,[1]Weapon!$B$1:$G$355,6,FALSE)),0)</f>
        <v>25</v>
      </c>
      <c r="AB7" s="137" t="s">
        <v>207</v>
      </c>
      <c r="AC7">
        <v>-1</v>
      </c>
      <c r="AD7" s="5">
        <f>_xlfn.IFNA(IF($E7="Robot",VLOOKUP(AB7,[1]Weapon!$B$1:$G$355,6,FALSE)/2,VLOOKUP(AB7,[1]Weapon!$B$1:$G$355,6,FALSE)),0)</f>
        <v>-1</v>
      </c>
      <c r="AE7" s="137" t="s">
        <v>213</v>
      </c>
      <c r="AF7">
        <v>-1</v>
      </c>
      <c r="AG7" s="5">
        <f>_xlfn.IFNA(IF($E7="Robot",VLOOKUP(AE7,[1]Weapon!$B$1:$G$355,6,FALSE)/2,VLOOKUP(AE7,[1]Weapon!$B$1:$G$355,6,FALSE)),0)</f>
        <v>-1</v>
      </c>
      <c r="AH7" s="137" t="s">
        <v>206</v>
      </c>
      <c r="AI7">
        <v>23</v>
      </c>
      <c r="AJ7" s="5">
        <f>_xlfn.IFNA(IF($E7="Robot",VLOOKUP(AH7,[1]Weapon!$B$1:$G$355,6,FALSE)/2,VLOOKUP(AH7,[1]Weapon!$B$1:$G$355,6,FALSE)),0)</f>
        <v>25</v>
      </c>
      <c r="AK7" s="91" t="s">
        <v>153</v>
      </c>
      <c r="AL7">
        <v>9</v>
      </c>
      <c r="AM7" s="5">
        <f>_xlfn.IFNA(IF($E7="Robot",VLOOKUP(AK7,[1]Weapon!$B$1:$G$355,6,FALSE)/2,VLOOKUP(AK7,[1]Weapon!$B$1:$G$355,6,FALSE)),0)</f>
        <v>10</v>
      </c>
      <c r="AN7" s="98" t="s">
        <v>175</v>
      </c>
      <c r="AO7">
        <v>-2</v>
      </c>
      <c r="AP7" s="5">
        <f>IF(ISTEXT(AN7),_xlfn.IFNA(VLOOKUP(LEFT(AN7,FIND("-",AN7)-1),[1]Weapon!$B$1:$G$355,6,FALSE),0),0)</f>
        <v>-2</v>
      </c>
      <c r="AQ7" s="3"/>
      <c r="AR7" s="136" t="s">
        <v>295</v>
      </c>
      <c r="AS7">
        <v>8280</v>
      </c>
      <c r="AT7" t="s">
        <v>181</v>
      </c>
    </row>
    <row r="8" spans="1:47" hidden="1" x14ac:dyDescent="0.25">
      <c r="A8" s="56" t="str">
        <f t="shared" si="0"/>
        <v>Saffron</v>
      </c>
      <c r="B8" s="86" t="s">
        <v>101</v>
      </c>
      <c r="C8" s="135"/>
      <c r="D8" s="34" t="s">
        <v>102</v>
      </c>
      <c r="E8" s="81" t="s">
        <v>57</v>
      </c>
      <c r="F8">
        <v>117</v>
      </c>
      <c r="G8">
        <v>172</v>
      </c>
      <c r="H8">
        <v>17</v>
      </c>
      <c r="I8" s="4">
        <f t="shared" si="1"/>
        <v>17</v>
      </c>
      <c r="J8">
        <v>0</v>
      </c>
      <c r="K8" s="4">
        <f>J8+_xlfn.IFNA(VLOOKUP($P8,[1]Weapon!$A$1:$M$353,9,FALSE),0)+_xlfn.IFNA(VLOOKUP($S8,[1]Weapon!$A$1:$M$353,9,FALSE),0)+_xlfn.IFNA(VLOOKUP($V8,[1]Weapon!$A$1:$M$353,9,FALSE),0)+_xlfn.IFNA(VLOOKUP($Y8,[1]Weapon!$A$1:$M$353,9,FALSE),0)+_xlfn.IFNA(VLOOKUP($AB8,[1]Weapon!$A$1:$M$353,9,FALSE),0)+_xlfn.IFNA(VLOOKUP($AE8,[1]Weapon!$A$1:$M$353,9,FALSE),0)+_xlfn.IFNA(VLOOKUP($AH8,[1]Weapon!$A$1:$M$353,9,FALSE),0)+_xlfn.IFNA(VLOOKUP($AK8,[1]Weapon!$A$1:$M$353,9,FALSE),0)</f>
        <v>8</v>
      </c>
      <c r="L8">
        <v>10</v>
      </c>
      <c r="M8" s="4">
        <f>L8</f>
        <v>10</v>
      </c>
      <c r="N8">
        <v>6</v>
      </c>
      <c r="O8" s="2">
        <f t="shared" ref="O8:O15" si="2">N8</f>
        <v>6</v>
      </c>
      <c r="P8" s="137" t="s">
        <v>177</v>
      </c>
      <c r="Q8">
        <v>33</v>
      </c>
      <c r="R8" s="5">
        <f>_xlfn.IFNA(IF($E8="Robot",VLOOKUP(P8,[1]Weapon!$B$1:$G$355,6,FALSE)/2,VLOOKUP(P8,[1]Weapon!$B$1:$G$355,6,FALSE)),0)</f>
        <v>50</v>
      </c>
      <c r="S8" s="35" t="s">
        <v>93</v>
      </c>
      <c r="T8">
        <v>-1</v>
      </c>
      <c r="U8" s="5">
        <f>_xlfn.IFNA(IF($E8="Robot",VLOOKUP(S8,[1]Weapon!$B$1:$G$355,6,FALSE)/2,VLOOKUP(S8,[1]Weapon!$B$1:$G$355,6,FALSE)),0)</f>
        <v>-2</v>
      </c>
      <c r="V8" s="137" t="s">
        <v>224</v>
      </c>
      <c r="W8">
        <v>-2</v>
      </c>
      <c r="X8" s="5">
        <f>_xlfn.IFNA(IF($E8="Robot",VLOOKUP(V8,[1]Weapon!$B$1:$G$355,6,FALSE)/2,VLOOKUP(V8,[1]Weapon!$B$1:$G$355,6,FALSE)),0)</f>
        <v>-2</v>
      </c>
      <c r="Y8" s="137" t="s">
        <v>146</v>
      </c>
      <c r="Z8">
        <v>-1</v>
      </c>
      <c r="AA8" s="5">
        <f>_xlfn.IFNA(IF($E8="Robot",VLOOKUP(Y8,[1]Weapon!$B$1:$G$355,6,FALSE)/2,VLOOKUP(Y8,[1]Weapon!$B$1:$G$355,6,FALSE)),0)</f>
        <v>-2</v>
      </c>
      <c r="AB8" s="137" t="s">
        <v>111</v>
      </c>
      <c r="AC8">
        <v>27</v>
      </c>
      <c r="AD8" s="5">
        <f>_xlfn.IFNA(IF($E8="Robot",VLOOKUP(AB8,[1]Weapon!$B$1:$G$355,6,FALSE)/2,VLOOKUP(AB8,[1]Weapon!$B$1:$G$355,6,FALSE)),0)</f>
        <v>40</v>
      </c>
      <c r="AE8" s="137" t="s">
        <v>188</v>
      </c>
      <c r="AF8">
        <v>4</v>
      </c>
      <c r="AG8" s="5">
        <f>_xlfn.IFNA(IF($E8="Robot",VLOOKUP(AE8,[1]Weapon!$B$1:$G$355,6,FALSE)/2,VLOOKUP(AE8,[1]Weapon!$B$1:$G$355,6,FALSE)),0)</f>
        <v>4</v>
      </c>
      <c r="AH8" s="137" t="s">
        <v>97</v>
      </c>
      <c r="AI8">
        <v>26</v>
      </c>
      <c r="AJ8" s="5">
        <f>_xlfn.IFNA(IF($E8="Robot",VLOOKUP(AH8,[1]Weapon!$B$1:$G$355,6,FALSE)/2,VLOOKUP(AH8,[1]Weapon!$B$1:$G$355,6,FALSE)),0)</f>
        <v>30</v>
      </c>
      <c r="AK8" s="137"/>
      <c r="AL8">
        <v>0</v>
      </c>
      <c r="AM8" s="5">
        <f>_xlfn.IFNA(IF($E8="Robot",VLOOKUP(AK8,[1]Weapon!$B$1:$G$355,6,FALSE)/2,VLOOKUP(AK8,[1]Weapon!$B$1:$G$355,6,FALSE)),0)</f>
        <v>0</v>
      </c>
      <c r="AO8">
        <v>0</v>
      </c>
      <c r="AP8" s="5">
        <f>IF(ISTEXT(AN8),_xlfn.IFNA(VLOOKUP(LEFT(AN8,FIND("-",AN8)-1),[1]Weapon!$B$1:$G$355,6,FALSE),0),0)</f>
        <v>0</v>
      </c>
      <c r="AQ8" s="3"/>
      <c r="AR8" s="136" t="s">
        <v>236</v>
      </c>
      <c r="AS8">
        <v>3444</v>
      </c>
      <c r="AT8" t="s">
        <v>181</v>
      </c>
      <c r="AU8" s="136" t="s">
        <v>219</v>
      </c>
    </row>
    <row r="9" spans="1:47" hidden="1" x14ac:dyDescent="0.25">
      <c r="A9" s="56" t="str">
        <f t="shared" si="0"/>
        <v>Elishar</v>
      </c>
      <c r="B9" s="60" t="s">
        <v>103</v>
      </c>
      <c r="C9" s="135"/>
      <c r="D9" s="34" t="s">
        <v>104</v>
      </c>
      <c r="E9" s="81" t="s">
        <v>57</v>
      </c>
      <c r="F9">
        <v>121</v>
      </c>
      <c r="G9">
        <v>121</v>
      </c>
      <c r="H9">
        <v>9</v>
      </c>
      <c r="I9" s="4">
        <f t="shared" si="1"/>
        <v>9</v>
      </c>
      <c r="J9">
        <v>0</v>
      </c>
      <c r="K9" s="4">
        <f>J9+_xlfn.IFNA(VLOOKUP($P9,[1]Weapon!$A$1:$M$353,9,FALSE),0)+_xlfn.IFNA(VLOOKUP($S9,[1]Weapon!$A$1:$M$353,9,FALSE),0)+_xlfn.IFNA(VLOOKUP($V9,[1]Weapon!$A$1:$M$353,9,FALSE),0)+_xlfn.IFNA(VLOOKUP($Y9,[1]Weapon!$A$1:$M$353,9,FALSE),0)+_xlfn.IFNA(VLOOKUP($AB9,[1]Weapon!$A$1:$M$353,9,FALSE),0)+_xlfn.IFNA(VLOOKUP($AE9,[1]Weapon!$A$1:$M$353,9,FALSE),0)+_xlfn.IFNA(VLOOKUP($AH9,[1]Weapon!$A$1:$M$353,9,FALSE),0)+_xlfn.IFNA(VLOOKUP($AK9,[1]Weapon!$A$1:$M$353,9,FALSE),0)</f>
        <v>8</v>
      </c>
      <c r="L9">
        <v>8</v>
      </c>
      <c r="M9" s="4">
        <f>L9</f>
        <v>8</v>
      </c>
      <c r="N9">
        <v>10</v>
      </c>
      <c r="O9" s="2">
        <f t="shared" si="2"/>
        <v>10</v>
      </c>
      <c r="P9" s="35" t="s">
        <v>97</v>
      </c>
      <c r="Q9">
        <v>25</v>
      </c>
      <c r="R9" s="5">
        <f>_xlfn.IFNA(IF($E9="Robot",VLOOKUP(P9,[1]Weapon!$B$1:$G$355,6,FALSE)/2,VLOOKUP(P9,[1]Weapon!$B$1:$G$355,6,FALSE)),0)</f>
        <v>30</v>
      </c>
      <c r="S9" s="98" t="s">
        <v>116</v>
      </c>
      <c r="T9">
        <v>34</v>
      </c>
      <c r="U9" s="5">
        <f>_xlfn.IFNA(IF($E9="Robot",VLOOKUP(S9,[1]Weapon!$B$1:$G$355,6,FALSE)/2,VLOOKUP(S9,[1]Weapon!$B$1:$G$355,6,FALSE)),0)</f>
        <v>70</v>
      </c>
      <c r="V9" s="62" t="s">
        <v>116</v>
      </c>
      <c r="W9">
        <v>60</v>
      </c>
      <c r="X9" s="5">
        <f>_xlfn.IFNA(IF($E9="Robot",VLOOKUP(V9,[1]Weapon!$B$1:$G$355,6,FALSE)/2,VLOOKUP(V9,[1]Weapon!$B$1:$G$355,6,FALSE)),0)</f>
        <v>70</v>
      </c>
      <c r="Y9" s="137" t="s">
        <v>166</v>
      </c>
      <c r="Z9">
        <v>-1</v>
      </c>
      <c r="AA9" s="5">
        <f>_xlfn.IFNA(IF($E9="Robot",VLOOKUP(Y9,[1]Weapon!$B$1:$G$355,6,FALSE)/2,VLOOKUP(Y9,[1]Weapon!$B$1:$G$355,6,FALSE)),0)</f>
        <v>-2</v>
      </c>
      <c r="AB9" s="65" t="s">
        <v>146</v>
      </c>
      <c r="AC9">
        <v>-1</v>
      </c>
      <c r="AD9" s="5">
        <f>_xlfn.IFNA(IF($E9="Robot",VLOOKUP(AB9,[1]Weapon!$B$1:$G$355,6,FALSE)/2,VLOOKUP(AB9,[1]Weapon!$B$1:$G$355,6,FALSE)),0)</f>
        <v>-2</v>
      </c>
      <c r="AE9" s="98" t="s">
        <v>93</v>
      </c>
      <c r="AF9">
        <v>-1</v>
      </c>
      <c r="AG9" s="5">
        <f>_xlfn.IFNA(IF($E9="Robot",VLOOKUP(AE9,[1]Weapon!$B$1:$G$355,6,FALSE)/2,VLOOKUP(AE9,[1]Weapon!$B$1:$G$355,6,FALSE)),0)</f>
        <v>-2</v>
      </c>
      <c r="AH9" s="137" t="s">
        <v>204</v>
      </c>
      <c r="AI9">
        <v>56</v>
      </c>
      <c r="AJ9" s="5">
        <f>_xlfn.IFNA(IF($E9="Robot",VLOOKUP(AH9,[1]Weapon!$B$1:$G$355,6,FALSE)/2,VLOOKUP(AH9,[1]Weapon!$B$1:$G$355,6,FALSE)),0)</f>
        <v>60</v>
      </c>
      <c r="AK9" s="74"/>
      <c r="AL9">
        <v>0</v>
      </c>
      <c r="AM9" s="5">
        <f>_xlfn.IFNA(IF($E9="Robot",VLOOKUP(AK9,[1]Weapon!$B$1:$G$355,6,FALSE)/2,VLOOKUP(AK9,[1]Weapon!$B$1:$G$355,6,FALSE)),0)</f>
        <v>0</v>
      </c>
      <c r="AO9">
        <v>0</v>
      </c>
      <c r="AP9" s="5">
        <f>IF(ISTEXT(AN9),_xlfn.IFNA(VLOOKUP(LEFT(AN9,FIND("-",AN9)-1),[1]Weapon!$B$1:$G$355,6,FALSE),0),0)</f>
        <v>0</v>
      </c>
      <c r="AQ9" s="3"/>
      <c r="AR9" s="136" t="s">
        <v>209</v>
      </c>
      <c r="AS9">
        <v>1664</v>
      </c>
      <c r="AT9" t="s">
        <v>181</v>
      </c>
    </row>
    <row r="10" spans="1:47" x14ac:dyDescent="0.25">
      <c r="A10" s="56" t="str">
        <f t="shared" si="0"/>
        <v>Malli</v>
      </c>
      <c r="B10" s="86" t="s">
        <v>105</v>
      </c>
      <c r="C10" s="135"/>
      <c r="D10" s="34" t="s">
        <v>106</v>
      </c>
      <c r="E10" s="79" t="s">
        <v>88</v>
      </c>
      <c r="F10">
        <v>165</v>
      </c>
      <c r="G10">
        <v>165</v>
      </c>
      <c r="H10">
        <v>10</v>
      </c>
      <c r="I10" s="4">
        <f t="shared" si="1"/>
        <v>10</v>
      </c>
      <c r="J10">
        <v>0</v>
      </c>
      <c r="K10" s="4">
        <f>J10+_xlfn.IFNA(VLOOKUP($P10,[1]Weapon!$A$1:$M$353,9,FALSE),0)+_xlfn.IFNA(VLOOKUP($S10,[1]Weapon!$A$1:$M$353,9,FALSE),0)+_xlfn.IFNA(VLOOKUP($V10,[1]Weapon!$A$1:$M$353,9,FALSE),0)+_xlfn.IFNA(VLOOKUP($Y10,[1]Weapon!$A$1:$M$353,9,FALSE),0)+_xlfn.IFNA(VLOOKUP($AB10,[1]Weapon!$A$1:$M$353,9,FALSE),0)+_xlfn.IFNA(VLOOKUP($AE10,[1]Weapon!$A$1:$M$353,9,FALSE),0)+_xlfn.IFNA(VLOOKUP($AH10,[1]Weapon!$A$1:$M$353,9,FALSE),0)+_xlfn.IFNA(VLOOKUP($AK10,[1]Weapon!$A$1:$M$353,9,FALSE),0)</f>
        <v>11</v>
      </c>
      <c r="L10">
        <v>10</v>
      </c>
      <c r="M10" s="4">
        <f>L10</f>
        <v>10</v>
      </c>
      <c r="N10">
        <v>15</v>
      </c>
      <c r="O10" s="2">
        <f t="shared" si="2"/>
        <v>15</v>
      </c>
      <c r="P10" s="71" t="s">
        <v>86</v>
      </c>
      <c r="Q10">
        <v>4</v>
      </c>
      <c r="R10" s="5">
        <f>_xlfn.IFNA(IF($E10="Robot",VLOOKUP(P10,[1]Weapon!$B$1:$G$355,6,FALSE)/2,VLOOKUP(P10,[1]Weapon!$B$1:$G$355,6,FALSE)),0)</f>
        <v>15</v>
      </c>
      <c r="S10" s="72" t="s">
        <v>136</v>
      </c>
      <c r="T10">
        <v>-2</v>
      </c>
      <c r="U10" s="5">
        <f>_xlfn.IFNA(IF($E10="Robot",VLOOKUP(S10,[1]Weapon!$B$1:$G$355,6,FALSE)/2,VLOOKUP(S10,[1]Weapon!$B$1:$G$355,6,FALSE)),0)</f>
        <v>-2</v>
      </c>
      <c r="V10" s="142" t="s">
        <v>156</v>
      </c>
      <c r="W10">
        <v>8</v>
      </c>
      <c r="X10" s="5">
        <f>_xlfn.IFNA(IF($E10="Robot",VLOOKUP(V10,[1]Weapon!$B$1:$G$355,6,FALSE)/2,VLOOKUP(V10,[1]Weapon!$B$1:$G$355,6,FALSE)),0)</f>
        <v>15</v>
      </c>
      <c r="Y10" s="99" t="s">
        <v>187</v>
      </c>
      <c r="Z10">
        <v>-2</v>
      </c>
      <c r="AA10" s="5">
        <f>_xlfn.IFNA(IF($E10="Robot",VLOOKUP(Y10,[1]Weapon!$B$1:$G$355,6,FALSE)/2,VLOOKUP(Y10,[1]Weapon!$B$1:$G$355,6,FALSE)),0)</f>
        <v>-2</v>
      </c>
      <c r="AB10" s="137" t="s">
        <v>171</v>
      </c>
      <c r="AC10">
        <v>11</v>
      </c>
      <c r="AD10" s="5">
        <f>_xlfn.IFNA(IF($E10="Robot",VLOOKUP(AB10,[1]Weapon!$B$1:$G$355,6,FALSE)/2,VLOOKUP(AB10,[1]Weapon!$B$1:$G$355,6,FALSE)),0)</f>
        <v>50</v>
      </c>
      <c r="AE10" s="35" t="s">
        <v>93</v>
      </c>
      <c r="AF10">
        <v>-1</v>
      </c>
      <c r="AG10" s="5">
        <f>_xlfn.IFNA(IF($E10="Robot",VLOOKUP(AE10,[1]Weapon!$B$1:$G$355,6,FALSE)/2,VLOOKUP(AE10,[1]Weapon!$B$1:$G$355,6,FALSE)),0)</f>
        <v>-2</v>
      </c>
      <c r="AH10" s="137" t="s">
        <v>166</v>
      </c>
      <c r="AI10">
        <v>-1</v>
      </c>
      <c r="AJ10" s="5">
        <f>_xlfn.IFNA(IF($E10="Robot",VLOOKUP(AH10,[1]Weapon!$B$1:$G$355,6,FALSE)/2,VLOOKUP(AH10,[1]Weapon!$B$1:$G$355,6,FALSE)),0)</f>
        <v>-2</v>
      </c>
      <c r="AK10" s="137" t="s">
        <v>192</v>
      </c>
      <c r="AL10">
        <v>-1</v>
      </c>
      <c r="AM10" s="5">
        <f>_xlfn.IFNA(IF($E10="Robot",VLOOKUP(AK10,[1]Weapon!$B$1:$G$355,6,FALSE)/2,VLOOKUP(AK10,[1]Weapon!$B$1:$G$355,6,FALSE)),0)</f>
        <v>-2</v>
      </c>
      <c r="AN10" s="98" t="s">
        <v>176</v>
      </c>
      <c r="AO10">
        <v>-2</v>
      </c>
      <c r="AP10" s="5">
        <f>IF(ISTEXT(AN10),_xlfn.IFNA(VLOOKUP(LEFT(AN10,FIND("-",AN10)-1),[1]Weapon!$B$1:$G$355,6,FALSE),0),0)</f>
        <v>-2</v>
      </c>
      <c r="AQ10" s="3"/>
      <c r="AR10" s="136" t="s">
        <v>229</v>
      </c>
      <c r="AS10">
        <v>4386</v>
      </c>
      <c r="AT10" t="s">
        <v>181</v>
      </c>
    </row>
    <row r="11" spans="1:47" x14ac:dyDescent="0.25">
      <c r="A11" s="56" t="str">
        <f t="shared" si="0"/>
        <v>Jaelyn</v>
      </c>
      <c r="B11" s="86" t="s">
        <v>71</v>
      </c>
      <c r="C11" s="135"/>
      <c r="D11" s="34" t="s">
        <v>107</v>
      </c>
      <c r="E11" s="79" t="s">
        <v>88</v>
      </c>
      <c r="F11">
        <v>157</v>
      </c>
      <c r="G11">
        <v>157</v>
      </c>
      <c r="H11">
        <v>8</v>
      </c>
      <c r="I11" s="4">
        <f t="shared" si="1"/>
        <v>8</v>
      </c>
      <c r="J11">
        <v>0</v>
      </c>
      <c r="K11" s="4">
        <f>J11+_xlfn.IFNA(VLOOKUP($P11,[1]Weapon!$A$1:$M$353,9,FALSE),0)+_xlfn.IFNA(VLOOKUP($S11,[1]Weapon!$A$1:$M$353,9,FALSE),0)+_xlfn.IFNA(VLOOKUP($V11,[1]Weapon!$A$1:$M$353,9,FALSE),0)+_xlfn.IFNA(VLOOKUP($Y11,[1]Weapon!$A$1:$M$353,9,FALSE),0)+_xlfn.IFNA(VLOOKUP($AB11,[1]Weapon!$A$1:$M$353,9,FALSE),0)+_xlfn.IFNA(VLOOKUP($AE11,[1]Weapon!$A$1:$M$353,9,FALSE),0)+_xlfn.IFNA(VLOOKUP($AH11,[1]Weapon!$A$1:$M$353,9,FALSE),0)+_xlfn.IFNA(VLOOKUP($AK11,[1]Weapon!$A$1:$M$353,9,FALSE),0)</f>
        <v>6</v>
      </c>
      <c r="L11">
        <v>9</v>
      </c>
      <c r="M11" s="38">
        <f>L11+1</f>
        <v>10</v>
      </c>
      <c r="N11">
        <v>19</v>
      </c>
      <c r="O11" s="2">
        <f t="shared" si="2"/>
        <v>19</v>
      </c>
      <c r="P11" s="71" t="s">
        <v>85</v>
      </c>
      <c r="Q11">
        <v>15</v>
      </c>
      <c r="R11" s="5">
        <f>_xlfn.IFNA(IF($E11="Robot",VLOOKUP(P11,[1]Weapon!$B$1:$G$355,6,FALSE)/2,VLOOKUP(P11,[1]Weapon!$B$1:$G$355,6,FALSE)),0)</f>
        <v>15</v>
      </c>
      <c r="S11" s="142" t="s">
        <v>267</v>
      </c>
      <c r="T11">
        <v>10</v>
      </c>
      <c r="U11" s="5">
        <f>_xlfn.IFNA(IF($E11="Robot",VLOOKUP(S11,[1]Weapon!$B$1:$G$355,6,FALSE)/2,VLOOKUP(S11,[1]Weapon!$B$1:$G$355,6,FALSE)),0)</f>
        <v>10</v>
      </c>
      <c r="V11" s="142" t="s">
        <v>163</v>
      </c>
      <c r="W11">
        <v>11</v>
      </c>
      <c r="X11" s="5">
        <f>_xlfn.IFNA(IF($E11="Robot",VLOOKUP(V11,[1]Weapon!$B$1:$G$355,6,FALSE)/2,VLOOKUP(V11,[1]Weapon!$B$1:$G$355,6,FALSE)),0)</f>
        <v>15</v>
      </c>
      <c r="Y11" s="142" t="s">
        <v>208</v>
      </c>
      <c r="Z11">
        <v>-2</v>
      </c>
      <c r="AA11" s="5">
        <f>_xlfn.IFNA(IF($E11="Robot",VLOOKUP(Y11,[1]Weapon!$B$1:$G$355,6,FALSE)/2,VLOOKUP(Y11,[1]Weapon!$B$1:$G$355,6,FALSE)),0)</f>
        <v>-2</v>
      </c>
      <c r="AB11" s="137"/>
      <c r="AC11">
        <v>0</v>
      </c>
      <c r="AD11" s="5">
        <f>_xlfn.IFNA(IF($E11="Robot",VLOOKUP(AB11,[1]Weapon!$B$1:$G$355,6,FALSE)/2,VLOOKUP(AB11,[1]Weapon!$B$1:$G$355,6,FALSE)),0)</f>
        <v>0</v>
      </c>
      <c r="AE11" s="35" t="s">
        <v>108</v>
      </c>
      <c r="AF11">
        <v>-1</v>
      </c>
      <c r="AG11" s="5">
        <f>_xlfn.IFNA(IF($E11="Robot",VLOOKUP(AE11,[1]Weapon!$B$1:$G$355,6,FALSE)/2,VLOOKUP(AE11,[1]Weapon!$B$1:$G$355,6,FALSE)),0)</f>
        <v>-2</v>
      </c>
      <c r="AH11" s="137"/>
      <c r="AI11">
        <v>0</v>
      </c>
      <c r="AJ11" s="5">
        <f>_xlfn.IFNA(IF($E11="Robot",VLOOKUP(AH11,[1]Weapon!$B$1:$G$355,6,FALSE)/2,VLOOKUP(AH11,[1]Weapon!$B$1:$G$355,6,FALSE)),0)</f>
        <v>0</v>
      </c>
      <c r="AK11" s="98" t="s">
        <v>166</v>
      </c>
      <c r="AL11">
        <v>-1</v>
      </c>
      <c r="AM11" s="5">
        <f>_xlfn.IFNA(IF($E11="Robot",VLOOKUP(AK11,[1]Weapon!$B$1:$G$355,6,FALSE)/2,VLOOKUP(AK11,[1]Weapon!$B$1:$G$355,6,FALSE)),0)</f>
        <v>-2</v>
      </c>
      <c r="AO11">
        <v>0</v>
      </c>
      <c r="AP11" s="5">
        <f>IF(ISTEXT(AN11),_xlfn.IFNA(VLOOKUP(LEFT(AN11,FIND("-",AN11)-1),[1]Weapon!$B$1:$G$355,6,FALSE),0),0)</f>
        <v>0</v>
      </c>
      <c r="AQ11" s="3"/>
      <c r="AR11" s="136" t="s">
        <v>242</v>
      </c>
      <c r="AS11">
        <v>6852</v>
      </c>
      <c r="AT11" t="s">
        <v>181</v>
      </c>
    </row>
    <row r="12" spans="1:47" hidden="1" x14ac:dyDescent="0.25">
      <c r="A12" s="56" t="str">
        <f t="shared" si="0"/>
        <v>DAD-E</v>
      </c>
      <c r="B12" s="60" t="s">
        <v>109</v>
      </c>
      <c r="C12" s="135"/>
      <c r="D12" s="34" t="s">
        <v>110</v>
      </c>
      <c r="E12" s="82" t="s">
        <v>87</v>
      </c>
      <c r="F12">
        <v>224</v>
      </c>
      <c r="G12" s="4">
        <f>24+_xlfn.IFNA(VLOOKUP($P12,[1]Weapon!$A$1:$M$353,12,FALSE),0)+_xlfn.IFNA(VLOOKUP($S12,[1]Weapon!$A$1:$M$353,12,FALSE),0)+_xlfn.IFNA(VLOOKUP($V12,[1]Weapon!$A$1:$M$353,12,FALSE),0)+_xlfn.IFNA(VLOOKUP($Y12,[1]Weapon!$A$1:$M$353,12,FALSE),0)+_xlfn.IFNA(VLOOKUP($AB12,[1]Weapon!$A$1:$M$353,12,FALSE),0)+_xlfn.IFNA(VLOOKUP($AE12,[1]Weapon!$A$1:$M$353,12,FALSE),0)+_xlfn.IFNA(VLOOKUP($AH12,[1]Weapon!$A$1:$M$353,12,FALSE),0)+_xlfn.IFNA(VLOOKUP($AK12,[1]Weapon!$A$1:$M$353,12,FALSE),0)</f>
        <v>240</v>
      </c>
      <c r="H12">
        <v>0</v>
      </c>
      <c r="I12" s="38">
        <f>H12+_xlfn.IFNA(IF(VLOOKUP($P12,[1]Weapon!$B$2:$O$353,13,FALSE)="Str",VLOOKUP($P12,[1]Weapon!$B$2:$O$353,14,FALSE),0),0)+_xlfn.IFNA(IF(VLOOKUP($S12,[1]Weapon!$B$2:$O$353,13,FALSE)="Str",VLOOKUP($S12,[1]Weapon!$B$2:$O$353,14,FALSE),0),0)+_xlfn.IFNA(IF(VLOOKUP($V12,[1]Weapon!$B$2:$O$353,13,FALSE)="Str",VLOOKUP($V12,[1]Weapon!$B$2:$O$353,14,FALSE),0),0)+_xlfn.IFNA(IF(VLOOKUP($Y12,[1]Weapon!$B$2:$O$353,13,FALSE)="Str",VLOOKUP($Y12,[1]Weapon!$B$2:$O$353,14,FALSE),0),0)+_xlfn.IFNA(IF(VLOOKUP($AB12,[1]Weapon!$B$2:$O$353,13,FALSE)="Str",VLOOKUP($AB12,[1]Weapon!$B$2:$O$353,14,FALSE),0),0)+_xlfn.IFNA(IF(VLOOKUP($AE12,[1]Weapon!$B$2:$O$353,13,FALSE)="Str",VLOOKUP($AE12,[1]Weapon!$B$2:$O$353,14,FALSE),0),0)+_xlfn.IFNA(IF(VLOOKUP($AH12,[1]Weapon!$B$2:$O$353,13,FALSE)="Str",VLOOKUP($AH12,[1]Weapon!$B$2:$O$353,14,FALSE),0),0)+_xlfn.IFNA(IF(VLOOKUP($AK12,[1]Weapon!$B$2:$O$353,13,FALSE)="Str",VLOOKUP($AK12,[1]Weapon!$B$2:$O$353,14,FALSE),0),0)</f>
        <v>12</v>
      </c>
      <c r="J12">
        <v>6</v>
      </c>
      <c r="K12" s="4">
        <f>J12+_xlfn.IFNA(IF(VLOOKUP($P12,[1]Weapon!$B$2:$O$353,13,FALSE)="Def",VLOOKUP($P12,[1]Weapon!$B$2:$O$353,14,FALSE),0),0)+_xlfn.IFNA(IF(VLOOKUP($S12,[1]Weapon!$B$2:$O$353,13,FALSE)="Def",VLOOKUP($S12,[1]Weapon!$B$2:$O$353,14,FALSE),0),0)+_xlfn.IFNA(IF(VLOOKUP($V12,[1]Weapon!$B$2:$O$353,13,FALSE)="Def",VLOOKUP($V12,[1]Weapon!$B$2:$O$353,14,FALSE),0),0)+_xlfn.IFNA(IF(VLOOKUP($Y12,[1]Weapon!$B$2:$O$353,13,FALSE)="Def",VLOOKUP($Y12,[1]Weapon!$B$2:$O$353,14,FALSE),0),0)+_xlfn.IFNA(IF(VLOOKUP($AB12,[1]Weapon!$B$2:$O$353,13,FALSE)="Def",VLOOKUP($AB12,[1]Weapon!$B$2:$O$353,14,FALSE),0),0)+_xlfn.IFNA(IF(VLOOKUP($AE12,[1]Weapon!$B$2:$O$353,13,FALSE)="Def",VLOOKUP($AE12,[1]Weapon!$B$2:$O$353,14,FALSE),0),0)+_xlfn.IFNA(IF(VLOOKUP($AH12,[1]Weapon!$B$2:$O$353,13,FALSE)="Def",VLOOKUP($AH12,[1]Weapon!$B$2:$O$353,14,FALSE),0),0)+_xlfn.IFNA(IF(VLOOKUP($AK12,[1]Weapon!$B$2:$O$353,13,FALSE)="Def",VLOOKUP($AK12,[1]Weapon!$B$2:$O$353,14,FALSE),0),0)</f>
        <v>14</v>
      </c>
      <c r="L12">
        <v>5</v>
      </c>
      <c r="M12" s="4">
        <f>L12+_xlfn.IFNA(IF(VLOOKUP($P12,[1]Weapon!$B$2:$O$353,13,FALSE)="Agl",VLOOKUP($P12,[1]Weapon!$B$2:$O$353,14,FALSE),0),0)+_xlfn.IFNA(IF(VLOOKUP($S12,[1]Weapon!$B$2:$O$353,13,FALSE)="Agl",VLOOKUP($S12,[1]Weapon!$B$2:$O$353,14,FALSE),0),0)+_xlfn.IFNA(IF(VLOOKUP($V12,[1]Weapon!$B$2:$O$353,13,FALSE)="Agl",VLOOKUP($V12,[1]Weapon!$B$2:$O$353,14,FALSE),0),0)+_xlfn.IFNA(IF(VLOOKUP($Y12,[1]Weapon!$B$2:$O$353,13,FALSE)="Agl",VLOOKUP($Y12,[1]Weapon!$B$2:$O$353,14,FALSE),0),0)+_xlfn.IFNA(IF(VLOOKUP($AB12,[1]Weapon!$B$2:$O$353,13,FALSE)="Agl",VLOOKUP($AB12,[1]Weapon!$B$2:$O$353,14,FALSE),0),0)+_xlfn.IFNA(IF(VLOOKUP($AE12,[1]Weapon!$B$2:$O$353,13,FALSE)="Agl",VLOOKUP($AE12,[1]Weapon!$B$2:$O$353,14,FALSE),0),0)+_xlfn.IFNA(IF(VLOOKUP($AH12,[1]Weapon!$B$2:$O$353,13,FALSE)="Agl",VLOOKUP($AH12,[1]Weapon!$B$2:$O$353,14,FALSE),0),0)+_xlfn.IFNA(IF(VLOOKUP($AK12,[1]Weapon!$B$2:$O$353,13,FALSE)="Agl",VLOOKUP($AK12,[1]Weapon!$B$2:$O$353,14,FALSE),0),0)</f>
        <v>9</v>
      </c>
      <c r="N12">
        <v>0</v>
      </c>
      <c r="O12" s="2">
        <f>N12+_xlfn.IFNA(IF(VLOOKUP($P12,[1]Weapon!$B$2:$O$353,13,FALSE)="Mana",VLOOKUP($P12,[1]Weapon!$B$2:$O$353,14,FALSE),0),0)+_xlfn.IFNA(IF(VLOOKUP($S12,[1]Weapon!$B$2:$O$353,13,FALSE)="Mana",VLOOKUP($S12,[1]Weapon!$B$2:$O$353,14,FALSE),0),0)+_xlfn.IFNA(IF(VLOOKUP($V12,[1]Weapon!$B$2:$O$353,13,FALSE)="Mana",VLOOKUP($V12,[1]Weapon!$B$2:$O$353,14,FALSE),0),0)+_xlfn.IFNA(IF(VLOOKUP($Y12,[1]Weapon!$B$2:$O$353,13,FALSE)="Mana",VLOOKUP($Y12,[1]Weapon!$B$2:$O$353,14,FALSE),0),0)+_xlfn.IFNA(IF(VLOOKUP($AB12,[1]Weapon!$B$2:$O$353,13,FALSE)="Mana",VLOOKUP($AB12,[1]Weapon!$B$2:$O$353,14,FALSE),0),0)+_xlfn.IFNA(IF(VLOOKUP($AE12,[1]Weapon!$B$2:$O$353,13,FALSE)="Mana",VLOOKUP($AE12,[1]Weapon!$B$2:$O$353,14,FALSE),0),0)+_xlfn.IFNA(IF(VLOOKUP($AH12,[1]Weapon!$B$2:$O$353,13,FALSE)="Mana",VLOOKUP($AH12,[1]Weapon!$B$2:$O$353,14,FALSE),0),0)+_xlfn.IFNA(IF(VLOOKUP($AK12,[1]Weapon!$B$2:$O$353,13,FALSE)="Mana",VLOOKUP($AK12,[1]Weapon!$B$2:$O$353,14,FALSE),0),0)</f>
        <v>0</v>
      </c>
      <c r="P12" s="35" t="s">
        <v>100</v>
      </c>
      <c r="Q12">
        <v>-1</v>
      </c>
      <c r="R12" s="5">
        <f>_xlfn.IFNA(IF($E12="Robot",VLOOKUP(P12,[1]Weapon!$B$1:$G$355,6,FALSE)/2,VLOOKUP(P12,[1]Weapon!$B$1:$G$355,6,FALSE)),0)</f>
        <v>-1</v>
      </c>
      <c r="S12" s="35" t="s">
        <v>111</v>
      </c>
      <c r="T12">
        <v>18</v>
      </c>
      <c r="U12" s="5">
        <f>_xlfn.IFNA(IF($E12="Robot",VLOOKUP(S12,[1]Weapon!$B$1:$G$355,6,FALSE)/2,VLOOKUP(S12,[1]Weapon!$B$1:$G$355,6,FALSE)),0)</f>
        <v>20</v>
      </c>
      <c r="V12" s="137" t="s">
        <v>211</v>
      </c>
      <c r="W12">
        <v>15</v>
      </c>
      <c r="X12" s="5">
        <f>_xlfn.IFNA(IF($E12="Robot",VLOOKUP(V12,[1]Weapon!$B$1:$G$355,6,FALSE)/2,VLOOKUP(V12,[1]Weapon!$B$1:$G$355,6,FALSE)),0)</f>
        <v>15</v>
      </c>
      <c r="Y12" s="137" t="s">
        <v>160</v>
      </c>
      <c r="Z12">
        <v>22</v>
      </c>
      <c r="AA12" s="5">
        <f>_xlfn.IFNA(IF($E12="Robot",VLOOKUP(Y12,[1]Weapon!$B$1:$G$355,6,FALSE)/2,VLOOKUP(Y12,[1]Weapon!$B$1:$G$355,6,FALSE)),0)</f>
        <v>25</v>
      </c>
      <c r="AB12" s="137" t="s">
        <v>207</v>
      </c>
      <c r="AC12">
        <v>-1</v>
      </c>
      <c r="AD12" s="5">
        <f>_xlfn.IFNA(IF($E12="Robot",VLOOKUP(AB12,[1]Weapon!$B$1:$G$355,6,FALSE)/2,VLOOKUP(AB12,[1]Weapon!$B$1:$G$355,6,FALSE)),0)</f>
        <v>-1</v>
      </c>
      <c r="AE12" s="137" t="s">
        <v>206</v>
      </c>
      <c r="AF12">
        <v>25</v>
      </c>
      <c r="AG12" s="5">
        <f>_xlfn.IFNA(IF($E12="Robot",VLOOKUP(AE12,[1]Weapon!$B$1:$G$355,6,FALSE)/2,VLOOKUP(AE12,[1]Weapon!$B$1:$G$355,6,FALSE)),0)</f>
        <v>25</v>
      </c>
      <c r="AH12" s="137" t="s">
        <v>169</v>
      </c>
      <c r="AI12">
        <v>25</v>
      </c>
      <c r="AJ12" s="5">
        <f>_xlfn.IFNA(IF($E12="Robot",VLOOKUP(AH12,[1]Weapon!$B$1:$G$355,6,FALSE)/2,VLOOKUP(AH12,[1]Weapon!$B$1:$G$355,6,FALSE)),0)</f>
        <v>25</v>
      </c>
      <c r="AK12" s="98" t="s">
        <v>168</v>
      </c>
      <c r="AL12">
        <v>10</v>
      </c>
      <c r="AM12" s="5">
        <f>_xlfn.IFNA(IF($E12="Robot",VLOOKUP(AK12,[1]Weapon!$B$1:$G$355,6,FALSE)/2,VLOOKUP(AK12,[1]Weapon!$B$1:$G$355,6,FALSE)),0)</f>
        <v>10</v>
      </c>
      <c r="AO12">
        <v>-2</v>
      </c>
      <c r="AP12" s="5">
        <f>IF(ISTEXT(AN3),_xlfn.IFNA(VLOOKUP(LEFT(AN3,FIND("-",AN3)-1),[1]Weapon!$B$1:$G$355,6,FALSE),0),0)</f>
        <v>-2</v>
      </c>
      <c r="AQ12" s="139"/>
      <c r="AR12" s="136" t="s">
        <v>232</v>
      </c>
      <c r="AS12">
        <v>1931</v>
      </c>
      <c r="AT12" t="s">
        <v>181</v>
      </c>
    </row>
    <row r="13" spans="1:47" x14ac:dyDescent="0.25">
      <c r="A13" s="56" t="str">
        <f t="shared" ref="A13:A23" si="3">B13</f>
        <v>Tankbot</v>
      </c>
      <c r="B13" s="34" t="s">
        <v>112</v>
      </c>
      <c r="C13" s="135"/>
      <c r="D13" s="34" t="s">
        <v>113</v>
      </c>
      <c r="E13" s="82" t="s">
        <v>87</v>
      </c>
      <c r="F13">
        <v>204</v>
      </c>
      <c r="G13" s="4">
        <f>24+_xlfn.IFNA(VLOOKUP($P13,[1]Weapon!$A$1:$M$353,12,FALSE),0)+_xlfn.IFNA(VLOOKUP($S13,[1]Weapon!$A$1:$M$353,12,FALSE),0)+_xlfn.IFNA(VLOOKUP($V13,[1]Weapon!$A$1:$M$353,12,FALSE),0)+_xlfn.IFNA(VLOOKUP($Y13,[1]Weapon!$A$1:$M$353,12,FALSE),0)+_xlfn.IFNA(VLOOKUP($AB13,[1]Weapon!$A$1:$M$353,12,FALSE),0)+_xlfn.IFNA(VLOOKUP($AE13,[1]Weapon!$A$1:$M$353,12,FALSE),0)+_xlfn.IFNA(VLOOKUP($AH13,[1]Weapon!$A$1:$M$353,12,FALSE),0)+_xlfn.IFNA(VLOOKUP($AK13,[1]Weapon!$A$1:$M$353,12,FALSE),0)</f>
        <v>204</v>
      </c>
      <c r="H13">
        <v>0</v>
      </c>
      <c r="I13" s="38">
        <f>H13+_xlfn.IFNA(IF(VLOOKUP($P13,[1]Weapon!$B$2:$O$353,13,FALSE)="Str",VLOOKUP($P13,[1]Weapon!$B$2:$O$353,14,FALSE),0),0)+_xlfn.IFNA(IF(VLOOKUP($S13,[1]Weapon!$B$2:$O$353,13,FALSE)="Str",VLOOKUP($S13,[1]Weapon!$B$2:$O$353,14,FALSE),0),0)+_xlfn.IFNA(IF(VLOOKUP($V13,[1]Weapon!$B$2:$O$353,13,FALSE)="Str",VLOOKUP($V13,[1]Weapon!$B$2:$O$353,14,FALSE),0),0)+_xlfn.IFNA(IF(VLOOKUP($Y13,[1]Weapon!$B$2:$O$353,13,FALSE)="Str",VLOOKUP($Y13,[1]Weapon!$B$2:$O$353,14,FALSE),0),0)+_xlfn.IFNA(IF(VLOOKUP($AB13,[1]Weapon!$B$2:$O$353,13,FALSE)="Str",VLOOKUP($AB13,[1]Weapon!$B$2:$O$353,14,FALSE),0),0)+_xlfn.IFNA(IF(VLOOKUP($AE13,[1]Weapon!$B$2:$O$353,13,FALSE)="Str",VLOOKUP($AE13,[1]Weapon!$B$2:$O$353,14,FALSE),0),0)+_xlfn.IFNA(IF(VLOOKUP($AH13,[1]Weapon!$B$2:$O$353,13,FALSE)="Str",VLOOKUP($AH13,[1]Weapon!$B$2:$O$353,14,FALSE),0),0)+_xlfn.IFNA(IF(VLOOKUP($AK13,[1]Weapon!$B$2:$O$353,13,FALSE)="Str",VLOOKUP($AK13,[1]Weapon!$B$2:$O$353,14,FALSE),0),0)</f>
        <v>6</v>
      </c>
      <c r="J13">
        <v>6</v>
      </c>
      <c r="K13" s="4">
        <f>J13+_xlfn.IFNA(IF(VLOOKUP($P13,[1]Weapon!$B$2:$O$353,13,FALSE)="Def",VLOOKUP($P13,[1]Weapon!$B$2:$O$353,14,FALSE),0),0)+_xlfn.IFNA(IF(VLOOKUP($S13,[1]Weapon!$B$2:$O$353,13,FALSE)="Def",VLOOKUP($S13,[1]Weapon!$B$2:$O$353,14,FALSE),0),0)+_xlfn.IFNA(IF(VLOOKUP($V13,[1]Weapon!$B$2:$O$353,13,FALSE)="Def",VLOOKUP($V13,[1]Weapon!$B$2:$O$353,14,FALSE),0),0)+_xlfn.IFNA(IF(VLOOKUP($Y13,[1]Weapon!$B$2:$O$353,13,FALSE)="Def",VLOOKUP($Y13,[1]Weapon!$B$2:$O$353,14,FALSE),0),0)+_xlfn.IFNA(IF(VLOOKUP($AB13,[1]Weapon!$B$2:$O$353,13,FALSE)="Def",VLOOKUP($AB13,[1]Weapon!$B$2:$O$353,14,FALSE),0),0)+_xlfn.IFNA(IF(VLOOKUP($AE13,[1]Weapon!$B$2:$O$353,13,FALSE)="Def",VLOOKUP($AE13,[1]Weapon!$B$2:$O$353,14,FALSE),0),0)+_xlfn.IFNA(IF(VLOOKUP($AH13,[1]Weapon!$B$2:$O$353,13,FALSE)="Def",VLOOKUP($AH13,[1]Weapon!$B$2:$O$353,14,FALSE),0),0)+_xlfn.IFNA(IF(VLOOKUP($AK13,[1]Weapon!$B$2:$O$353,13,FALSE)="Def",VLOOKUP($AK13,[1]Weapon!$B$2:$O$353,14,FALSE),0),0)</f>
        <v>16</v>
      </c>
      <c r="L13">
        <v>5</v>
      </c>
      <c r="M13" s="4">
        <f>L13+_xlfn.IFNA(IF(VLOOKUP($P13,[1]Weapon!$B$2:$O$353,13,FALSE)="Agl",VLOOKUP($P13,[1]Weapon!$B$2:$O$353,14,FALSE),0),0)+_xlfn.IFNA(IF(VLOOKUP($S13,[1]Weapon!$B$2:$O$353,13,FALSE)="Agl",VLOOKUP($S13,[1]Weapon!$B$2:$O$353,14,FALSE),0),0)+_xlfn.IFNA(IF(VLOOKUP($V13,[1]Weapon!$B$2:$O$353,13,FALSE)="Agl",VLOOKUP($V13,[1]Weapon!$B$2:$O$353,14,FALSE),0),0)+_xlfn.IFNA(IF(VLOOKUP($Y13,[1]Weapon!$B$2:$O$353,13,FALSE)="Agl",VLOOKUP($Y13,[1]Weapon!$B$2:$O$353,14,FALSE),0),0)+_xlfn.IFNA(IF(VLOOKUP($AB13,[1]Weapon!$B$2:$O$353,13,FALSE)="Agl",VLOOKUP($AB13,[1]Weapon!$B$2:$O$353,14,FALSE),0),0)+_xlfn.IFNA(IF(VLOOKUP($AE13,[1]Weapon!$B$2:$O$353,13,FALSE)="Agl",VLOOKUP($AE13,[1]Weapon!$B$2:$O$353,14,FALSE),0),0)+_xlfn.IFNA(IF(VLOOKUP($AH13,[1]Weapon!$B$2:$O$353,13,FALSE)="Agl",VLOOKUP($AH13,[1]Weapon!$B$2:$O$353,14,FALSE),0),0)+_xlfn.IFNA(IF(VLOOKUP($AK13,[1]Weapon!$B$2:$O$353,13,FALSE)="Agl",VLOOKUP($AK13,[1]Weapon!$B$2:$O$353,14,FALSE),0),0)</f>
        <v>5</v>
      </c>
      <c r="N13">
        <v>0</v>
      </c>
      <c r="O13" s="2">
        <f>N13+_xlfn.IFNA(IF(VLOOKUP($P13,[1]Weapon!$B$2:$O$353,13,FALSE)="Mana",VLOOKUP($P13,[1]Weapon!$B$2:$O$353,14,FALSE),0),0)+_xlfn.IFNA(IF(VLOOKUP($S13,[1]Weapon!$B$2:$O$353,13,FALSE)="Mana",VLOOKUP($S13,[1]Weapon!$B$2:$O$353,14,FALSE),0),0)+_xlfn.IFNA(IF(VLOOKUP($V13,[1]Weapon!$B$2:$O$353,13,FALSE)="Mana",VLOOKUP($V13,[1]Weapon!$B$2:$O$353,14,FALSE),0),0)+_xlfn.IFNA(IF(VLOOKUP($Y13,[1]Weapon!$B$2:$O$353,13,FALSE)="Mana",VLOOKUP($Y13,[1]Weapon!$B$2:$O$353,14,FALSE),0),0)+_xlfn.IFNA(IF(VLOOKUP($AB13,[1]Weapon!$B$2:$O$353,13,FALSE)="Mana",VLOOKUP($AB13,[1]Weapon!$B$2:$O$353,14,FALSE),0),0)+_xlfn.IFNA(IF(VLOOKUP($AE13,[1]Weapon!$B$2:$O$353,13,FALSE)="Mana",VLOOKUP($AE13,[1]Weapon!$B$2:$O$353,14,FALSE),0),0)+_xlfn.IFNA(IF(VLOOKUP($AH13,[1]Weapon!$B$2:$O$353,13,FALSE)="Mana",VLOOKUP($AH13,[1]Weapon!$B$2:$O$353,14,FALSE),0),0)+_xlfn.IFNA(IF(VLOOKUP($AK13,[1]Weapon!$B$2:$O$353,13,FALSE)="Mana",VLOOKUP($AK13,[1]Weapon!$B$2:$O$353,14,FALSE),0),0)</f>
        <v>3</v>
      </c>
      <c r="P13" s="35" t="s">
        <v>100</v>
      </c>
      <c r="Q13">
        <v>-1</v>
      </c>
      <c r="R13" s="5">
        <f>_xlfn.IFNA(IF($E13="Robot",VLOOKUP(P13,[1]Weapon!$B$1:$G$355,6,FALSE)/2,VLOOKUP(P13,[1]Weapon!$B$1:$G$355,6,FALSE)),0)</f>
        <v>-1</v>
      </c>
      <c r="S13" s="137" t="s">
        <v>206</v>
      </c>
      <c r="T13">
        <v>24</v>
      </c>
      <c r="U13" s="5">
        <f>_xlfn.IFNA(IF($E13="Robot",VLOOKUP(S13,[1]Weapon!$B$1:$G$355,6,FALSE)/2,VLOOKUP(S13,[1]Weapon!$B$1:$G$355,6,FALSE)),0)</f>
        <v>25</v>
      </c>
      <c r="V13" s="137" t="s">
        <v>200</v>
      </c>
      <c r="W13">
        <v>-1</v>
      </c>
      <c r="X13" s="5">
        <f>_xlfn.IFNA(IF($E13="Robot",VLOOKUP(V13,[1]Weapon!$B$1:$G$355,6,FALSE)/2,VLOOKUP(V13,[1]Weapon!$B$1:$G$355,6,FALSE)),0)</f>
        <v>-1</v>
      </c>
      <c r="Y13" s="68" t="s">
        <v>119</v>
      </c>
      <c r="Z13">
        <v>25</v>
      </c>
      <c r="AA13" s="5">
        <f>_xlfn.IFNA(IF($E13="Robot",VLOOKUP(Y13,[1]Weapon!$B$1:$G$355,6,FALSE)/2,VLOOKUP(Y13,[1]Weapon!$B$1:$G$355,6,FALSE)),0)</f>
        <v>25</v>
      </c>
      <c r="AB13" s="137" t="s">
        <v>226</v>
      </c>
      <c r="AC13">
        <v>-1</v>
      </c>
      <c r="AD13" s="5">
        <f>_xlfn.IFNA(IF($E13="Robot",VLOOKUP(AB13,[1]Weapon!$B$1:$G$355,6,FALSE)/2,VLOOKUP(AB13,[1]Weapon!$B$1:$G$355,6,FALSE)),0)</f>
        <v>-1</v>
      </c>
      <c r="AE13" s="137" t="s">
        <v>166</v>
      </c>
      <c r="AF13">
        <v>-1</v>
      </c>
      <c r="AG13" s="5">
        <f>_xlfn.IFNA(IF($E13="Robot",VLOOKUP(AE13,[1]Weapon!$B$1:$G$355,6,FALSE)/2,VLOOKUP(AE13,[1]Weapon!$B$1:$G$355,6,FALSE)),0)</f>
        <v>-1</v>
      </c>
      <c r="AH13" s="68" t="s">
        <v>137</v>
      </c>
      <c r="AI13">
        <v>2</v>
      </c>
      <c r="AJ13" s="5">
        <f>_xlfn.IFNA(IF($E13="Robot",VLOOKUP(AH13,[1]Weapon!$B$1:$G$355,6,FALSE)/2,VLOOKUP(AH13,[1]Weapon!$B$1:$G$355,6,FALSE)),0)</f>
        <v>2</v>
      </c>
      <c r="AK13" s="137" t="s">
        <v>169</v>
      </c>
      <c r="AL13">
        <v>25</v>
      </c>
      <c r="AM13" s="5">
        <f>_xlfn.IFNA(IF($E13="Robot",VLOOKUP(AK13,[1]Weapon!$B$1:$G$355,6,FALSE)/2,VLOOKUP(AK13,[1]Weapon!$B$1:$G$355,6,FALSE)),0)</f>
        <v>25</v>
      </c>
      <c r="AO13">
        <v>0</v>
      </c>
      <c r="AP13" s="5">
        <f>IF(ISTEXT(AN13),_xlfn.IFNA(VLOOKUP(LEFT(AN13,FIND("-",AN13)-1),[1]Weapon!$B$1:$G$355,6,FALSE),0),0)</f>
        <v>0</v>
      </c>
      <c r="AQ13" s="3"/>
      <c r="AR13" s="136" t="s">
        <v>237</v>
      </c>
      <c r="AS13">
        <v>3360</v>
      </c>
      <c r="AT13" t="s">
        <v>181</v>
      </c>
    </row>
    <row r="14" spans="1:47" x14ac:dyDescent="0.25">
      <c r="A14" s="56" t="str">
        <f t="shared" si="3"/>
        <v>DM</v>
      </c>
      <c r="B14" s="60" t="s">
        <v>114</v>
      </c>
      <c r="C14" s="135"/>
      <c r="D14" s="126" t="s">
        <v>115</v>
      </c>
      <c r="E14" s="87" t="s">
        <v>240</v>
      </c>
      <c r="F14">
        <v>253</v>
      </c>
      <c r="G14" s="4">
        <f>20+IF(ISBLANK(VLOOKUP($E14,[1]Monster!$A$2:$X$400,10,FALSE)),"",VLOOKUP($E14,[1]Monster!$A$2:$X$400,10,FALSE))</f>
        <v>253</v>
      </c>
      <c r="H14">
        <v>0</v>
      </c>
      <c r="I14" s="4">
        <f>IF(ISBLANK(VLOOKUP($E14,[1]Monster!$A$2:$X$400,11,FALSE)),"",VLOOKUP($E14,[1]Monster!$A$2:$X$400,11,FALSE))+H14</f>
        <v>23</v>
      </c>
      <c r="J14">
        <v>0</v>
      </c>
      <c r="K14" s="4">
        <f>IF(ISBLANK(VLOOKUP($E14,[1]Monster!$A$2:$X$400,14,FALSE)),"",VLOOKUP($E14,[1]Monster!$A$2:$X$400,14,FALSE))+J14</f>
        <v>25</v>
      </c>
      <c r="L14">
        <v>0</v>
      </c>
      <c r="M14" s="4">
        <f>IF(ISBLANK(VLOOKUP($E14,[1]Monster!$A$2:$X$400,12,FALSE)),"",VLOOKUP($E14,[1]Monster!$A$2:$X$400,12,FALSE))+L14</f>
        <v>29</v>
      </c>
      <c r="N14">
        <v>0</v>
      </c>
      <c r="O14" s="2">
        <f>IF(ISBLANK(VLOOKUP($E14,[1]Monster!$A$2:$X$400,13,FALSE)),"",VLOOKUP($E14,[1]Monster!$A$2:$X$400,13,FALSE))+N14</f>
        <v>23</v>
      </c>
      <c r="P14" s="28" t="str">
        <f>IF(ISBLANK(VLOOKUP($E14,[1]Monster!$A$2:$X$400,16,FALSE)),"",VLOOKUP($E14,[1]Monster!$A$2:$X$400,16,FALSE))</f>
        <v>Sting</v>
      </c>
      <c r="Q14">
        <v>19</v>
      </c>
      <c r="R14" s="5">
        <f>_xlfn.IFNA(IF($E14="Robot",VLOOKUP(P14,[1]Weapon!$B$1:$G$355,6,FALSE)/2,VLOOKUP(P14,[1]Weapon!$B$1:$G$355,6,FALSE)),0)</f>
        <v>20</v>
      </c>
      <c r="S14" s="28" t="str">
        <f>IF(ISBLANK(VLOOKUP($E14,[1]Monster!$A$2:$X$400,17,FALSE)),"",VLOOKUP($E14,[1]Monster!$A$2:$X$400,17,FALSE))</f>
        <v>Venom</v>
      </c>
      <c r="T14">
        <v>16</v>
      </c>
      <c r="U14" s="5">
        <f>_xlfn.IFNA(IF($E14="Robot",VLOOKUP(S14,[1]Weapon!$B$1:$G$355,6,FALSE)/2,VLOOKUP(S14,[1]Weapon!$B$1:$G$355,6,FALSE)),0)</f>
        <v>20</v>
      </c>
      <c r="V14" s="29" t="str">
        <f>IF(ISBLANK(VLOOKUP($E14,[1]Monster!$A$2:$X$400,18,FALSE)),"",VLOOKUP($E14,[1]Monster!$A$2:$X$400,18,FALSE))</f>
        <v>Honey</v>
      </c>
      <c r="W14">
        <v>10</v>
      </c>
      <c r="X14" s="5">
        <f>_xlfn.IFNA(IF($E14="Robot",VLOOKUP(V14,[1]Weapon!$B$1:$G$355,6,FALSE)/2,VLOOKUP(V14,[1]Weapon!$B$1:$G$355,6,FALSE)),0)</f>
        <v>10</v>
      </c>
      <c r="Y14" s="28" t="str">
        <f>IF(ISBLANK(VLOOKUP($E14,[1]Monster!$A$2:$X$400,19,FALSE)),"",VLOOKUP($E14,[1]Monster!$A$2:$X$400,19,FALSE))</f>
        <v>O-Quake</v>
      </c>
      <c r="Z14">
        <v>-2</v>
      </c>
      <c r="AA14" s="5">
        <f>_xlfn.IFNA(IF($E14="Robot",VLOOKUP(Y14,[1]Weapon!$B$1:$G$355,6,FALSE)/2,VLOOKUP(Y14,[1]Weapon!$B$1:$G$355,6,FALSE)),0)</f>
        <v>-2</v>
      </c>
      <c r="AB14" s="28" t="str">
        <f>IF(ISBLANK(VLOOKUP($E14,[1]Monster!$A$2:$X$400,20,FALSE)),"",VLOOKUP($E14,[1]Monster!$A$2:$X$400,20,FALSE))</f>
        <v>X-Ice</v>
      </c>
      <c r="AC14">
        <v>-2</v>
      </c>
      <c r="AD14" s="5">
        <f>_xlfn.IFNA(IF($E14="Robot",VLOOKUP(AB14,[1]Weapon!$B$1:$G$355,6,FALSE)/2,VLOOKUP(AB14,[1]Weapon!$B$1:$G$355,6,FALSE)),0)</f>
        <v>-2</v>
      </c>
      <c r="AE14" s="28" t="str">
        <f>IF(ISBLANK(VLOOKUP($E14,[1]Monster!$A$2:$X$400,21,FALSE)),"",VLOOKUP($E14,[1]Monster!$A$2:$X$400,21,FALSE))</f>
        <v/>
      </c>
      <c r="AF14">
        <v>0</v>
      </c>
      <c r="AG14" s="5">
        <f>_xlfn.IFNA(IF($E14="Robot",VLOOKUP(AE14,[1]Weapon!$B$1:$G$355,6,FALSE)/2,VLOOKUP(AE14,[1]Weapon!$B$1:$G$355,6,FALSE)),0)</f>
        <v>0</v>
      </c>
      <c r="AH14" s="29" t="str">
        <f>IF(ISBLANK(VLOOKUP($E14,[1]Monster!$A$2:$X$400,22,FALSE)),"",VLOOKUP($E14,[1]Monster!$A$2:$X$400,22,FALSE))</f>
        <v/>
      </c>
      <c r="AI14">
        <v>0</v>
      </c>
      <c r="AJ14" s="5">
        <f>_xlfn.IFNA(IF($E14="Robot",VLOOKUP(AH14,[1]Weapon!$B$1:$G$355,6,FALSE)/2,VLOOKUP(AH14,[1]Weapon!$B$1:$G$355,6,FALSE)),0)</f>
        <v>0</v>
      </c>
      <c r="AK14" s="137"/>
      <c r="AL14">
        <v>0</v>
      </c>
      <c r="AM14" s="5">
        <f>_xlfn.IFNA(IF($E14="Robot",VLOOKUP(AK14,[1]Weapon!$B$1:$G$355,6,FALSE)/2,VLOOKUP(AK14,[1]Weapon!$B$1:$G$355,6,FALSE)),0)</f>
        <v>0</v>
      </c>
      <c r="AO14">
        <v>0</v>
      </c>
      <c r="AP14" s="5">
        <f>IF(ISTEXT(AN14),_xlfn.IFNA(VLOOKUP(LEFT(AN14,FIND("-",AN14)-1),[1]Weapon!$B$1:$G$355,6,FALSE),0),0)</f>
        <v>0</v>
      </c>
      <c r="AQ14" s="3"/>
      <c r="AR14" s="136" t="s">
        <v>227</v>
      </c>
      <c r="AS14">
        <v>7971</v>
      </c>
      <c r="AT14" t="s">
        <v>261</v>
      </c>
      <c r="AU14" s="95">
        <f>HLOOKUP(B14,[1]Evolve!$S$1:$AA$38,38,FALSE)</f>
        <v>34</v>
      </c>
    </row>
    <row r="15" spans="1:47" hidden="1" x14ac:dyDescent="0.25">
      <c r="A15" s="56" t="str">
        <f t="shared" si="3"/>
        <v>Lictus</v>
      </c>
      <c r="B15" s="75" t="s">
        <v>122</v>
      </c>
      <c r="C15" s="64"/>
      <c r="D15" s="37" t="s">
        <v>117</v>
      </c>
      <c r="E15" s="88" t="s">
        <v>57</v>
      </c>
      <c r="F15">
        <v>76</v>
      </c>
      <c r="G15">
        <v>76</v>
      </c>
      <c r="H15">
        <v>5</v>
      </c>
      <c r="I15" s="4">
        <f>H15</f>
        <v>5</v>
      </c>
      <c r="J15">
        <v>0</v>
      </c>
      <c r="K15" s="4">
        <f>J15+_xlfn.IFNA(VLOOKUP($P15,[1]Weapon!$A$1:$M$353,9,FALSE),0)+_xlfn.IFNA(VLOOKUP($S15,[1]Weapon!$A$1:$M$353,9,FALSE),0)+_xlfn.IFNA(VLOOKUP($V15,[1]Weapon!$A$1:$M$353,9,FALSE),0)+_xlfn.IFNA(VLOOKUP($Y15,[1]Weapon!$A$1:$M$353,9,FALSE),0)+_xlfn.IFNA(VLOOKUP($AB15,[1]Weapon!$A$1:$M$353,9,FALSE),0)+_xlfn.IFNA(VLOOKUP($AE15,[1]Weapon!$A$1:$M$353,9,FALSE),0)+_xlfn.IFNA(VLOOKUP($AH15,[1]Weapon!$A$1:$M$353,9,FALSE),0)+_xlfn.IFNA(VLOOKUP($AK15,[1]Weapon!$A$1:$M$353,9,FALSE),0)</f>
        <v>6</v>
      </c>
      <c r="L15">
        <v>9</v>
      </c>
      <c r="M15" s="4">
        <f>L15</f>
        <v>9</v>
      </c>
      <c r="N15">
        <v>4</v>
      </c>
      <c r="O15" s="2">
        <f t="shared" si="2"/>
        <v>4</v>
      </c>
      <c r="P15" s="36" t="s">
        <v>118</v>
      </c>
      <c r="Q15">
        <v>24</v>
      </c>
      <c r="R15" s="5">
        <f>_xlfn.IFNA(IF($E15="Robot",VLOOKUP(P15,[1]Weapon!$B$1:$G$355,6,FALSE)/2,VLOOKUP(P15,[1]Weapon!$B$1:$G$355,6,FALSE)),0)</f>
        <v>50</v>
      </c>
      <c r="S15" s="36" t="s">
        <v>93</v>
      </c>
      <c r="T15">
        <v>-1</v>
      </c>
      <c r="U15" s="5">
        <f>_xlfn.IFNA(IF($E15="Robot",VLOOKUP(S15,[1]Weapon!$B$1:$G$355,6,FALSE)/2,VLOOKUP(S15,[1]Weapon!$B$1:$G$355,6,FALSE)),0)</f>
        <v>-2</v>
      </c>
      <c r="V15" s="63" t="s">
        <v>92</v>
      </c>
      <c r="W15">
        <v>50</v>
      </c>
      <c r="X15" s="5">
        <f>_xlfn.IFNA(IF($E15="Robot",VLOOKUP(V15,[1]Weapon!$B$1:$G$355,6,FALSE)/2,VLOOKUP(V15,[1]Weapon!$B$1:$G$355,6,FALSE)),0)</f>
        <v>50</v>
      </c>
      <c r="Y15" s="65" t="s">
        <v>135</v>
      </c>
      <c r="Z15">
        <v>-1</v>
      </c>
      <c r="AA15" s="5">
        <f>_xlfn.IFNA(IF($E15="Robot",VLOOKUP(Y15,[1]Weapon!$B$1:$G$355,6,FALSE)/2,VLOOKUP(Y15,[1]Weapon!$B$1:$G$355,6,FALSE)),0)</f>
        <v>-2</v>
      </c>
      <c r="AB15" s="65" t="s">
        <v>146</v>
      </c>
      <c r="AC15">
        <v>-1</v>
      </c>
      <c r="AD15" s="5">
        <f>_xlfn.IFNA(IF($E15="Robot",VLOOKUP(AB15,[1]Weapon!$B$1:$G$355,6,FALSE)/2,VLOOKUP(AB15,[1]Weapon!$B$1:$G$355,6,FALSE)),0)</f>
        <v>-2</v>
      </c>
      <c r="AE15" s="28"/>
      <c r="AF15">
        <v>-1</v>
      </c>
      <c r="AG15" s="5">
        <f>_xlfn.IFNA(IF($E15="Robot",VLOOKUP(AE15,[1]Weapon!$B$1:$G$355,6,FALSE)/2,VLOOKUP(AE15,[1]Weapon!$B$1:$G$355,6,FALSE)),0)</f>
        <v>0</v>
      </c>
      <c r="AH15" s="28"/>
      <c r="AI15">
        <v>-1</v>
      </c>
      <c r="AJ15" s="5">
        <f>_xlfn.IFNA(IF($E15="Robot",VLOOKUP(AH15,[1]Weapon!$B$1:$G$355,6,FALSE)/2,VLOOKUP(AH15,[1]Weapon!$B$1:$G$355,6,FALSE)),0)</f>
        <v>0</v>
      </c>
      <c r="AL15">
        <v>0</v>
      </c>
      <c r="AM15" s="5">
        <f>_xlfn.IFNA(IF($E15="Robot",VLOOKUP(AK15,[1]Weapon!$B$1:$G$355,6,FALSE)/2,VLOOKUP(AK15,[1]Weapon!$B$1:$G$355,6,FALSE)),0)</f>
        <v>0</v>
      </c>
      <c r="AO15">
        <v>0</v>
      </c>
      <c r="AP15" s="5">
        <f>IF(ISTEXT(AN15),_xlfn.IFNA(VLOOKUP(LEFT(AN15,FIND("-",AN15)-1),[1]Weapon!$B$1:$G$355,6,FALSE),0),0)</f>
        <v>0</v>
      </c>
      <c r="AQ15" s="3"/>
      <c r="AR15" s="90" t="s">
        <v>152</v>
      </c>
      <c r="AS15">
        <v>562</v>
      </c>
      <c r="AT15" t="s">
        <v>182</v>
      </c>
    </row>
    <row r="16" spans="1:47" x14ac:dyDescent="0.25">
      <c r="A16" s="56" t="str">
        <f t="shared" si="3"/>
        <v>BYTE</v>
      </c>
      <c r="B16" s="75" t="s">
        <v>120</v>
      </c>
      <c r="C16" s="135"/>
      <c r="D16" s="39" t="s">
        <v>121</v>
      </c>
      <c r="E16" s="82" t="s">
        <v>87</v>
      </c>
      <c r="F16">
        <v>231</v>
      </c>
      <c r="G16" s="4">
        <f>24+_xlfn.IFNA(VLOOKUP($P16,[1]Weapon!$A$1:$M$353,12,FALSE),0)+_xlfn.IFNA(VLOOKUP($S16,[1]Weapon!$A$1:$M$353,12,FALSE),0)+_xlfn.IFNA(VLOOKUP($V16,[1]Weapon!$A$1:$M$353,12,FALSE),0)+_xlfn.IFNA(VLOOKUP($Y16,[1]Weapon!$A$1:$M$353,12,FALSE),0)+_xlfn.IFNA(VLOOKUP($AB16,[1]Weapon!$A$1:$M$353,12,FALSE),0)+_xlfn.IFNA(VLOOKUP($AE16,[1]Weapon!$A$1:$M$353,12,FALSE),0)+_xlfn.IFNA(VLOOKUP($AH16,[1]Weapon!$A$1:$M$353,12,FALSE),0)+_xlfn.IFNA(VLOOKUP($AK16,[1]Weapon!$A$1:$M$353,12,FALSE),0)</f>
        <v>231</v>
      </c>
      <c r="H16">
        <v>0</v>
      </c>
      <c r="I16" s="38">
        <f>H16+_xlfn.IFNA(IF(VLOOKUP($P16,[1]Weapon!$B$2:$O$353,13,FALSE)="Str",VLOOKUP($P16,[1]Weapon!$B$2:$O$353,14,FALSE),0),0)+_xlfn.IFNA(IF(VLOOKUP($S16,[1]Weapon!$B$2:$O$353,13,FALSE)="Str",VLOOKUP($S16,[1]Weapon!$B$2:$O$353,14,FALSE),0),0)+_xlfn.IFNA(IF(VLOOKUP($V16,[1]Weapon!$B$2:$O$353,13,FALSE)="Str",VLOOKUP($V16,[1]Weapon!$B$2:$O$353,14,FALSE),0),0)+_xlfn.IFNA(IF(VLOOKUP($Y16,[1]Weapon!$B$2:$O$353,13,FALSE)="Str",VLOOKUP($Y16,[1]Weapon!$B$2:$O$353,14,FALSE),0),0)+_xlfn.IFNA(IF(VLOOKUP($AB16,[1]Weapon!$B$2:$O$353,13,FALSE)="Str",VLOOKUP($AB16,[1]Weapon!$B$2:$O$353,14,FALSE),0),0)+_xlfn.IFNA(IF(VLOOKUP($AE16,[1]Weapon!$B$2:$O$353,13,FALSE)="Str",VLOOKUP($AE16,[1]Weapon!$B$2:$O$353,14,FALSE),0),0)+_xlfn.IFNA(IF(VLOOKUP($AH16,[1]Weapon!$B$2:$O$353,13,FALSE)="Str",VLOOKUP($AH16,[1]Weapon!$B$2:$O$353,14,FALSE),0),0)+_xlfn.IFNA(IF(VLOOKUP($AK16,[1]Weapon!$B$2:$O$353,13,FALSE)="Str",VLOOKUP($AK16,[1]Weapon!$B$2:$O$353,14,FALSE),0),0)</f>
        <v>44</v>
      </c>
      <c r="J16">
        <v>6</v>
      </c>
      <c r="K16" s="4">
        <f>J16+_xlfn.IFNA(IF(VLOOKUP($P16,[1]Weapon!$B$2:$O$353,13,FALSE)="Def",VLOOKUP($P16,[1]Weapon!$B$2:$O$353,14,FALSE),0),0)+_xlfn.IFNA(IF(VLOOKUP($S16,[1]Weapon!$B$2:$O$353,13,FALSE)="Def",VLOOKUP($S16,[1]Weapon!$B$2:$O$353,14,FALSE),0),0)+_xlfn.IFNA(IF(VLOOKUP($V16,[1]Weapon!$B$2:$O$353,13,FALSE)="Def",VLOOKUP($V16,[1]Weapon!$B$2:$O$353,14,FALSE),0),0)+_xlfn.IFNA(IF(VLOOKUP($Y16,[1]Weapon!$B$2:$O$353,13,FALSE)="Def",VLOOKUP($Y16,[1]Weapon!$B$2:$O$353,14,FALSE),0),0)+_xlfn.IFNA(IF(VLOOKUP($AB16,[1]Weapon!$B$2:$O$353,13,FALSE)="Def",VLOOKUP($AB16,[1]Weapon!$B$2:$O$353,14,FALSE),0),0)+_xlfn.IFNA(IF(VLOOKUP($AE16,[1]Weapon!$B$2:$O$353,13,FALSE)="Def",VLOOKUP($AE16,[1]Weapon!$B$2:$O$353,14,FALSE),0),0)+_xlfn.IFNA(IF(VLOOKUP($AH16,[1]Weapon!$B$2:$O$353,13,FALSE)="Def",VLOOKUP($AH16,[1]Weapon!$B$2:$O$353,14,FALSE),0),0)+_xlfn.IFNA(IF(VLOOKUP($AK16,[1]Weapon!$B$2:$O$353,13,FALSE)="Def",VLOOKUP($AK16,[1]Weapon!$B$2:$O$353,14,FALSE),0),0)</f>
        <v>6</v>
      </c>
      <c r="L16">
        <v>5</v>
      </c>
      <c r="M16" s="4">
        <f>L16+_xlfn.IFNA(IF(VLOOKUP($P16,[1]Weapon!$B$2:$O$353,13,FALSE)="Agl",VLOOKUP($P16,[1]Weapon!$B$2:$O$353,14,FALSE),0),0)+_xlfn.IFNA(IF(VLOOKUP($S16,[1]Weapon!$B$2:$O$353,13,FALSE)="Agl",VLOOKUP($S16,[1]Weapon!$B$2:$O$353,14,FALSE),0),0)+_xlfn.IFNA(IF(VLOOKUP($V16,[1]Weapon!$B$2:$O$353,13,FALSE)="Agl",VLOOKUP($V16,[1]Weapon!$B$2:$O$353,14,FALSE),0),0)+_xlfn.IFNA(IF(VLOOKUP($Y16,[1]Weapon!$B$2:$O$353,13,FALSE)="Agl",VLOOKUP($Y16,[1]Weapon!$B$2:$O$353,14,FALSE),0),0)+_xlfn.IFNA(IF(VLOOKUP($AB16,[1]Weapon!$B$2:$O$353,13,FALSE)="Agl",VLOOKUP($AB16,[1]Weapon!$B$2:$O$353,14,FALSE),0),0)+_xlfn.IFNA(IF(VLOOKUP($AE16,[1]Weapon!$B$2:$O$353,13,FALSE)="Agl",VLOOKUP($AE16,[1]Weapon!$B$2:$O$353,14,FALSE),0),0)+_xlfn.IFNA(IF(VLOOKUP($AH16,[1]Weapon!$B$2:$O$353,13,FALSE)="Agl",VLOOKUP($AH16,[1]Weapon!$B$2:$O$353,14,FALSE),0),0)+_xlfn.IFNA(IF(VLOOKUP($AK16,[1]Weapon!$B$2:$O$353,13,FALSE)="Agl",VLOOKUP($AK16,[1]Weapon!$B$2:$O$353,14,FALSE),0),0)</f>
        <v>5</v>
      </c>
      <c r="N16">
        <v>0</v>
      </c>
      <c r="O16" s="2">
        <f>N16+_xlfn.IFNA(IF(VLOOKUP($P16,[1]Weapon!$B$2:$O$353,13,FALSE)="Mana",VLOOKUP($P16,[1]Weapon!$B$2:$O$353,14,FALSE),0),0)+_xlfn.IFNA(IF(VLOOKUP($S16,[1]Weapon!$B$2:$O$353,13,FALSE)="Mana",VLOOKUP($S16,[1]Weapon!$B$2:$O$353,14,FALSE),0),0)+_xlfn.IFNA(IF(VLOOKUP($V16,[1]Weapon!$B$2:$O$353,13,FALSE)="Mana",VLOOKUP($V16,[1]Weapon!$B$2:$O$353,14,FALSE),0),0)+_xlfn.IFNA(IF(VLOOKUP($Y16,[1]Weapon!$B$2:$O$353,13,FALSE)="Mana",VLOOKUP($Y16,[1]Weapon!$B$2:$O$353,14,FALSE),0),0)+_xlfn.IFNA(IF(VLOOKUP($AB16,[1]Weapon!$B$2:$O$353,13,FALSE)="Mana",VLOOKUP($AB16,[1]Weapon!$B$2:$O$353,14,FALSE),0),0)+_xlfn.IFNA(IF(VLOOKUP($AE16,[1]Weapon!$B$2:$O$353,13,FALSE)="Mana",VLOOKUP($AE16,[1]Weapon!$B$2:$O$353,14,FALSE),0),0)+_xlfn.IFNA(IF(VLOOKUP($AH16,[1]Weapon!$B$2:$O$353,13,FALSE)="Mana",VLOOKUP($AH16,[1]Weapon!$B$2:$O$353,14,FALSE),0),0)+_xlfn.IFNA(IF(VLOOKUP($AK16,[1]Weapon!$B$2:$O$353,13,FALSE)="Mana",VLOOKUP($AK16,[1]Weapon!$B$2:$O$353,14,FALSE),0),0)</f>
        <v>0</v>
      </c>
      <c r="P16" s="35" t="s">
        <v>100</v>
      </c>
      <c r="Q16">
        <v>-1</v>
      </c>
      <c r="R16" s="5">
        <f>_xlfn.IFNA(IF($E16="Robot",VLOOKUP(P16,[1]Weapon!$B$1:$G$355,6,FALSE)/2,VLOOKUP(P16,[1]Weapon!$B$1:$G$355,6,FALSE)),0)</f>
        <v>-1</v>
      </c>
      <c r="S16" s="98" t="s">
        <v>169</v>
      </c>
      <c r="T16">
        <v>25</v>
      </c>
      <c r="U16" s="5">
        <f>_xlfn.IFNA(IF($E16="Robot",VLOOKUP(S16,[1]Weapon!$B$1:$G$355,6,FALSE)/2,VLOOKUP(S16,[1]Weapon!$B$1:$G$355,6,FALSE)),0)</f>
        <v>25</v>
      </c>
      <c r="V16" s="98" t="s">
        <v>169</v>
      </c>
      <c r="W16">
        <v>25</v>
      </c>
      <c r="X16" s="5">
        <f>_xlfn.IFNA(IF($E16="Robot",VLOOKUP(V16,[1]Weapon!$B$1:$G$355,6,FALSE)/2,VLOOKUP(V16,[1]Weapon!$B$1:$G$355,6,FALSE)),0)</f>
        <v>25</v>
      </c>
      <c r="Y16" s="98" t="s">
        <v>177</v>
      </c>
      <c r="Z16">
        <v>25</v>
      </c>
      <c r="AA16" s="5">
        <f>_xlfn.IFNA(IF($E16="Robot",VLOOKUP(Y16,[1]Weapon!$B$1:$G$355,6,FALSE)/2,VLOOKUP(Y16,[1]Weapon!$B$1:$G$355,6,FALSE)),0)</f>
        <v>25</v>
      </c>
      <c r="AB16" s="137" t="s">
        <v>221</v>
      </c>
      <c r="AC16">
        <v>25</v>
      </c>
      <c r="AD16" s="5">
        <f>_xlfn.IFNA(IF($E16="Robot",VLOOKUP(AB16,[1]Weapon!$B$1:$G$355,6,FALSE)/2,VLOOKUP(AB16,[1]Weapon!$B$1:$G$355,6,FALSE)),0)</f>
        <v>25</v>
      </c>
      <c r="AE16" s="137" t="s">
        <v>160</v>
      </c>
      <c r="AF16">
        <v>20</v>
      </c>
      <c r="AG16" s="5">
        <f>_xlfn.IFNA(IF($E16="Robot",VLOOKUP(AE16,[1]Weapon!$B$1:$G$355,6,FALSE)/2,VLOOKUP(AE16,[1]Weapon!$B$1:$G$355,6,FALSE)),0)</f>
        <v>25</v>
      </c>
      <c r="AH16" s="137" t="s">
        <v>160</v>
      </c>
      <c r="AI16">
        <v>25</v>
      </c>
      <c r="AJ16" s="5">
        <f>_xlfn.IFNA(IF($E16="Robot",VLOOKUP(AH16,[1]Weapon!$B$1:$G$355,6,FALSE)/2,VLOOKUP(AH16,[1]Weapon!$B$1:$G$355,6,FALSE)),0)</f>
        <v>25</v>
      </c>
      <c r="AK16" s="137" t="s">
        <v>160</v>
      </c>
      <c r="AL16">
        <v>25</v>
      </c>
      <c r="AM16" s="5">
        <f>_xlfn.IFNA(IF($E16="Robot",VLOOKUP(AK16,[1]Weapon!$B$1:$G$355,6,FALSE)/2,VLOOKUP(AK16,[1]Weapon!$B$1:$G$355,6,FALSE)),0)</f>
        <v>25</v>
      </c>
      <c r="AO16">
        <v>0</v>
      </c>
      <c r="AP16" s="5">
        <f>IF(ISTEXT(AN16),_xlfn.IFNA(VLOOKUP(LEFT(AN16,FIND("-",AN16)-1),[1]Weapon!$B$1:$G$355,6,FALSE),0),0)</f>
        <v>0</v>
      </c>
      <c r="AQ16" s="3"/>
      <c r="AR16" s="136" t="s">
        <v>269</v>
      </c>
      <c r="AS16">
        <v>2425</v>
      </c>
      <c r="AT16" t="s">
        <v>181</v>
      </c>
    </row>
    <row r="17" spans="1:47" hidden="1" x14ac:dyDescent="0.25">
      <c r="A17" s="56" t="str">
        <f t="shared" si="3"/>
        <v>Mr. S</v>
      </c>
      <c r="B17" s="61" t="s">
        <v>128</v>
      </c>
      <c r="C17" s="6"/>
      <c r="D17" s="83" t="s">
        <v>129</v>
      </c>
      <c r="E17" s="87" t="s">
        <v>130</v>
      </c>
      <c r="F17">
        <v>185</v>
      </c>
      <c r="G17" s="4">
        <f>IF(ISBLANK(VLOOKUP($E17,[1]Monster!$A$2:$X$400,10,FALSE)),"",VLOOKUP($E17,[1]Monster!$A$2:$X$400,10,FALSE))</f>
        <v>185</v>
      </c>
      <c r="H17">
        <v>0</v>
      </c>
      <c r="I17" s="4">
        <f>IF(ISBLANK(VLOOKUP($E17,[1]Monster!$A$2:$X$400,11,FALSE)),"",VLOOKUP($E17,[1]Monster!$A$2:$X$400,11,FALSE))+H17</f>
        <v>18</v>
      </c>
      <c r="J17">
        <v>0</v>
      </c>
      <c r="K17" s="4">
        <f>IF(ISBLANK(VLOOKUP($E17,[1]Monster!$A$2:$X$400,14,FALSE)),"",VLOOKUP($E17,[1]Monster!$A$2:$X$400,14,FALSE))+J17</f>
        <v>18</v>
      </c>
      <c r="L17">
        <v>0</v>
      </c>
      <c r="M17" s="4">
        <f>IF(ISBLANK(VLOOKUP($E17,[1]Monster!$A$2:$X$400,12,FALSE)),"",VLOOKUP($E17,[1]Monster!$A$2:$X$400,12,FALSE))+L17</f>
        <v>15</v>
      </c>
      <c r="N17">
        <v>0</v>
      </c>
      <c r="O17" s="2">
        <f>IF(ISBLANK(VLOOKUP($E17,[1]Monster!$A$2:$X$400,13,FALSE)),"",VLOOKUP($E17,[1]Monster!$A$2:$X$400,13,FALSE))+N17</f>
        <v>19</v>
      </c>
      <c r="P17" s="28" t="str">
        <f>IF(ISBLANK(VLOOKUP($E17,[1]Monster!$A$2:$X$400,16,FALSE)),"",VLOOKUP($E17,[1]Monster!$A$2:$X$400,16,FALSE))</f>
        <v>Dissolve</v>
      </c>
      <c r="Q17">
        <v>15</v>
      </c>
      <c r="R17" s="5">
        <f>_xlfn.IFNA(IF($E17="Robot",VLOOKUP(P17,[1]Weapon!$B$1:$G$355,6,FALSE)/2,VLOOKUP(P17,[1]Weapon!$B$1:$G$355,6,FALSE)),0)</f>
        <v>15</v>
      </c>
      <c r="S17" s="28" t="str">
        <f>IF(ISBLANK(VLOOKUP($E17,[1]Monster!$A$2:$X$400,17,FALSE)),"",VLOOKUP($E17,[1]Monster!$A$2:$X$400,17,FALSE))</f>
        <v>Fire</v>
      </c>
      <c r="T17">
        <v>15</v>
      </c>
      <c r="U17" s="5">
        <f>_xlfn.IFNA(IF($E17="Robot",VLOOKUP(S17,[1]Weapon!$B$1:$G$355,6,FALSE)/2,VLOOKUP(S17,[1]Weapon!$B$1:$G$355,6,FALSE)),0)</f>
        <v>15</v>
      </c>
      <c r="V17" s="29" t="str">
        <f>IF(ISBLANK(VLOOKUP($E17,[1]Monster!$A$2:$X$400,18,FALSE)),"",VLOOKUP($E17,[1]Monster!$A$2:$X$400,18,FALSE))</f>
        <v>Cure</v>
      </c>
      <c r="W17">
        <v>15</v>
      </c>
      <c r="X17" s="5">
        <f>_xlfn.IFNA(IF($E17="Robot",VLOOKUP(V17,[1]Weapon!$B$1:$G$355,6,FALSE)/2,VLOOKUP(V17,[1]Weapon!$B$1:$G$355,6,FALSE)),0)</f>
        <v>15</v>
      </c>
      <c r="Y17" s="28" t="str">
        <f>IF(ISBLANK(VLOOKUP($E17,[1]Monster!$A$2:$X$400,19,FALSE)),"",VLOOKUP($E17,[1]Monster!$A$2:$X$400,19,FALSE))</f>
        <v/>
      </c>
      <c r="Z17">
        <v>-1</v>
      </c>
      <c r="AA17" s="5">
        <f>_xlfn.IFNA(IF($E17="Robot",VLOOKUP(Y17,[1]Weapon!$B$1:$G$355,6,FALSE)/2,VLOOKUP(Y17,[1]Weapon!$B$1:$G$355,6,FALSE)),0)</f>
        <v>0</v>
      </c>
      <c r="AB17" s="28" t="str">
        <f>IF(ISBLANK(VLOOKUP($E17,[1]Monster!$A$2:$X$400,20,FALSE)),"",VLOOKUP($E17,[1]Monster!$A$2:$X$400,20,FALSE))</f>
        <v/>
      </c>
      <c r="AC17">
        <v>-1</v>
      </c>
      <c r="AD17" s="5">
        <f>_xlfn.IFNA(IF($E17="Robot",VLOOKUP(AB17,[1]Weapon!$B$1:$G$355,6,FALSE)/2,VLOOKUP(AB17,[1]Weapon!$B$1:$G$355,6,FALSE)),0)</f>
        <v>0</v>
      </c>
      <c r="AE17" s="28" t="str">
        <f>IF(ISBLANK(VLOOKUP($E17,[1]Monster!$A$2:$X$400,21,FALSE)),"",VLOOKUP($E17,[1]Monster!$A$2:$X$400,21,FALSE))</f>
        <v/>
      </c>
      <c r="AF17">
        <v>-1</v>
      </c>
      <c r="AG17" s="5">
        <f>_xlfn.IFNA(IF($E17="Robot",VLOOKUP(AE17,[1]Weapon!$B$1:$G$355,6,FALSE)/2,VLOOKUP(AE17,[1]Weapon!$B$1:$G$355,6,FALSE)),0)</f>
        <v>0</v>
      </c>
      <c r="AH17" s="29" t="str">
        <f>IF(ISBLANK(VLOOKUP($E17,[1]Monster!$A$2:$X$400,22,FALSE)),"",VLOOKUP($E17,[1]Monster!$A$2:$X$400,22,FALSE))</f>
        <v/>
      </c>
      <c r="AI17">
        <v>-1</v>
      </c>
      <c r="AJ17" s="5">
        <f>_xlfn.IFNA(IF($E17="Robot",VLOOKUP(AH17,[1]Weapon!$B$1:$G$355,6,FALSE)/2,VLOOKUP(AH17,[1]Weapon!$B$1:$G$355,6,FALSE)),0)</f>
        <v>0</v>
      </c>
      <c r="AK17" s="21" t="str">
        <f>IF(ISBLANK(VLOOKUP($E17,[1]Monster!$A$2:$X$400,23,FALSE)),"",VLOOKUP($E17,[1]Monster!$A$2:$X$400,23,FALSE))</f>
        <v/>
      </c>
      <c r="AL17">
        <v>-1</v>
      </c>
      <c r="AM17" s="5">
        <f>_xlfn.IFNA(IF($E17="Robot",VLOOKUP(AK17,[1]Weapon!$B$1:$G$355,6,FALSE)/2,VLOOKUP(AK17,[1]Weapon!$B$1:$G$355,6,FALSE)),0)</f>
        <v>0</v>
      </c>
      <c r="AO17">
        <v>0</v>
      </c>
      <c r="AP17" s="5">
        <f>IF(ISTEXT(AN17),_xlfn.IFNA(VLOOKUP(LEFT(AN17,FIND("-",AN17)-1),[1]Weapon!$B$1:$G$355,6,FALSE),0),0)</f>
        <v>0</v>
      </c>
      <c r="AQ17" s="3"/>
      <c r="AR17" s="8"/>
      <c r="AS17">
        <v>0</v>
      </c>
      <c r="AT17" t="s">
        <v>182</v>
      </c>
    </row>
    <row r="18" spans="1:47" x14ac:dyDescent="0.25">
      <c r="A18" s="1" t="str">
        <f t="shared" si="3"/>
        <v>Doma</v>
      </c>
      <c r="B18" s="76" t="s">
        <v>147</v>
      </c>
      <c r="C18" s="135"/>
      <c r="D18" s="66" t="s">
        <v>148</v>
      </c>
      <c r="E18" s="80" t="s">
        <v>88</v>
      </c>
      <c r="F18">
        <v>175</v>
      </c>
      <c r="G18">
        <v>189</v>
      </c>
      <c r="H18">
        <v>11</v>
      </c>
      <c r="I18" s="4">
        <f>H18</f>
        <v>11</v>
      </c>
      <c r="J18">
        <v>6</v>
      </c>
      <c r="K18" s="4">
        <f>J18+_xlfn.IFNA(VLOOKUP($P18,[1]Weapon!$A$1:$M$353,9,FALSE),0)+_xlfn.IFNA(VLOOKUP($S18,[1]Weapon!$A$1:$M$353,9,FALSE),0)+_xlfn.IFNA(VLOOKUP($V18,[1]Weapon!$A$1:$M$353,9,FALSE),0)+_xlfn.IFNA(VLOOKUP($Y18,[1]Weapon!$A$1:$M$353,9,FALSE),0)+_xlfn.IFNA(VLOOKUP($AB18,[1]Weapon!$A$1:$M$353,9,FALSE),0)+_xlfn.IFNA(VLOOKUP($AE18,[1]Weapon!$A$1:$M$353,9,FALSE),0)+_xlfn.IFNA(VLOOKUP($AH18,[1]Weapon!$A$1:$M$353,9,FALSE),0)+_xlfn.IFNA(VLOOKUP($AK18,[1]Weapon!$A$1:$M$353,9,FALSE),0)</f>
        <v>15</v>
      </c>
      <c r="L18">
        <v>7</v>
      </c>
      <c r="M18" s="38">
        <f>L18</f>
        <v>7</v>
      </c>
      <c r="N18">
        <v>18</v>
      </c>
      <c r="O18" s="2">
        <f>N18</f>
        <v>18</v>
      </c>
      <c r="P18" s="73" t="s">
        <v>85</v>
      </c>
      <c r="Q18">
        <v>14</v>
      </c>
      <c r="R18" s="5">
        <f>_xlfn.IFNA(IF($E18="Robot",VLOOKUP(P18,[1]Weapon!$B$1:$G$355,6,FALSE)/2,VLOOKUP(P18,[1]Weapon!$B$1:$G$355,6,FALSE)),0)</f>
        <v>15</v>
      </c>
      <c r="S18" s="142" t="s">
        <v>214</v>
      </c>
      <c r="T18">
        <v>15</v>
      </c>
      <c r="U18" s="5">
        <f>_xlfn.IFNA(IF($E18="Robot",VLOOKUP(S18,[1]Weapon!$B$1:$G$355,6,FALSE)/2,VLOOKUP(S18,[1]Weapon!$B$1:$G$355,6,FALSE)),0)</f>
        <v>15</v>
      </c>
      <c r="V18" s="142" t="s">
        <v>165</v>
      </c>
      <c r="W18">
        <v>15</v>
      </c>
      <c r="X18" s="5">
        <f>_xlfn.IFNA(IF($E18="Robot",VLOOKUP(V18,[1]Weapon!$B$1:$G$355,6,FALSE)/2,VLOOKUP(V18,[1]Weapon!$B$1:$G$355,6,FALSE)),0)</f>
        <v>15</v>
      </c>
      <c r="Y18" s="99" t="s">
        <v>156</v>
      </c>
      <c r="Z18">
        <v>15</v>
      </c>
      <c r="AA18" s="5">
        <f>_xlfn.IFNA(IF($E18="Robot",VLOOKUP(Y18,[1]Weapon!$B$1:$G$355,6,FALSE)/2,VLOOKUP(Y18,[1]Weapon!$B$1:$G$355,6,FALSE)),0)</f>
        <v>15</v>
      </c>
      <c r="AB18" s="137" t="s">
        <v>207</v>
      </c>
      <c r="AC18">
        <v>-2</v>
      </c>
      <c r="AD18" s="5">
        <f>_xlfn.IFNA(IF($E18="Robot",VLOOKUP(AB18,[1]Weapon!$B$1:$G$355,6,FALSE)/2,VLOOKUP(AB18,[1]Weapon!$B$1:$G$355,6,FALSE)),0)</f>
        <v>-2</v>
      </c>
      <c r="AE18" s="68" t="s">
        <v>93</v>
      </c>
      <c r="AF18">
        <v>-1</v>
      </c>
      <c r="AG18" s="5">
        <f>_xlfn.IFNA(IF($E18="Robot",VLOOKUP(AE18,[1]Weapon!$B$1:$G$355,6,FALSE)/2,VLOOKUP(AE18,[1]Weapon!$B$1:$G$355,6,FALSE)),0)</f>
        <v>-2</v>
      </c>
      <c r="AH18" s="137" t="s">
        <v>166</v>
      </c>
      <c r="AI18">
        <v>-1</v>
      </c>
      <c r="AJ18" s="5">
        <f>_xlfn.IFNA(IF($E18="Robot",VLOOKUP(AH18,[1]Weapon!$B$1:$G$355,6,FALSE)/2,VLOOKUP(AH18,[1]Weapon!$B$1:$G$355,6,FALSE)),0)</f>
        <v>-2</v>
      </c>
      <c r="AK18" s="137" t="s">
        <v>171</v>
      </c>
      <c r="AL18">
        <v>47</v>
      </c>
      <c r="AM18" s="5">
        <f>_xlfn.IFNA(IF($E18="Robot",VLOOKUP(AK18,[1]Weapon!$B$1:$G$355,6,FALSE)/2,VLOOKUP(AK18,[1]Weapon!$B$1:$G$355,6,FALSE)),0)</f>
        <v>50</v>
      </c>
      <c r="AN18" s="137" t="s">
        <v>194</v>
      </c>
      <c r="AO18">
        <v>-2</v>
      </c>
      <c r="AP18" s="5">
        <f>IF(ISTEXT(AN18),_xlfn.IFNA(VLOOKUP(LEFT(AN18,FIND("-",AN18)-1),[1]Weapon!$B$1:$G$355,6,FALSE),0),0)</f>
        <v>-2</v>
      </c>
      <c r="AQ18" s="3"/>
      <c r="AR18" s="136" t="s">
        <v>239</v>
      </c>
      <c r="AS18">
        <v>6518</v>
      </c>
      <c r="AT18" t="s">
        <v>181</v>
      </c>
    </row>
    <row r="19" spans="1:47" hidden="1" x14ac:dyDescent="0.25">
      <c r="A19" s="1" t="str">
        <f t="shared" si="3"/>
        <v>Ella</v>
      </c>
      <c r="B19" s="93" t="s">
        <v>150</v>
      </c>
      <c r="C19" s="6"/>
      <c r="D19" s="84" t="s">
        <v>129</v>
      </c>
      <c r="E19" s="67" t="s">
        <v>57</v>
      </c>
      <c r="F19">
        <v>52</v>
      </c>
      <c r="G19">
        <v>62</v>
      </c>
      <c r="H19">
        <v>5</v>
      </c>
      <c r="I19" s="4">
        <f>H19</f>
        <v>5</v>
      </c>
      <c r="J19">
        <v>0</v>
      </c>
      <c r="K19" s="4">
        <f>J19+_xlfn.IFNA(VLOOKUP($P19,[1]Weapon!$A$1:$M$353,9,FALSE),0)+_xlfn.IFNA(VLOOKUP($S19,[1]Weapon!$A$1:$M$353,9,FALSE),0)+_xlfn.IFNA(VLOOKUP($V19,[1]Weapon!$A$1:$M$353,9,FALSE),0)+_xlfn.IFNA(VLOOKUP($Y19,[1]Weapon!$A$1:$M$353,9,FALSE),0)+_xlfn.IFNA(VLOOKUP($AB19,[1]Weapon!$A$1:$M$353,9,FALSE),0)+_xlfn.IFNA(VLOOKUP($AE19,[1]Weapon!$A$1:$M$353,9,FALSE),0)+_xlfn.IFNA(VLOOKUP($AH19,[1]Weapon!$A$1:$M$353,9,FALSE),0)+_xlfn.IFNA(VLOOKUP($AK19,[1]Weapon!$A$1:$M$353,9,FALSE),0)</f>
        <v>5</v>
      </c>
      <c r="L19">
        <v>8</v>
      </c>
      <c r="M19" s="38">
        <f>L19</f>
        <v>8</v>
      </c>
      <c r="N19">
        <v>4</v>
      </c>
      <c r="O19" s="2">
        <f>N19</f>
        <v>4</v>
      </c>
      <c r="P19" s="68" t="s">
        <v>118</v>
      </c>
      <c r="Q19">
        <v>36</v>
      </c>
      <c r="R19" s="5">
        <f>_xlfn.IFNA(IF($E19="Robot",VLOOKUP(P19,[1]Weapon!$B$1:$G$355,6,FALSE)/2,VLOOKUP(P19,[1]Weapon!$B$1:$G$355,6,FALSE)),0)</f>
        <v>50</v>
      </c>
      <c r="S19" s="68" t="s">
        <v>93</v>
      </c>
      <c r="T19">
        <v>-1</v>
      </c>
      <c r="U19" s="5">
        <f>_xlfn.IFNA(IF($E19="Robot",VLOOKUP(S19,[1]Weapon!$B$1:$G$355,6,FALSE)/2,VLOOKUP(S19,[1]Weapon!$B$1:$G$355,6,FALSE)),0)</f>
        <v>-2</v>
      </c>
      <c r="V19" s="98" t="s">
        <v>135</v>
      </c>
      <c r="W19">
        <v>-1</v>
      </c>
      <c r="X19" s="5">
        <f>_xlfn.IFNA(IF($E19="Robot",VLOOKUP(V19,[1]Weapon!$B$1:$G$355,6,FALSE)/2,VLOOKUP(V19,[1]Weapon!$B$1:$G$355,6,FALSE)),0)</f>
        <v>-2</v>
      </c>
      <c r="Y19" s="98" t="s">
        <v>137</v>
      </c>
      <c r="Z19">
        <v>4</v>
      </c>
      <c r="AA19" s="5">
        <f>_xlfn.IFNA(IF($E19="Robot",VLOOKUP(Y19,[1]Weapon!$B$1:$G$355,6,FALSE)/2,VLOOKUP(Y19,[1]Weapon!$B$1:$G$355,6,FALSE)),0)</f>
        <v>4</v>
      </c>
      <c r="AB19" s="29"/>
      <c r="AC19">
        <v>-1</v>
      </c>
      <c r="AD19" s="5">
        <f>_xlfn.IFNA(IF($E19="Robot",VLOOKUP(AB19,[1]Weapon!$B$1:$G$355,6,FALSE)/2,VLOOKUP(AB19,[1]Weapon!$B$1:$G$355,6,FALSE)),0)</f>
        <v>0</v>
      </c>
      <c r="AF19">
        <v>-1</v>
      </c>
      <c r="AG19" s="5">
        <f>_xlfn.IFNA(IF($E19="Robot",VLOOKUP(AE19,[1]Weapon!$B$1:$G$355,6,FALSE)/2,VLOOKUP(AE19,[1]Weapon!$B$1:$G$355,6,FALSE)),0)</f>
        <v>0</v>
      </c>
      <c r="AI19">
        <v>-1</v>
      </c>
      <c r="AJ19" s="5">
        <f>_xlfn.IFNA(IF($E19="Robot",VLOOKUP(AH19,[1]Weapon!$B$1:$G$355,6,FALSE)/2,VLOOKUP(AH19,[1]Weapon!$B$1:$G$355,6,FALSE)),0)</f>
        <v>0</v>
      </c>
      <c r="AL19">
        <v>-1</v>
      </c>
      <c r="AM19" s="5">
        <f>_xlfn.IFNA(IF($E19="Robot",VLOOKUP(AK19,[1]Weapon!$B$1:$G$355,6,FALSE)/2,VLOOKUP(AK19,[1]Weapon!$B$1:$G$355,6,FALSE)),0)</f>
        <v>0</v>
      </c>
      <c r="AO19">
        <v>0</v>
      </c>
      <c r="AP19" s="5">
        <f>IF(ISTEXT(AN19),_xlfn.IFNA(VLOOKUP(LEFT(AN19,FIND("-",AN19)-1),[1]Weapon!$B$1:$G$355,6,FALSE),0),0)</f>
        <v>0</v>
      </c>
      <c r="AR19" s="8"/>
      <c r="AS19">
        <v>0</v>
      </c>
      <c r="AT19" t="s">
        <v>182</v>
      </c>
    </row>
    <row r="20" spans="1:47" hidden="1" x14ac:dyDescent="0.25">
      <c r="A20" s="1" t="str">
        <f t="shared" si="3"/>
        <v>Vince</v>
      </c>
      <c r="B20" s="94" t="s">
        <v>151</v>
      </c>
      <c r="D20" s="84" t="s">
        <v>129</v>
      </c>
      <c r="E20" s="67" t="s">
        <v>57</v>
      </c>
      <c r="F20">
        <v>52</v>
      </c>
      <c r="G20">
        <v>59</v>
      </c>
      <c r="H20">
        <v>6</v>
      </c>
      <c r="I20" s="4">
        <f>H20</f>
        <v>6</v>
      </c>
      <c r="J20">
        <v>0</v>
      </c>
      <c r="K20" s="4">
        <f>J20+_xlfn.IFNA(VLOOKUP($P20,[1]Weapon!$A$1:$M$353,9,FALSE),0)+_xlfn.IFNA(VLOOKUP($S20,[1]Weapon!$A$1:$M$353,9,FALSE),0)+_xlfn.IFNA(VLOOKUP($V20,[1]Weapon!$A$1:$M$353,9,FALSE),0)+_xlfn.IFNA(VLOOKUP($Y20,[1]Weapon!$A$1:$M$353,9,FALSE),0)+_xlfn.IFNA(VLOOKUP($AB20,[1]Weapon!$A$1:$M$353,9,FALSE),0)+_xlfn.IFNA(VLOOKUP($AE20,[1]Weapon!$A$1:$M$353,9,FALSE),0)+_xlfn.IFNA(VLOOKUP($AH20,[1]Weapon!$A$1:$M$353,9,FALSE),0)+_xlfn.IFNA(VLOOKUP($AK20,[1]Weapon!$A$1:$M$353,9,FALSE),0)</f>
        <v>5</v>
      </c>
      <c r="L20">
        <v>5</v>
      </c>
      <c r="M20" s="38">
        <f>L20</f>
        <v>5</v>
      </c>
      <c r="N20">
        <v>3</v>
      </c>
      <c r="O20" s="2">
        <f>N20</f>
        <v>3</v>
      </c>
      <c r="P20" s="68" t="s">
        <v>38</v>
      </c>
      <c r="Q20">
        <v>39</v>
      </c>
      <c r="R20" s="5">
        <f>_xlfn.IFNA(IF($E20="Robot",VLOOKUP(P20,[1]Weapon!$B$1:$G$355,6,FALSE)/2,VLOOKUP(P20,[1]Weapon!$B$1:$G$355,6,FALSE)),0)</f>
        <v>50</v>
      </c>
      <c r="S20" s="68" t="s">
        <v>93</v>
      </c>
      <c r="T20">
        <v>-1</v>
      </c>
      <c r="U20" s="5">
        <f>_xlfn.IFNA(IF($E20="Robot",VLOOKUP(S20,[1]Weapon!$B$1:$G$355,6,FALSE)/2,VLOOKUP(S20,[1]Weapon!$B$1:$G$355,6,FALSE)),0)</f>
        <v>-2</v>
      </c>
      <c r="V20" s="98" t="s">
        <v>135</v>
      </c>
      <c r="W20">
        <v>-1</v>
      </c>
      <c r="X20" s="5">
        <f>_xlfn.IFNA(IF($E20="Robot",VLOOKUP(V20,[1]Weapon!$B$1:$G$355,6,FALSE)/2,VLOOKUP(V20,[1]Weapon!$B$1:$G$355,6,FALSE)),0)</f>
        <v>-2</v>
      </c>
      <c r="Y20" s="98" t="s">
        <v>137</v>
      </c>
      <c r="Z20">
        <v>3</v>
      </c>
      <c r="AA20" s="5">
        <f>_xlfn.IFNA(IF($E20="Robot",VLOOKUP(Y20,[1]Weapon!$B$1:$G$355,6,FALSE)/2,VLOOKUP(Y20,[1]Weapon!$B$1:$G$355,6,FALSE)),0)</f>
        <v>4</v>
      </c>
      <c r="AB20" s="30"/>
      <c r="AC20">
        <v>-1</v>
      </c>
      <c r="AD20" s="5">
        <f>_xlfn.IFNA(IF($E20="Robot",VLOOKUP(AB20,[1]Weapon!$B$1:$G$355,6,FALSE)/2,VLOOKUP(AB20,[1]Weapon!$B$1:$G$355,6,FALSE)),0)</f>
        <v>0</v>
      </c>
      <c r="AF20">
        <v>-1</v>
      </c>
      <c r="AG20" s="5">
        <f>_xlfn.IFNA(IF($E20="Robot",VLOOKUP(AE20,[1]Weapon!$B$1:$G$355,6,FALSE)/2,VLOOKUP(AE20,[1]Weapon!$B$1:$G$355,6,FALSE)),0)</f>
        <v>0</v>
      </c>
      <c r="AH20" s="22"/>
      <c r="AI20">
        <v>-1</v>
      </c>
      <c r="AJ20" s="5">
        <f>_xlfn.IFNA(IF($E20="Robot",VLOOKUP(AH20,[1]Weapon!$B$1:$G$355,6,FALSE)/2,VLOOKUP(AH20,[1]Weapon!$B$1:$G$355,6,FALSE)),0)</f>
        <v>0</v>
      </c>
      <c r="AK20" s="22"/>
      <c r="AL20">
        <v>-1</v>
      </c>
      <c r="AM20" s="5">
        <f>_xlfn.IFNA(IF($E20="Robot",VLOOKUP(AK20,[1]Weapon!$B$1:$G$355,6,FALSE)/2,VLOOKUP(AK20,[1]Weapon!$B$1:$G$355,6,FALSE)),0)</f>
        <v>0</v>
      </c>
      <c r="AO20">
        <v>0</v>
      </c>
      <c r="AP20" s="5">
        <f>IF(ISTEXT(AN20),_xlfn.IFNA(VLOOKUP(LEFT(AN20,FIND("-",AN20)-1),[1]Weapon!$B$1:$G$355,6,FALSE),0),0)</f>
        <v>0</v>
      </c>
      <c r="AS20">
        <v>0</v>
      </c>
      <c r="AT20" t="s">
        <v>182</v>
      </c>
    </row>
    <row r="21" spans="1:47" hidden="1" x14ac:dyDescent="0.25">
      <c r="A21" s="1" t="str">
        <f t="shared" si="3"/>
        <v>Duridanya</v>
      </c>
      <c r="B21" s="96" t="s">
        <v>157</v>
      </c>
      <c r="D21" s="84" t="s">
        <v>129</v>
      </c>
      <c r="E21" s="80" t="s">
        <v>88</v>
      </c>
      <c r="F21">
        <v>61</v>
      </c>
      <c r="G21">
        <v>99</v>
      </c>
      <c r="H21">
        <v>8</v>
      </c>
      <c r="I21" s="4">
        <f>H21</f>
        <v>8</v>
      </c>
      <c r="J21">
        <v>1</v>
      </c>
      <c r="K21" s="4">
        <f>J21+_xlfn.IFNA(VLOOKUP($P21,[1]Weapon!$A$1:$M$353,9,FALSE),0)+_xlfn.IFNA(VLOOKUP($S21,[1]Weapon!$A$1:$M$353,9,FALSE),0)+_xlfn.IFNA(VLOOKUP($V21,[1]Weapon!$A$1:$M$353,9,FALSE),0)+_xlfn.IFNA(VLOOKUP($Y21,[1]Weapon!$A$1:$M$353,9,FALSE),0)+_xlfn.IFNA(VLOOKUP($AB21,[1]Weapon!$A$1:$M$353,9,FALSE),0)+_xlfn.IFNA(VLOOKUP($AE21,[1]Weapon!$A$1:$M$353,9,FALSE),0)+_xlfn.IFNA(VLOOKUP($AH21,[1]Weapon!$A$1:$M$353,9,FALSE),0)+_xlfn.IFNA(VLOOKUP($AK21,[1]Weapon!$A$1:$M$353,9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99" t="s">
        <v>85</v>
      </c>
      <c r="Q21">
        <v>10</v>
      </c>
      <c r="R21" s="5">
        <f>_xlfn.IFNA(IF($E21="Robot",VLOOKUP(P21,[1]Weapon!$B$1:$G$355,6,FALSE)/2,VLOOKUP(P21,[1]Weapon!$B$1:$G$355,6,FALSE)),0)</f>
        <v>15</v>
      </c>
      <c r="S21" s="99" t="s">
        <v>136</v>
      </c>
      <c r="T21">
        <v>-2</v>
      </c>
      <c r="U21" s="5">
        <v>-2</v>
      </c>
      <c r="V21" s="99" t="s">
        <v>162</v>
      </c>
      <c r="W21">
        <v>30</v>
      </c>
      <c r="X21" s="5">
        <f>_xlfn.IFNA(IF($E21="Robot",VLOOKUP(V21,[1]Weapon!$B$1:$G$355,6,FALSE)/2,VLOOKUP(V21,[1]Weapon!$B$1:$G$355,6,FALSE)),0)</f>
        <v>30</v>
      </c>
      <c r="Y21" s="99" t="s">
        <v>161</v>
      </c>
      <c r="Z21">
        <v>-2</v>
      </c>
      <c r="AA21" s="5">
        <f>_xlfn.IFNA(IF($E21="Robot",VLOOKUP(Y21,[1]Weapon!$B$1:$G$355,6,FALSE)/2,VLOOKUP(Y21,[1]Weapon!$B$1:$G$355,6,FALSE)),0)</f>
        <v>-2</v>
      </c>
      <c r="AB21" s="98" t="s">
        <v>160</v>
      </c>
      <c r="AC21">
        <v>35</v>
      </c>
      <c r="AD21" s="5">
        <f>_xlfn.IFNA(IF($E21="Robot",VLOOKUP(AB21,[1]Weapon!$B$1:$G$355,6,FALSE)/2,VLOOKUP(AB21,[1]Weapon!$B$1:$G$355,6,FALSE)),0)</f>
        <v>50</v>
      </c>
      <c r="AE21" s="98" t="s">
        <v>158</v>
      </c>
      <c r="AF21">
        <v>-1</v>
      </c>
      <c r="AG21" s="5">
        <f>_xlfn.IFNA(IF($E21="Robot",VLOOKUP(AE21,[1]Weapon!$B$1:$G$355,6,FALSE)/2,VLOOKUP(AE21,[1]Weapon!$B$1:$G$355,6,FALSE)),0)</f>
        <v>-2</v>
      </c>
      <c r="AH21" s="98" t="s">
        <v>159</v>
      </c>
      <c r="AI21">
        <v>-1</v>
      </c>
      <c r="AJ21" s="5">
        <f>_xlfn.IFNA(IF($E21="Robot",VLOOKUP(AH21,[1]Weapon!$B$1:$G$355,6,FALSE)/2,VLOOKUP(AH21,[1]Weapon!$B$1:$G$355,6,FALSE)),0)</f>
        <v>-2</v>
      </c>
      <c r="AK21" s="68"/>
      <c r="AL21">
        <v>-1</v>
      </c>
      <c r="AM21" s="5">
        <f>_xlfn.IFNA(IF($E21="Robot",VLOOKUP(AK21,[1]Weapon!$B$1:$G$355,6,FALSE)/2,VLOOKUP(AK21,[1]Weapon!$B$1:$G$355,6,FALSE)),0)</f>
        <v>0</v>
      </c>
      <c r="AO21">
        <v>0</v>
      </c>
      <c r="AP21" s="5">
        <f>IF(ISTEXT(AN21),_xlfn.IFNA(VLOOKUP(LEFT(AN21,FIND("-",AN21)-1),[1]Weapon!$B$1:$G$355,6,FALSE),0),0)</f>
        <v>0</v>
      </c>
      <c r="AS21">
        <v>0</v>
      </c>
      <c r="AT21" t="s">
        <v>182</v>
      </c>
    </row>
    <row r="22" spans="1:47" hidden="1" x14ac:dyDescent="0.25">
      <c r="A22" s="1" t="str">
        <f t="shared" si="3"/>
        <v>W0LF</v>
      </c>
      <c r="B22" s="127" t="s">
        <v>172</v>
      </c>
      <c r="D22" s="84" t="s">
        <v>129</v>
      </c>
      <c r="E22" s="82" t="s">
        <v>87</v>
      </c>
      <c r="F22">
        <v>150</v>
      </c>
      <c r="G22" s="4">
        <f>24+_xlfn.IFNA(VLOOKUP($P22,[1]Weapon!$A$1:$M$353,12,FALSE),0)+_xlfn.IFNA(VLOOKUP($S22,[1]Weapon!$A$1:$M$353,12,FALSE),0)+_xlfn.IFNA(VLOOKUP($V22,[1]Weapon!$A$1:$M$353,12,FALSE),0)+_xlfn.IFNA(VLOOKUP($Y22,[1]Weapon!$A$1:$M$353,12,FALSE),0)+_xlfn.IFNA(VLOOKUP($AB22,[1]Weapon!$A$1:$M$353,12,FALSE),0)+_xlfn.IFNA(VLOOKUP($AE22,[1]Weapon!$A$1:$M$353,12,FALSE),0)+_xlfn.IFNA(VLOOKUP($AH22,[1]Weapon!$A$1:$M$353,12,FALSE),0)+_xlfn.IFNA(VLOOKUP($AK22,[1]Weapon!$A$1:$M$353,12,FALSE),0)</f>
        <v>150</v>
      </c>
      <c r="H22">
        <v>0</v>
      </c>
      <c r="I22" s="38">
        <f>H22+_xlfn.IFNA(IF(VLOOKUP($P22,[1]Weapon!$B$2:$O$353,13,FALSE)="Str",VLOOKUP($P22,[1]Weapon!$B$2:$O$353,14,FALSE),0),0)+_xlfn.IFNA(IF(VLOOKUP($S22,[1]Weapon!$B$2:$O$353,13,FALSE)="Str",VLOOKUP($S22,[1]Weapon!$B$2:$O$353,14,FALSE),0),0)+_xlfn.IFNA(IF(VLOOKUP($V22,[1]Weapon!$B$2:$O$353,13,FALSE)="Str",VLOOKUP($V22,[1]Weapon!$B$2:$O$353,14,FALSE),0),0)+_xlfn.IFNA(IF(VLOOKUP($Y22,[1]Weapon!$B$2:$O$353,13,FALSE)="Str",VLOOKUP($Y22,[1]Weapon!$B$2:$O$353,14,FALSE),0),0)+_xlfn.IFNA(IF(VLOOKUP($AB22,[1]Weapon!$B$2:$O$353,13,FALSE)="Str",VLOOKUP($AB22,[1]Weapon!$B$2:$O$353,14,FALSE),0),0)+_xlfn.IFNA(IF(VLOOKUP($AE22,[1]Weapon!$B$2:$O$353,13,FALSE)="Str",VLOOKUP($AE22,[1]Weapon!$B$2:$O$353,14,FALSE),0),0)+_xlfn.IFNA(IF(VLOOKUP($AH22,[1]Weapon!$B$2:$O$353,13,FALSE)="Str",VLOOKUP($AH22,[1]Weapon!$B$2:$O$353,14,FALSE),0),0)+_xlfn.IFNA(IF(VLOOKUP($AK22,[1]Weapon!$B$2:$O$353,13,FALSE)="Str",VLOOKUP($AK22,[1]Weapon!$B$2:$O$353,14,FALSE),0),0)</f>
        <v>16</v>
      </c>
      <c r="J22">
        <v>6</v>
      </c>
      <c r="K22" s="4">
        <f>J22+_xlfn.IFNA(IF(VLOOKUP($P22,[1]Weapon!$B$2:$O$353,13,FALSE)="Def",VLOOKUP($P22,[1]Weapon!$B$2:$O$353,14,FALSE),0),0)+_xlfn.IFNA(IF(VLOOKUP($S22,[1]Weapon!$B$2:$O$353,13,FALSE)="Def",VLOOKUP($S22,[1]Weapon!$B$2:$O$353,14,FALSE),0),0)+_xlfn.IFNA(IF(VLOOKUP($V22,[1]Weapon!$B$2:$O$353,13,FALSE)="Def",VLOOKUP($V22,[1]Weapon!$B$2:$O$353,14,FALSE),0),0)+_xlfn.IFNA(IF(VLOOKUP($Y22,[1]Weapon!$B$2:$O$353,13,FALSE)="Def",VLOOKUP($Y22,[1]Weapon!$B$2:$O$353,14,FALSE),0),0)+_xlfn.IFNA(IF(VLOOKUP($AB22,[1]Weapon!$B$2:$O$353,13,FALSE)="Def",VLOOKUP($AB22,[1]Weapon!$B$2:$O$353,14,FALSE),0),0)+_xlfn.IFNA(IF(VLOOKUP($AE22,[1]Weapon!$B$2:$O$353,13,FALSE)="Def",VLOOKUP($AE22,[1]Weapon!$B$2:$O$353,14,FALSE),0),0)+_xlfn.IFNA(IF(VLOOKUP($AH22,[1]Weapon!$B$2:$O$353,13,FALSE)="Def",VLOOKUP($AH22,[1]Weapon!$B$2:$O$353,14,FALSE),0),0)+_xlfn.IFNA(IF(VLOOKUP($AK22,[1]Weapon!$B$2:$O$353,13,FALSE)="Def",VLOOKUP($AK22,[1]Weapon!$B$2:$O$353,14,FALSE),0),0)</f>
        <v>10</v>
      </c>
      <c r="L22">
        <v>5</v>
      </c>
      <c r="M22" s="4">
        <f>L22+_xlfn.IFNA(IF(VLOOKUP($P22,[1]Weapon!$B$2:$O$353,13,FALSE)="Agl",VLOOKUP($P22,[1]Weapon!$B$2:$O$353,14,FALSE),0),0)+_xlfn.IFNA(IF(VLOOKUP($S22,[1]Weapon!$B$2:$O$353,13,FALSE)="Agl",VLOOKUP($S22,[1]Weapon!$B$2:$O$353,14,FALSE),0),0)+_xlfn.IFNA(IF(VLOOKUP($V22,[1]Weapon!$B$2:$O$353,13,FALSE)="Agl",VLOOKUP($V22,[1]Weapon!$B$2:$O$353,14,FALSE),0),0)+_xlfn.IFNA(IF(VLOOKUP($Y22,[1]Weapon!$B$2:$O$353,13,FALSE)="Agl",VLOOKUP($Y22,[1]Weapon!$B$2:$O$353,14,FALSE),0),0)+_xlfn.IFNA(IF(VLOOKUP($AB22,[1]Weapon!$B$2:$O$353,13,FALSE)="Agl",VLOOKUP($AB22,[1]Weapon!$B$2:$O$353,14,FALSE),0),0)+_xlfn.IFNA(IF(VLOOKUP($AE22,[1]Weapon!$B$2:$O$353,13,FALSE)="Agl",VLOOKUP($AE22,[1]Weapon!$B$2:$O$353,14,FALSE),0),0)+_xlfn.IFNA(IF(VLOOKUP($AH22,[1]Weapon!$B$2:$O$353,13,FALSE)="Agl",VLOOKUP($AH22,[1]Weapon!$B$2:$O$353,14,FALSE),0),0)+_xlfn.IFNA(IF(VLOOKUP($AK22,[1]Weapon!$B$2:$O$353,13,FALSE)="Agl",VLOOKUP($AK22,[1]Weapon!$B$2:$O$353,14,FALSE),0),0)</f>
        <v>9</v>
      </c>
      <c r="N22">
        <v>0</v>
      </c>
      <c r="O22" s="2">
        <f>N22+_xlfn.IFNA(IF(VLOOKUP($P22,[1]Weapon!$B$2:$O$353,13,FALSE)="Mana",VLOOKUP($P22,[1]Weapon!$B$2:$O$353,14,FALSE),0),0)+_xlfn.IFNA(IF(VLOOKUP($S22,[1]Weapon!$B$2:$O$353,13,FALSE)="Mana",VLOOKUP($S22,[1]Weapon!$B$2:$O$353,14,FALSE),0),0)+_xlfn.IFNA(IF(VLOOKUP($V22,[1]Weapon!$B$2:$O$353,13,FALSE)="Mana",VLOOKUP($V22,[1]Weapon!$B$2:$O$353,14,FALSE),0),0)+_xlfn.IFNA(IF(VLOOKUP($Y22,[1]Weapon!$B$2:$O$353,13,FALSE)="Mana",VLOOKUP($Y22,[1]Weapon!$B$2:$O$353,14,FALSE),0),0)+_xlfn.IFNA(IF(VLOOKUP($AB22,[1]Weapon!$B$2:$O$353,13,FALSE)="Mana",VLOOKUP($AB22,[1]Weapon!$B$2:$O$353,14,FALSE),0),0)+_xlfn.IFNA(IF(VLOOKUP($AE22,[1]Weapon!$B$2:$O$353,13,FALSE)="Mana",VLOOKUP($AE22,[1]Weapon!$B$2:$O$353,14,FALSE),0),0)+_xlfn.IFNA(IF(VLOOKUP($AH22,[1]Weapon!$B$2:$O$353,13,FALSE)="Mana",VLOOKUP($AH22,[1]Weapon!$B$2:$O$353,14,FALSE),0),0)+_xlfn.IFNA(IF(VLOOKUP($AK22,[1]Weapon!$B$2:$O$353,13,FALSE)="Mana",VLOOKUP($AK22,[1]Weapon!$B$2:$O$353,14,FALSE),0),0)</f>
        <v>0</v>
      </c>
      <c r="P22" s="35" t="s">
        <v>100</v>
      </c>
      <c r="Q22">
        <v>-1</v>
      </c>
      <c r="R22" s="5">
        <f>_xlfn.IFNA(IF($E22="Robot",VLOOKUP(P22,[1]Weapon!$B$1:$G$355,6,FALSE)/2,VLOOKUP(P22,[1]Weapon!$B$1:$G$355,6,FALSE)),0)</f>
        <v>-1</v>
      </c>
      <c r="S22" s="98" t="s">
        <v>169</v>
      </c>
      <c r="T22">
        <v>25</v>
      </c>
      <c r="U22" s="5">
        <f>_xlfn.IFNA(IF($E22="Robot",VLOOKUP(S22,[1]Weapon!$B$1:$G$355,6,FALSE)/2,VLOOKUP(S22,[1]Weapon!$B$1:$G$355,6,FALSE)),0)</f>
        <v>25</v>
      </c>
      <c r="V22" s="98" t="s">
        <v>135</v>
      </c>
      <c r="W22">
        <v>-1</v>
      </c>
      <c r="X22" s="5">
        <f>_xlfn.IFNA(IF($E22="Robot",VLOOKUP(V22,[1]Weapon!$B$1:$G$355,6,FALSE)/2,VLOOKUP(V22,[1]Weapon!$B$1:$G$355,6,FALSE)),0)</f>
        <v>-1</v>
      </c>
      <c r="Y22" s="98" t="s">
        <v>146</v>
      </c>
      <c r="Z22">
        <v>-1</v>
      </c>
      <c r="AA22" s="5">
        <f>_xlfn.IFNA(IF($E22="Robot",VLOOKUP(Y22,[1]Weapon!$B$1:$G$355,6,FALSE)/2,VLOOKUP(Y22,[1]Weapon!$B$1:$G$355,6,FALSE)),0)</f>
        <v>-1</v>
      </c>
      <c r="AB22" s="98"/>
      <c r="AC22">
        <v>-1</v>
      </c>
      <c r="AD22" s="5">
        <f>_xlfn.IFNA(IF($E22="Robot",VLOOKUP(AB22,[1]Weapon!$B$1:$G$355,6,FALSE)/2,VLOOKUP(AB22,[1]Weapon!$B$1:$G$355,6,FALSE)),0)</f>
        <v>0</v>
      </c>
      <c r="AE22" s="98" t="s">
        <v>160</v>
      </c>
      <c r="AF22">
        <v>25</v>
      </c>
      <c r="AG22" s="5">
        <f>_xlfn.IFNA(IF($E22="Robot",VLOOKUP(AE22,[1]Weapon!$B$1:$G$355,6,FALSE)/2,VLOOKUP(AE22,[1]Weapon!$B$1:$G$355,6,FALSE)),0)</f>
        <v>25</v>
      </c>
      <c r="AH22" s="98" t="s">
        <v>111</v>
      </c>
      <c r="AI22">
        <v>20</v>
      </c>
      <c r="AJ22" s="5">
        <f>_xlfn.IFNA(IF($E22="Robot",VLOOKUP(AH22,[1]Weapon!$B$1:$G$355,6,FALSE)/2,VLOOKUP(AH22,[1]Weapon!$B$1:$G$355,6,FALSE)),0)</f>
        <v>20</v>
      </c>
      <c r="AK22" s="98" t="s">
        <v>38</v>
      </c>
      <c r="AL22">
        <v>25</v>
      </c>
      <c r="AM22" s="5">
        <f>_xlfn.IFNA(IF($E22="Robot",VLOOKUP(AK22,[1]Weapon!$B$1:$G$355,6,FALSE)/2,VLOOKUP(AK22,[1]Weapon!$B$1:$G$355,6,FALSE)),0)</f>
        <v>25</v>
      </c>
      <c r="AO22">
        <v>0</v>
      </c>
      <c r="AP22" s="5">
        <f>IF(ISTEXT(AN22),_xlfn.IFNA(VLOOKUP(LEFT(AN22,FIND("-",AN22)-1),[1]Weapon!$B$1:$G$355,6,FALSE),0),0)</f>
        <v>0</v>
      </c>
      <c r="AS22">
        <v>0</v>
      </c>
      <c r="AT22" t="s">
        <v>182</v>
      </c>
    </row>
    <row r="23" spans="1:47" hidden="1" x14ac:dyDescent="0.25">
      <c r="A23" s="1" t="str">
        <f t="shared" si="3"/>
        <v>Draz</v>
      </c>
      <c r="B23" s="127" t="s">
        <v>173</v>
      </c>
      <c r="D23" s="84" t="s">
        <v>129</v>
      </c>
      <c r="E23" s="95" t="s">
        <v>57</v>
      </c>
      <c r="F23">
        <v>113</v>
      </c>
      <c r="G23">
        <v>113</v>
      </c>
      <c r="H23">
        <v>7</v>
      </c>
      <c r="I23" s="4">
        <f>H23</f>
        <v>7</v>
      </c>
      <c r="J23">
        <v>0</v>
      </c>
      <c r="K23" s="4">
        <f>J23+_xlfn.IFNA(VLOOKUP($P23,[1]Weapon!$A$1:$M$353,9,FALSE),0)+_xlfn.IFNA(VLOOKUP($S23,[1]Weapon!$A$1:$M$353,9,FALSE),0)+_xlfn.IFNA(VLOOKUP($V23,[1]Weapon!$A$1:$M$353,9,FALSE),0)+_xlfn.IFNA(VLOOKUP($Y23,[1]Weapon!$A$1:$M$353,9,FALSE),0)+_xlfn.IFNA(VLOOKUP($AB23,[1]Weapon!$A$1:$M$353,9,FALSE),0)+_xlfn.IFNA(VLOOKUP($AE23,[1]Weapon!$A$1:$M$353,9,FALSE),0)+_xlfn.IFNA(VLOOKUP($AH23,[1]Weapon!$A$1:$M$353,9,FALSE),0)+_xlfn.IFNA(VLOOKUP($AK23,[1]Weapon!$A$1:$M$353,9,FALSE),0)</f>
        <v>6</v>
      </c>
      <c r="L23">
        <v>9</v>
      </c>
      <c r="M23" s="4">
        <f>L23</f>
        <v>9</v>
      </c>
      <c r="N23">
        <v>4</v>
      </c>
      <c r="O23" s="2">
        <f>N23</f>
        <v>4</v>
      </c>
      <c r="P23" s="98" t="s">
        <v>118</v>
      </c>
      <c r="Q23">
        <v>20</v>
      </c>
      <c r="R23" s="5">
        <v>50</v>
      </c>
      <c r="S23" s="68" t="s">
        <v>93</v>
      </c>
      <c r="T23">
        <v>-1</v>
      </c>
      <c r="U23" s="5">
        <f>_xlfn.IFNA(IF($E23="Robot",VLOOKUP(S23,[1]Weapon!$B$1:$G$355,6,FALSE)/2,VLOOKUP(S23,[1]Weapon!$B$1:$G$355,6,FALSE)),0)</f>
        <v>-2</v>
      </c>
      <c r="V23" s="98" t="s">
        <v>135</v>
      </c>
      <c r="W23">
        <v>-1</v>
      </c>
      <c r="X23" s="5">
        <f>_xlfn.IFNA(IF($E23="Robot",VLOOKUP(V23,[1]Weapon!$B$1:$G$355,6,FALSE)/2,VLOOKUP(V23,[1]Weapon!$B$1:$G$355,6,FALSE)),0)</f>
        <v>-2</v>
      </c>
      <c r="Y23" s="98" t="s">
        <v>146</v>
      </c>
      <c r="Z23">
        <v>-1</v>
      </c>
      <c r="AA23" s="5">
        <f>_xlfn.IFNA(IF($E23="Robot",VLOOKUP(Y23,[1]Weapon!$B$1:$G$355,6,FALSE)/2,VLOOKUP(Y23,[1]Weapon!$B$1:$G$355,6,FALSE)),0)</f>
        <v>-2</v>
      </c>
      <c r="AB23" s="98" t="s">
        <v>154</v>
      </c>
      <c r="AC23">
        <v>50</v>
      </c>
      <c r="AD23" s="5">
        <f>_xlfn.IFNA(IF($E23="Robot",VLOOKUP(AB23,[1]Weapon!$B$1:$G$355,6,FALSE)/2,VLOOKUP(AB23,[1]Weapon!$B$1:$G$355,6,FALSE)),0)</f>
        <v>50</v>
      </c>
      <c r="AF23">
        <v>-1</v>
      </c>
      <c r="AG23" s="5">
        <f>_xlfn.IFNA(IF($E23="Robot",VLOOKUP(AE23,[1]Weapon!$B$1:$G$355,6,FALSE)/2,VLOOKUP(AE23,[1]Weapon!$B$1:$G$355,6,FALSE)),0)</f>
        <v>0</v>
      </c>
      <c r="AH23" s="22"/>
      <c r="AI23">
        <v>-1</v>
      </c>
      <c r="AJ23" s="5">
        <f>_xlfn.IFNA(IF($E23="Robot",VLOOKUP(AH23,[1]Weapon!$B$1:$G$355,6,FALSE)/2,VLOOKUP(AH23,[1]Weapon!$B$1:$G$355,6,FALSE)),0)</f>
        <v>0</v>
      </c>
      <c r="AK23" s="22"/>
      <c r="AL23">
        <v>-1</v>
      </c>
      <c r="AM23" s="5">
        <f>_xlfn.IFNA(IF($E23="Robot",VLOOKUP(AK23,[1]Weapon!$B$1:$G$355,6,FALSE)/2,VLOOKUP(AK23,[1]Weapon!$B$1:$G$355,6,FALSE)),0)</f>
        <v>0</v>
      </c>
      <c r="AO23">
        <v>0</v>
      </c>
      <c r="AP23" s="5">
        <f>IF(ISTEXT(AN23),_xlfn.IFNA(VLOOKUP(LEFT(AN23,FIND("-",AN23)-1),[1]Weapon!$B$1:$G$355,6,FALSE),0),0)</f>
        <v>0</v>
      </c>
      <c r="AS23">
        <v>0</v>
      </c>
      <c r="AT23" t="s">
        <v>182</v>
      </c>
    </row>
    <row r="24" spans="1:47" hidden="1" x14ac:dyDescent="0.25">
      <c r="A24" s="56" t="str">
        <f>B24</f>
        <v>Ki</v>
      </c>
      <c r="B24" s="133" t="s">
        <v>183</v>
      </c>
      <c r="C24" s="6"/>
      <c r="D24" s="83" t="s">
        <v>129</v>
      </c>
      <c r="E24" s="87" t="s">
        <v>184</v>
      </c>
      <c r="F24">
        <v>24</v>
      </c>
      <c r="G24" s="4">
        <f>IF(ISBLANK(VLOOKUP($E24,[1]Monster!$A$2:$X$400,10,FALSE)),"",VLOOKUP($E24,[1]Monster!$A$2:$X$400,10,FALSE))</f>
        <v>80</v>
      </c>
      <c r="H24">
        <v>0</v>
      </c>
      <c r="I24" s="4">
        <f>IF(ISBLANK(VLOOKUP($E24,[1]Monster!$A$2:$X$400,11,FALSE)),"",VLOOKUP($E24,[1]Monster!$A$2:$X$400,11,FALSE))+H24</f>
        <v>8</v>
      </c>
      <c r="J24">
        <v>0</v>
      </c>
      <c r="K24" s="4">
        <f>IF(ISBLANK(VLOOKUP($E24,[1]Monster!$A$2:$X$400,14,FALSE)),"",VLOOKUP($E24,[1]Monster!$A$2:$X$400,14,FALSE))+J24</f>
        <v>11</v>
      </c>
      <c r="L24">
        <v>0</v>
      </c>
      <c r="M24" s="4">
        <f>IF(ISBLANK(VLOOKUP($E24,[1]Monster!$A$2:$X$400,12,FALSE)),"",VLOOKUP($E24,[1]Monster!$A$2:$X$400,12,FALSE))+L24</f>
        <v>13</v>
      </c>
      <c r="N24">
        <v>0</v>
      </c>
      <c r="O24" s="2">
        <f>IF(ISBLANK(VLOOKUP($E24,[1]Monster!$A$2:$X$400,13,FALSE)),"",VLOOKUP($E24,[1]Monster!$A$2:$X$400,13,FALSE))+N24</f>
        <v>14</v>
      </c>
      <c r="P24" s="28" t="str">
        <f>IF(ISBLANK(VLOOKUP($E24,[1]Monster!$A$2:$X$400,16,FALSE)),"",VLOOKUP($E24,[1]Monster!$A$2:$X$400,16,FALSE))</f>
        <v>Hammer</v>
      </c>
      <c r="Q24">
        <v>43</v>
      </c>
      <c r="R24" s="5">
        <f>_xlfn.IFNA(IF($E24="Robot",VLOOKUP(P24,[1]Weapon!$B$1:$G$355,6,FALSE)/2,VLOOKUP(P24,[1]Weapon!$B$1:$G$355,6,FALSE)),0)</f>
        <v>50</v>
      </c>
      <c r="S24" s="28" t="str">
        <f>IF(ISBLANK(VLOOKUP($E24,[1]Monster!$A$2:$X$400,17,FALSE)),"",VLOOKUP($E24,[1]Monster!$A$2:$X$400,17,FALSE))</f>
        <v>Bronze Shield</v>
      </c>
      <c r="T24">
        <v>42</v>
      </c>
      <c r="U24" s="5">
        <f>_xlfn.IFNA(IF($E24="Robot",VLOOKUP(S24,[1]Weapon!$B$1:$G$355,6,FALSE)/2,VLOOKUP(S24,[1]Weapon!$B$1:$G$355,6,FALSE)),0)</f>
        <v>50</v>
      </c>
      <c r="V24" s="29" t="str">
        <f>IF(ISBLANK(VLOOKUP($E24,[1]Monster!$A$2:$X$400,18,FALSE)),"",VLOOKUP($E24,[1]Monster!$A$2:$X$400,18,FALSE))</f>
        <v>Thunder Book</v>
      </c>
      <c r="W24">
        <v>17</v>
      </c>
      <c r="X24" s="5">
        <f>_xlfn.IFNA(IF($E24="Robot",VLOOKUP(V24,[1]Weapon!$B$1:$G$355,6,FALSE)/2,VLOOKUP(V24,[1]Weapon!$B$1:$G$355,6,FALSE)),0)</f>
        <v>30</v>
      </c>
      <c r="Y24" s="28" t="str">
        <f>IF(ISBLANK(VLOOKUP($E24,[1]Monster!$A$2:$X$400,19,FALSE)),"",VLOOKUP($E24,[1]Monster!$A$2:$X$400,19,FALSE))</f>
        <v>Cure Book</v>
      </c>
      <c r="Z24">
        <v>1</v>
      </c>
      <c r="AA24" s="5">
        <f>_xlfn.IFNA(IF($E24="Robot",VLOOKUP(Y24,[1]Weapon!$B$1:$G$355,6,FALSE)/2,VLOOKUP(Y24,[1]Weapon!$B$1:$G$355,6,FALSE)),0)</f>
        <v>30</v>
      </c>
      <c r="AB24" s="28" t="str">
        <f>IF(ISBLANK(VLOOKUP($E24,[1]Monster!$A$2:$X$400,20,FALSE)),"",VLOOKUP($E24,[1]Monster!$A$2:$X$400,20,FALSE))</f>
        <v>Bronze Armor</v>
      </c>
      <c r="AC24">
        <v>-1</v>
      </c>
      <c r="AD24" s="5">
        <f>_xlfn.IFNA(IF($E24="Robot",VLOOKUP(AB24,[1]Weapon!$B$1:$G$355,6,FALSE)/2,VLOOKUP(AB24,[1]Weapon!$B$1:$G$355,6,FALSE)),0)</f>
        <v>-2</v>
      </c>
      <c r="AE24" s="28" t="str">
        <f>IF(ISBLANK(VLOOKUP($E24,[1]Monster!$A$2:$X$400,21,FALSE)),"",VLOOKUP($E24,[1]Monster!$A$2:$X$400,21,FALSE))</f>
        <v>Bronze Helm</v>
      </c>
      <c r="AF24">
        <v>-1</v>
      </c>
      <c r="AG24" s="5">
        <f>_xlfn.IFNA(IF($E24="Robot",VLOOKUP(AE24,[1]Weapon!$B$1:$G$355,6,FALSE)/2,VLOOKUP(AE24,[1]Weapon!$B$1:$G$355,6,FALSE)),0)</f>
        <v>-2</v>
      </c>
      <c r="AH24" s="29" t="str">
        <f>IF(ISBLANK(VLOOKUP($E24,[1]Monster!$A$2:$X$400,22,FALSE)),"",VLOOKUP($E24,[1]Monster!$A$2:$X$400,22,FALSE))</f>
        <v>Bronze Glove</v>
      </c>
      <c r="AI24">
        <v>-1</v>
      </c>
      <c r="AJ24" s="5">
        <f>_xlfn.IFNA(IF($E24="Robot",VLOOKUP(AH24,[1]Weapon!$B$1:$G$355,6,FALSE)/2,VLOOKUP(AH24,[1]Weapon!$B$1:$G$355,6,FALSE)),0)</f>
        <v>-2</v>
      </c>
      <c r="AK24" s="21" t="str">
        <f>IF(ISBLANK(VLOOKUP($E24,[1]Monster!$A$2:$X$400,23,FALSE)),"",VLOOKUP($E24,[1]Monster!$A$2:$X$400,23,FALSE))</f>
        <v/>
      </c>
      <c r="AL24">
        <v>-1</v>
      </c>
      <c r="AM24" s="5">
        <f>_xlfn.IFNA(IF($E24="Robot",VLOOKUP(AK24,[1]Weapon!$B$1:$G$355,6,FALSE)/2,VLOOKUP(AK24,[1]Weapon!$B$1:$G$355,6,FALSE)),0)</f>
        <v>0</v>
      </c>
      <c r="AO24">
        <v>0</v>
      </c>
      <c r="AP24" s="5">
        <f>IF(ISTEXT(AN24),_xlfn.IFNA(VLOOKUP(LEFT(AN24,FIND("-",AN24)-1),[1]Weapon!$B$1:$G$355,6,FALSE),0),0)</f>
        <v>0</v>
      </c>
      <c r="AQ24" s="3"/>
      <c r="AR24" s="136" t="s">
        <v>190</v>
      </c>
      <c r="AS24">
        <v>0</v>
      </c>
      <c r="AT24" t="s">
        <v>182</v>
      </c>
      <c r="AU24" s="1">
        <v>3</v>
      </c>
    </row>
    <row r="25" spans="1:47" hidden="1" x14ac:dyDescent="0.25">
      <c r="A25" s="56" t="str">
        <f>B25</f>
        <v>Styx</v>
      </c>
      <c r="B25" s="133" t="s">
        <v>185</v>
      </c>
      <c r="C25" s="135"/>
      <c r="D25" s="83" t="s">
        <v>129</v>
      </c>
      <c r="E25" s="87" t="s">
        <v>186</v>
      </c>
      <c r="F25">
        <v>60</v>
      </c>
      <c r="G25" s="4">
        <f>IF(ISBLANK(VLOOKUP($E25,[1]Monster!$A$2:$X$400,10,FALSE)),"",VLOOKUP($E25,[1]Monster!$A$2:$X$400,10,FALSE))</f>
        <v>104</v>
      </c>
      <c r="H25">
        <v>0</v>
      </c>
      <c r="I25" s="4">
        <f>IF(ISBLANK(VLOOKUP($E25,[1]Monster!$A$2:$X$400,11,FALSE)),"",VLOOKUP($E25,[1]Monster!$A$2:$X$400,11,FALSE))+H25</f>
        <v>9</v>
      </c>
      <c r="J25">
        <v>0</v>
      </c>
      <c r="K25" s="4">
        <f>IF(ISBLANK(VLOOKUP($E25,[1]Monster!$A$2:$X$400,14,FALSE)),"",VLOOKUP($E25,[1]Monster!$A$2:$X$400,14,FALSE))+J25</f>
        <v>12</v>
      </c>
      <c r="L25">
        <v>0</v>
      </c>
      <c r="M25" s="4">
        <f>IF(ISBLANK(VLOOKUP($E25,[1]Monster!$A$2:$X$400,12,FALSE)),"",VLOOKUP($E25,[1]Monster!$A$2:$X$400,12,FALSE))+L25</f>
        <v>16</v>
      </c>
      <c r="N25">
        <v>0</v>
      </c>
      <c r="O25" s="2">
        <f>IF(ISBLANK(VLOOKUP($E25,[1]Monster!$A$2:$X$400,13,FALSE)),"",VLOOKUP($E25,[1]Monster!$A$2:$X$400,13,FALSE))+N25</f>
        <v>17</v>
      </c>
      <c r="P25" s="28" t="str">
        <f>IF(ISBLANK(VLOOKUP($E25,[1]Monster!$A$2:$X$400,16,FALSE)),"",VLOOKUP($E25,[1]Monster!$A$2:$X$400,16,FALSE))</f>
        <v>Sleep</v>
      </c>
      <c r="Q25">
        <v>9</v>
      </c>
      <c r="R25" s="5">
        <f>_xlfn.IFNA(IF($E25="Robot",VLOOKUP(P25,[1]Weapon!$B$1:$G$355,6,FALSE)/2,VLOOKUP(P25,[1]Weapon!$B$1:$G$355,6,FALSE)),0)</f>
        <v>15</v>
      </c>
      <c r="S25" s="28" t="str">
        <f>IF(ISBLANK(VLOOKUP($E25,[1]Monster!$A$2:$X$400,17,FALSE)),"",VLOOKUP($E25,[1]Monster!$A$2:$X$400,17,FALSE))</f>
        <v>Thunder</v>
      </c>
      <c r="T25">
        <v>11</v>
      </c>
      <c r="U25" s="5">
        <f>_xlfn.IFNA(IF($E25="Robot",VLOOKUP(S25,[1]Weapon!$B$1:$G$355,6,FALSE)/2,VLOOKUP(S25,[1]Weapon!$B$1:$G$355,6,FALSE)),0)</f>
        <v>15</v>
      </c>
      <c r="V25" s="29" t="str">
        <f>IF(ISBLANK(VLOOKUP($E25,[1]Monster!$A$2:$X$400,18,FALSE)),"",VLOOKUP($E25,[1]Monster!$A$2:$X$400,18,FALSE))</f>
        <v>Cure</v>
      </c>
      <c r="W25">
        <v>10</v>
      </c>
      <c r="X25" s="5">
        <f>_xlfn.IFNA(IF($E25="Robot",VLOOKUP(V25,[1]Weapon!$B$1:$G$355,6,FALSE)/2,VLOOKUP(V25,[1]Weapon!$B$1:$G$355,6,FALSE)),0)</f>
        <v>15</v>
      </c>
      <c r="Y25" s="28" t="str">
        <f>IF(ISBLANK(VLOOKUP($E25,[1]Monster!$A$2:$X$400,19,FALSE)),"",VLOOKUP($E25,[1]Monster!$A$2:$X$400,19,FALSE))</f>
        <v>O-Quake</v>
      </c>
      <c r="Z25">
        <v>-2</v>
      </c>
      <c r="AA25" s="5">
        <f>_xlfn.IFNA(IF($E25="Robot",VLOOKUP(Y25,[1]Weapon!$B$1:$G$355,6,FALSE)/2,VLOOKUP(Y25,[1]Weapon!$B$1:$G$355,6,FALSE)),0)</f>
        <v>-2</v>
      </c>
      <c r="AB25" s="28" t="str">
        <f>IF(ISBLANK(VLOOKUP($E25,[1]Monster!$A$2:$X$400,20,FALSE)),"",VLOOKUP($E25,[1]Monster!$A$2:$X$400,20,FALSE))</f>
        <v/>
      </c>
      <c r="AC25">
        <v>0</v>
      </c>
      <c r="AD25" s="5">
        <f>_xlfn.IFNA(IF($E25="Robot",VLOOKUP(AB25,[1]Weapon!$B$1:$G$355,6,FALSE)/2,VLOOKUP(AB25,[1]Weapon!$B$1:$G$355,6,FALSE)),0)</f>
        <v>0</v>
      </c>
      <c r="AE25" s="28" t="str">
        <f>IF(ISBLANK(VLOOKUP($E25,[1]Monster!$A$2:$X$400,21,FALSE)),"",VLOOKUP($E25,[1]Monster!$A$2:$X$400,21,FALSE))</f>
        <v/>
      </c>
      <c r="AF25">
        <v>0</v>
      </c>
      <c r="AG25" s="5">
        <f>_xlfn.IFNA(IF($E25="Robot",VLOOKUP(AE25,[1]Weapon!$B$1:$G$355,6,FALSE)/2,VLOOKUP(AE25,[1]Weapon!$B$1:$G$355,6,FALSE)),0)</f>
        <v>0</v>
      </c>
      <c r="AH25" s="29" t="str">
        <f>IF(ISBLANK(VLOOKUP($E25,[1]Monster!$A$2:$X$400,22,FALSE)),"",VLOOKUP($E25,[1]Monster!$A$2:$X$400,22,FALSE))</f>
        <v/>
      </c>
      <c r="AI25">
        <v>0</v>
      </c>
      <c r="AJ25" s="5">
        <f>_xlfn.IFNA(IF($E25="Robot",VLOOKUP(AH25,[1]Weapon!$B$1:$G$355,6,FALSE)/2,VLOOKUP(AH25,[1]Weapon!$B$1:$G$355,6,FALSE)),0)</f>
        <v>0</v>
      </c>
      <c r="AK25" s="21" t="str">
        <f>IF(ISBLANK(VLOOKUP($E25,[1]Monster!$A$2:$X$400,23,FALSE)),"",VLOOKUP($E25,[1]Monster!$A$2:$X$400,23,FALSE))</f>
        <v/>
      </c>
      <c r="AL25">
        <v>0</v>
      </c>
      <c r="AM25" s="5">
        <f>_xlfn.IFNA(IF($E25="Robot",VLOOKUP(AK25,[1]Weapon!$B$1:$G$355,6,FALSE)/2,VLOOKUP(AK25,[1]Weapon!$B$1:$G$355,6,FALSE)),0)</f>
        <v>0</v>
      </c>
      <c r="AO25">
        <v>0</v>
      </c>
      <c r="AP25" s="5">
        <f>IF(ISTEXT(AN25),_xlfn.IFNA(VLOOKUP(LEFT(AN25,FIND("-",AN25)-1),[1]Weapon!$B$1:$G$355,6,FALSE),0),0)</f>
        <v>0</v>
      </c>
      <c r="AQ25" s="3"/>
      <c r="AR25" s="8"/>
      <c r="AS25">
        <v>0</v>
      </c>
      <c r="AT25" t="s">
        <v>181</v>
      </c>
      <c r="AU25" s="1">
        <v>2</v>
      </c>
    </row>
    <row r="26" spans="1:47" hidden="1" x14ac:dyDescent="0.25">
      <c r="A26" s="1" t="str">
        <f>B26</f>
        <v>Brahm</v>
      </c>
      <c r="B26" s="138" t="s">
        <v>191</v>
      </c>
      <c r="D26" s="84" t="s">
        <v>129</v>
      </c>
      <c r="E26" s="95" t="s">
        <v>57</v>
      </c>
      <c r="F26">
        <v>80</v>
      </c>
      <c r="G26">
        <v>80</v>
      </c>
      <c r="H26">
        <v>8</v>
      </c>
      <c r="I26" s="4">
        <f>H26</f>
        <v>8</v>
      </c>
      <c r="J26">
        <v>0</v>
      </c>
      <c r="K26" s="4">
        <f>J26+_xlfn.IFNA(VLOOKUP($P26,[1]Weapon!$A$1:$M$353,9,FALSE),0)+_xlfn.IFNA(VLOOKUP($S26,[1]Weapon!$A$1:$M$353,9,FALSE),0)+_xlfn.IFNA(VLOOKUP($V26,[1]Weapon!$A$1:$M$353,9,FALSE),0)+_xlfn.IFNA(VLOOKUP($Y26,[1]Weapon!$A$1:$M$353,9,FALSE),0)+_xlfn.IFNA(VLOOKUP($AB26,[1]Weapon!$A$1:$M$353,9,FALSE),0)+_xlfn.IFNA(VLOOKUP($AE26,[1]Weapon!$A$1:$M$353,9,FALSE),0)+_xlfn.IFNA(VLOOKUP($AH26,[1]Weapon!$A$1:$M$353,9,FALSE),0)+_xlfn.IFNA(VLOOKUP($AK26,[1]Weapon!$A$1:$M$353,9,FALSE),0)</f>
        <v>6</v>
      </c>
      <c r="L26">
        <v>8</v>
      </c>
      <c r="M26" s="4">
        <f>L26</f>
        <v>8</v>
      </c>
      <c r="N26">
        <v>8</v>
      </c>
      <c r="O26" s="2">
        <f>N26</f>
        <v>8</v>
      </c>
      <c r="P26" s="137" t="s">
        <v>92</v>
      </c>
      <c r="Q26">
        <v>43</v>
      </c>
      <c r="R26" s="5">
        <f>_xlfn.IFNA(IF($E26="Robot",VLOOKUP(P26,[1]Weapon!$B$1:$G$355,6,FALSE)/2,VLOOKUP(P26,[1]Weapon!$B$1:$G$355,6,FALSE)),0)</f>
        <v>50</v>
      </c>
      <c r="S26" s="137" t="s">
        <v>93</v>
      </c>
      <c r="T26">
        <v>-1</v>
      </c>
      <c r="U26" s="5">
        <v>-2</v>
      </c>
      <c r="V26" s="137" t="s">
        <v>135</v>
      </c>
      <c r="W26">
        <v>-1</v>
      </c>
      <c r="X26" s="5">
        <f>_xlfn.IFNA(IF($E26="Robot",VLOOKUP(V26,[1]Weapon!$B$1:$G$355,6,FALSE)/2,VLOOKUP(V26,[1]Weapon!$B$1:$G$355,6,FALSE)),0)</f>
        <v>-2</v>
      </c>
      <c r="Y26" s="137" t="s">
        <v>146</v>
      </c>
      <c r="Z26">
        <v>-1</v>
      </c>
      <c r="AA26" s="5">
        <f>_xlfn.IFNA(IF($E26="Robot",VLOOKUP(Y26,[1]Weapon!$B$1:$G$355,6,FALSE)/2,VLOOKUP(Y26,[1]Weapon!$B$1:$G$355,6,FALSE)),0)</f>
        <v>-2</v>
      </c>
      <c r="AB26" s="98"/>
      <c r="AC26">
        <v>-1</v>
      </c>
      <c r="AD26" s="5">
        <f>_xlfn.IFNA(IF($E26="Robot",VLOOKUP(AB26,[1]Weapon!$B$1:$G$355,6,FALSE)/2,VLOOKUP(AB26,[1]Weapon!$B$1:$G$355,6,FALSE)),0)</f>
        <v>0</v>
      </c>
      <c r="AE26" s="137"/>
      <c r="AF26">
        <v>-1</v>
      </c>
      <c r="AG26" s="5">
        <f>_xlfn.IFNA(IF($E26="Robot",VLOOKUP(AE26,[1]Weapon!$B$1:$G$355,6,FALSE)/2,VLOOKUP(AE26,[1]Weapon!$B$1:$G$355,6,FALSE)),0)</f>
        <v>0</v>
      </c>
      <c r="AH26" s="137"/>
      <c r="AI26">
        <v>-1</v>
      </c>
      <c r="AJ26" s="5">
        <f>_xlfn.IFNA(IF($E26="Robot",VLOOKUP(AH26,[1]Weapon!$B$1:$G$355,6,FALSE)/2,VLOOKUP(AH26,[1]Weapon!$B$1:$G$355,6,FALSE)),0)</f>
        <v>0</v>
      </c>
      <c r="AK26" s="68"/>
      <c r="AL26">
        <v>-1</v>
      </c>
      <c r="AM26" s="5">
        <f>_xlfn.IFNA(IF($E26="Robot",VLOOKUP(AK26,[1]Weapon!$B$1:$G$355,6,FALSE)/2,VLOOKUP(AK26,[1]Weapon!$B$1:$G$355,6,FALSE)),0)</f>
        <v>0</v>
      </c>
      <c r="AO26">
        <v>-1</v>
      </c>
      <c r="AP26" s="5">
        <f>IF(ISTEXT(AN26),_xlfn.IFNA(VLOOKUP(LEFT(AN26,FIND("-",AN26)-1),[1]Weapon!$B$1:$G$355,6,FALSE),0),0)</f>
        <v>0</v>
      </c>
      <c r="AS26" t="s">
        <v>182</v>
      </c>
      <c r="AT26" t="s">
        <v>182</v>
      </c>
    </row>
    <row r="27" spans="1:47" hidden="1" x14ac:dyDescent="0.25">
      <c r="A27" s="56" t="str">
        <f t="shared" ref="A27:A29" si="4">B27</f>
        <v>Spiralex</v>
      </c>
      <c r="B27" s="140" t="s">
        <v>201</v>
      </c>
      <c r="C27" s="135"/>
      <c r="D27" s="141" t="s">
        <v>202</v>
      </c>
      <c r="E27" s="87" t="s">
        <v>205</v>
      </c>
      <c r="F27">
        <v>162</v>
      </c>
      <c r="G27" s="4">
        <f>14+IF(ISBLANK(VLOOKUP($E27,[1]Monster!$A$2:$X$400,10,FALSE)),"",VLOOKUP($E27,[1]Monster!$A$2:$X$400,10,FALSE))</f>
        <v>162</v>
      </c>
      <c r="H27">
        <v>1</v>
      </c>
      <c r="I27" s="4">
        <f>IF(ISBLANK(VLOOKUP($E27,[1]Monster!$A$2:$X$400,11,FALSE)),"",VLOOKUP($E27,[1]Monster!$A$2:$X$400,11,FALSE))+H27</f>
        <v>16</v>
      </c>
      <c r="J27">
        <v>1</v>
      </c>
      <c r="K27" s="4">
        <f>IF(ISBLANK(VLOOKUP($E27,[1]Monster!$A$2:$X$400,14,FALSE)),"",VLOOKUP($E27,[1]Monster!$A$2:$X$400,14,FALSE))+J27</f>
        <v>10</v>
      </c>
      <c r="L27">
        <v>1</v>
      </c>
      <c r="M27" s="4">
        <f>IF(ISBLANK(VLOOKUP($E27,[1]Monster!$A$2:$X$400,12,FALSE)),"",VLOOKUP($E27,[1]Monster!$A$2:$X$400,12,FALSE))+L27</f>
        <v>13</v>
      </c>
      <c r="N27">
        <v>1</v>
      </c>
      <c r="O27" s="2">
        <f>IF(ISBLANK(VLOOKUP($E27,[1]Monster!$A$2:$X$400,13,FALSE)),"",VLOOKUP($E27,[1]Monster!$A$2:$X$400,13,FALSE))+N27</f>
        <v>13</v>
      </c>
      <c r="P27" s="28" t="str">
        <f>IF(ISBLANK(VLOOKUP($E27,[1]Monster!$A$2:$X$400,16,FALSE)),"",VLOOKUP($E27,[1]Monster!$A$2:$X$400,16,FALSE))</f>
        <v>Dissolve</v>
      </c>
      <c r="Q27">
        <v>0</v>
      </c>
      <c r="R27" s="5">
        <f>_xlfn.IFNA(IF($E27="Robot",VLOOKUP(P27,[1]Weapon!$B$1:$G$355,6,FALSE)/2,VLOOKUP(P27,[1]Weapon!$B$1:$G$355,6,FALSE)),0)</f>
        <v>15</v>
      </c>
      <c r="S27" s="28" t="str">
        <f>IF(ISBLANK(VLOOKUP($E27,[1]Monster!$A$2:$X$400,17,FALSE)),"",VLOOKUP($E27,[1]Monster!$A$2:$X$400,17,FALSE))</f>
        <v>Gas</v>
      </c>
      <c r="T27">
        <v>3</v>
      </c>
      <c r="U27" s="5">
        <f>_xlfn.IFNA(IF($E27="Robot",VLOOKUP(S27,[1]Weapon!$B$1:$G$355,6,FALSE)/2,VLOOKUP(S27,[1]Weapon!$B$1:$G$355,6,FALSE)),0)</f>
        <v>15</v>
      </c>
      <c r="V27" s="28" t="str">
        <f>IF(ISBLANK(VLOOKUP($E27,[1]Monster!$A$2:$X$400,18,FALSE)),"",VLOOKUP($E27,[1]Monster!$A$2:$X$400,18,FALSE))</f>
        <v>O-Fire</v>
      </c>
      <c r="W27">
        <v>-2</v>
      </c>
      <c r="X27" s="5">
        <f>_xlfn.IFNA(IF($E27="Robot",VLOOKUP(V27,[1]Weapon!$B$1:$G$355,6,FALSE)/2,VLOOKUP(V27,[1]Weapon!$B$1:$G$355,6,FALSE)),0)</f>
        <v>-2</v>
      </c>
      <c r="Y27" s="28" t="str">
        <f>IF(ISBLANK(VLOOKUP($E27,[1]Monster!$A$2:$X$400,19,FALSE)),"",VLOOKUP($E27,[1]Monster!$A$2:$X$400,19,FALSE))</f>
        <v>X-Thunder</v>
      </c>
      <c r="Z27">
        <v>-2</v>
      </c>
      <c r="AA27" s="5">
        <f>_xlfn.IFNA(IF($E27="Robot",VLOOKUP(Y27,[1]Weapon!$B$1:$G$355,6,FALSE)/2,VLOOKUP(Y27,[1]Weapon!$B$1:$G$355,6,FALSE)),0)</f>
        <v>-2</v>
      </c>
      <c r="AB27" s="28" t="str">
        <f>IF(ISBLANK(VLOOKUP($E27,[1]Monster!$A$2:$X$400,20,FALSE)),"",VLOOKUP($E27,[1]Monster!$A$2:$X$400,20,FALSE))</f>
        <v/>
      </c>
      <c r="AC27">
        <v>0</v>
      </c>
      <c r="AD27" s="5">
        <f>_xlfn.IFNA(IF($E27="Robot",VLOOKUP(AB27,[1]Weapon!$B$1:$G$355,6,FALSE)/2,VLOOKUP(AB27,[1]Weapon!$B$1:$G$355,6,FALSE)),0)</f>
        <v>0</v>
      </c>
      <c r="AE27" s="28" t="str">
        <f>IF(ISBLANK(VLOOKUP($E27,[1]Monster!$A$2:$X$400,21,FALSE)),"",VLOOKUP($E27,[1]Monster!$A$2:$X$400,21,FALSE))</f>
        <v/>
      </c>
      <c r="AF27">
        <v>0</v>
      </c>
      <c r="AG27" s="5">
        <f>_xlfn.IFNA(IF($E27="Robot",VLOOKUP(AE27,[1]Weapon!$B$1:$G$355,6,FALSE)/2,VLOOKUP(AE27,[1]Weapon!$B$1:$G$355,6,FALSE)),0)</f>
        <v>0</v>
      </c>
      <c r="AH27" s="28" t="str">
        <f>IF(ISBLANK(VLOOKUP($E27,[1]Monster!$A$2:$X$400,22,FALSE)),"",VLOOKUP($E27,[1]Monster!$A$2:$X$400,22,FALSE))</f>
        <v/>
      </c>
      <c r="AI27">
        <v>0</v>
      </c>
      <c r="AJ27" s="5">
        <f>_xlfn.IFNA(IF($E27="Robot",VLOOKUP(AH27,[1]Weapon!$B$1:$G$355,6,FALSE)/2,VLOOKUP(AH27,[1]Weapon!$B$1:$G$355,6,FALSE)),0)</f>
        <v>0</v>
      </c>
      <c r="AK27" s="28" t="str">
        <f>IF(ISBLANK(VLOOKUP($E27,[1]Monster!$A$2:$X$400,23,FALSE)),"",VLOOKUP($E27,[1]Monster!$A$2:$X$400,23,FALSE))</f>
        <v/>
      </c>
      <c r="AL27">
        <v>0</v>
      </c>
      <c r="AM27" s="5">
        <f>_xlfn.IFNA(IF($E27="Robot",VLOOKUP(AK27,[1]Weapon!$B$1:$G$355,6,FALSE)/2,VLOOKUP(AK27,[1]Weapon!$B$1:$G$355,6,FALSE)),0)</f>
        <v>0</v>
      </c>
      <c r="AO27">
        <v>0</v>
      </c>
      <c r="AP27" s="5">
        <f>IF(ISTEXT(AN27),_xlfn.IFNA(VLOOKUP(LEFT(AN27,FIND("-",AN27)-1),[1]Weapon!$B$1:$G$355,6,FALSE),0),0)</f>
        <v>0</v>
      </c>
      <c r="AQ27" s="3"/>
      <c r="AR27" s="136" t="s">
        <v>210</v>
      </c>
      <c r="AS27">
        <v>1370</v>
      </c>
      <c r="AT27" t="s">
        <v>181</v>
      </c>
      <c r="AU27" s="95">
        <f>HLOOKUP(B27,[1]Evolve!$S$1:$AA$38,38,FALSE)</f>
        <v>17</v>
      </c>
    </row>
    <row r="28" spans="1:47" hidden="1" x14ac:dyDescent="0.25">
      <c r="A28" s="56" t="str">
        <f t="shared" si="4"/>
        <v>0SCAR</v>
      </c>
      <c r="B28" s="140" t="s">
        <v>217</v>
      </c>
      <c r="C28" s="135"/>
      <c r="D28" s="141" t="s">
        <v>129</v>
      </c>
      <c r="E28" s="82" t="s">
        <v>87</v>
      </c>
      <c r="F28">
        <v>222</v>
      </c>
      <c r="G28" s="4">
        <f>24+_xlfn.IFNA(VLOOKUP($P28,[1]Weapon!$A$1:$M$353,12,FALSE),0)+_xlfn.IFNA(VLOOKUP($S28,[1]Weapon!$A$1:$M$353,12,FALSE),0)+_xlfn.IFNA(VLOOKUP($V28,[1]Weapon!$A$1:$M$353,12,FALSE),0)+_xlfn.IFNA(VLOOKUP($Y28,[1]Weapon!$A$1:$M$353,12,FALSE),0)+_xlfn.IFNA(VLOOKUP($AB28,[1]Weapon!$A$1:$M$353,12,FALSE),0)+_xlfn.IFNA(VLOOKUP($AE28,[1]Weapon!$A$1:$M$353,12,FALSE),0)+_xlfn.IFNA(VLOOKUP($AH28,[1]Weapon!$A$1:$M$353,12,FALSE),0)+_xlfn.IFNA(VLOOKUP($AK28,[1]Weapon!$A$1:$M$353,12,FALSE),0)</f>
        <v>222</v>
      </c>
      <c r="H28">
        <v>0</v>
      </c>
      <c r="I28" s="38">
        <f>H28+_xlfn.IFNA(IF(VLOOKUP($P28,[1]Weapon!$B$2:$O$353,13,FALSE)="Str",VLOOKUP($P28,[1]Weapon!$B$2:$O$353,14,FALSE),0),0)+_xlfn.IFNA(IF(VLOOKUP($S28,[1]Weapon!$B$2:$O$353,13,FALSE)="Str",VLOOKUP($S28,[1]Weapon!$B$2:$O$353,14,FALSE),0),0)+_xlfn.IFNA(IF(VLOOKUP($V28,[1]Weapon!$B$2:$O$353,13,FALSE)="Str",VLOOKUP($V28,[1]Weapon!$B$2:$O$353,14,FALSE),0),0)+_xlfn.IFNA(IF(VLOOKUP($Y28,[1]Weapon!$B$2:$O$353,13,FALSE)="Str",VLOOKUP($Y28,[1]Weapon!$B$2:$O$353,14,FALSE),0),0)+_xlfn.IFNA(IF(VLOOKUP($AB28,[1]Weapon!$B$2:$O$353,13,FALSE)="Str",VLOOKUP($AB28,[1]Weapon!$B$2:$O$353,14,FALSE),0),0)+_xlfn.IFNA(IF(VLOOKUP($AE28,[1]Weapon!$B$2:$O$353,13,FALSE)="Str",VLOOKUP($AE28,[1]Weapon!$B$2:$O$353,14,FALSE),0),0)+_xlfn.IFNA(IF(VLOOKUP($AH28,[1]Weapon!$B$2:$O$353,13,FALSE)="Str",VLOOKUP($AH28,[1]Weapon!$B$2:$O$353,14,FALSE),0),0)+_xlfn.IFNA(IF(VLOOKUP($AK28,[1]Weapon!$B$2:$O$353,13,FALSE)="Str",VLOOKUP($AK28,[1]Weapon!$B$2:$O$353,14,FALSE),0),0)</f>
        <v>4</v>
      </c>
      <c r="J28">
        <v>6</v>
      </c>
      <c r="K28" s="4">
        <f>J28+_xlfn.IFNA(IF(VLOOKUP($P28,[1]Weapon!$B$2:$O$353,13,FALSE)="Def",VLOOKUP($P28,[1]Weapon!$B$2:$O$353,14,FALSE),0),0)+_xlfn.IFNA(IF(VLOOKUP($S28,[1]Weapon!$B$2:$O$353,13,FALSE)="Def",VLOOKUP($S28,[1]Weapon!$B$2:$O$353,14,FALSE),0),0)+_xlfn.IFNA(IF(VLOOKUP($V28,[1]Weapon!$B$2:$O$353,13,FALSE)="Def",VLOOKUP($V28,[1]Weapon!$B$2:$O$353,14,FALSE),0),0)+_xlfn.IFNA(IF(VLOOKUP($Y28,[1]Weapon!$B$2:$O$353,13,FALSE)="Def",VLOOKUP($Y28,[1]Weapon!$B$2:$O$353,14,FALSE),0),0)+_xlfn.IFNA(IF(VLOOKUP($AB28,[1]Weapon!$B$2:$O$353,13,FALSE)="Def",VLOOKUP($AB28,[1]Weapon!$B$2:$O$353,14,FALSE),0),0)+_xlfn.IFNA(IF(VLOOKUP($AE28,[1]Weapon!$B$2:$O$353,13,FALSE)="Def",VLOOKUP($AE28,[1]Weapon!$B$2:$O$353,14,FALSE),0),0)+_xlfn.IFNA(IF(VLOOKUP($AH28,[1]Weapon!$B$2:$O$353,13,FALSE)="Def",VLOOKUP($AH28,[1]Weapon!$B$2:$O$353,14,FALSE),0),0)+_xlfn.IFNA(IF(VLOOKUP($AK28,[1]Weapon!$B$2:$O$353,13,FALSE)="Def",VLOOKUP($AK28,[1]Weapon!$B$2:$O$353,14,FALSE),0),0)</f>
        <v>18</v>
      </c>
      <c r="L28">
        <v>5</v>
      </c>
      <c r="M28" s="4">
        <f>L28+_xlfn.IFNA(IF(VLOOKUP($P28,[1]Weapon!$B$2:$O$353,13,FALSE)="Agl",VLOOKUP($P28,[1]Weapon!$B$2:$O$353,14,FALSE),0),0)+_xlfn.IFNA(IF(VLOOKUP($S28,[1]Weapon!$B$2:$O$353,13,FALSE)="Agl",VLOOKUP($S28,[1]Weapon!$B$2:$O$353,14,FALSE),0),0)+_xlfn.IFNA(IF(VLOOKUP($V28,[1]Weapon!$B$2:$O$353,13,FALSE)="Agl",VLOOKUP($V28,[1]Weapon!$B$2:$O$353,14,FALSE),0),0)+_xlfn.IFNA(IF(VLOOKUP($Y28,[1]Weapon!$B$2:$O$353,13,FALSE)="Agl",VLOOKUP($Y28,[1]Weapon!$B$2:$O$353,14,FALSE),0),0)+_xlfn.IFNA(IF(VLOOKUP($AB28,[1]Weapon!$B$2:$O$353,13,FALSE)="Agl",VLOOKUP($AB28,[1]Weapon!$B$2:$O$353,14,FALSE),0),0)+_xlfn.IFNA(IF(VLOOKUP($AE28,[1]Weapon!$B$2:$O$353,13,FALSE)="Agl",VLOOKUP($AE28,[1]Weapon!$B$2:$O$353,14,FALSE),0),0)+_xlfn.IFNA(IF(VLOOKUP($AH28,[1]Weapon!$B$2:$O$353,13,FALSE)="Agl",VLOOKUP($AH28,[1]Weapon!$B$2:$O$353,14,FALSE),0),0)+_xlfn.IFNA(IF(VLOOKUP($AK28,[1]Weapon!$B$2:$O$353,13,FALSE)="Agl",VLOOKUP($AK28,[1]Weapon!$B$2:$O$353,14,FALSE),0),0)</f>
        <v>15</v>
      </c>
      <c r="N28">
        <v>0</v>
      </c>
      <c r="O28" s="2">
        <f>N28+_xlfn.IFNA(IF(VLOOKUP($P28,[1]Weapon!$B$2:$O$353,13,FALSE)="Mana",VLOOKUP($P28,[1]Weapon!$B$2:$O$353,14,FALSE),0),0)+_xlfn.IFNA(IF(VLOOKUP($S28,[1]Weapon!$B$2:$O$353,13,FALSE)="Mana",VLOOKUP($S28,[1]Weapon!$B$2:$O$353,14,FALSE),0),0)+_xlfn.IFNA(IF(VLOOKUP($V28,[1]Weapon!$B$2:$O$353,13,FALSE)="Mana",VLOOKUP($V28,[1]Weapon!$B$2:$O$353,14,FALSE),0),0)+_xlfn.IFNA(IF(VLOOKUP($Y28,[1]Weapon!$B$2:$O$353,13,FALSE)="Mana",VLOOKUP($Y28,[1]Weapon!$B$2:$O$353,14,FALSE),0),0)+_xlfn.IFNA(IF(VLOOKUP($AB28,[1]Weapon!$B$2:$O$353,13,FALSE)="Mana",VLOOKUP($AB28,[1]Weapon!$B$2:$O$353,14,FALSE),0),0)+_xlfn.IFNA(IF(VLOOKUP($AE28,[1]Weapon!$B$2:$O$353,13,FALSE)="Mana",VLOOKUP($AE28,[1]Weapon!$B$2:$O$353,14,FALSE),0),0)+_xlfn.IFNA(IF(VLOOKUP($AH28,[1]Weapon!$B$2:$O$353,13,FALSE)="Mana",VLOOKUP($AH28,[1]Weapon!$B$2:$O$353,14,FALSE),0),0)+_xlfn.IFNA(IF(VLOOKUP($AK28,[1]Weapon!$B$2:$O$353,13,FALSE)="Mana",VLOOKUP($AK28,[1]Weapon!$B$2:$O$353,14,FALSE),0),0)</f>
        <v>3</v>
      </c>
      <c r="P28" s="35" t="s">
        <v>100</v>
      </c>
      <c r="Q28">
        <v>-1</v>
      </c>
      <c r="R28" s="5">
        <f>_xlfn.IFNA(IF($E28="Robot",VLOOKUP(P28,[1]Weapon!$B$1:$G$355,6,FALSE)/2,VLOOKUP(P28,[1]Weapon!$B$1:$G$355,6,FALSE)),0)</f>
        <v>-1</v>
      </c>
      <c r="S28" s="137" t="s">
        <v>111</v>
      </c>
      <c r="T28">
        <v>20</v>
      </c>
      <c r="U28" s="5">
        <f>_xlfn.IFNA(IF($E28="Robot",VLOOKUP(S28,[1]Weapon!$B$1:$G$355,6,FALSE)/2,VLOOKUP(S28,[1]Weapon!$B$1:$G$355,6,FALSE)),0)</f>
        <v>20</v>
      </c>
      <c r="V28" s="137" t="s">
        <v>218</v>
      </c>
      <c r="W28">
        <v>25</v>
      </c>
      <c r="X28" s="5">
        <f>_xlfn.IFNA(IF($E28="Robot",VLOOKUP(V28,[1]Weapon!$B$1:$G$355,6,FALSE)/2,VLOOKUP(V28,[1]Weapon!$B$1:$G$355,6,FALSE)),0)</f>
        <v>25</v>
      </c>
      <c r="Y28" s="137" t="s">
        <v>166</v>
      </c>
      <c r="Z28">
        <v>-1</v>
      </c>
      <c r="AA28" s="5">
        <f>_xlfn.IFNA(IF($E28="Robot",VLOOKUP(Y28,[1]Weapon!$B$1:$G$355,6,FALSE)/2,VLOOKUP(Y28,[1]Weapon!$B$1:$G$355,6,FALSE)),0)</f>
        <v>-1</v>
      </c>
      <c r="AB28" s="137" t="s">
        <v>158</v>
      </c>
      <c r="AC28">
        <v>-1</v>
      </c>
      <c r="AD28" s="5">
        <f>_xlfn.IFNA(IF($E28="Robot",VLOOKUP(AB28,[1]Weapon!$B$1:$G$355,6,FALSE)/2,VLOOKUP(AB28,[1]Weapon!$B$1:$G$355,6,FALSE)),0)</f>
        <v>-1</v>
      </c>
      <c r="AE28" s="137" t="s">
        <v>206</v>
      </c>
      <c r="AF28">
        <v>25</v>
      </c>
      <c r="AG28" s="5">
        <f>_xlfn.IFNA(IF($E28="Robot",VLOOKUP(AE28,[1]Weapon!$B$1:$G$355,6,FALSE)/2,VLOOKUP(AE28,[1]Weapon!$B$1:$G$355,6,FALSE)),0)</f>
        <v>25</v>
      </c>
      <c r="AH28" s="65" t="s">
        <v>38</v>
      </c>
      <c r="AI28">
        <v>25</v>
      </c>
      <c r="AJ28" s="5">
        <f>_xlfn.IFNA(IF($E28="Robot",VLOOKUP(AH28,[1]Weapon!$B$1:$G$355,6,FALSE)/2,VLOOKUP(AH28,[1]Weapon!$B$1:$G$355,6,FALSE)),0)</f>
        <v>25</v>
      </c>
      <c r="AK28" s="137" t="s">
        <v>200</v>
      </c>
      <c r="AL28">
        <v>-1</v>
      </c>
      <c r="AM28" s="5">
        <f>_xlfn.IFNA(IF($E28="Robot",VLOOKUP(AK28,[1]Weapon!$B$1:$G$355,6,FALSE)/2,VLOOKUP(AK28,[1]Weapon!$B$1:$G$355,6,FALSE)),0)</f>
        <v>-1</v>
      </c>
      <c r="AO28">
        <v>0</v>
      </c>
      <c r="AP28" s="5">
        <f>IF(ISTEXT(AN28),_xlfn.IFNA(VLOOKUP(LEFT(AN28,FIND("-",AN28)-1),[1]Weapon!$B$1:$G$355,6,FALSE),0),0)</f>
        <v>0</v>
      </c>
      <c r="AQ28" s="3"/>
      <c r="AR28" s="136"/>
      <c r="AS28">
        <v>0</v>
      </c>
      <c r="AT28" t="s">
        <v>181</v>
      </c>
    </row>
    <row r="29" spans="1:47" hidden="1" x14ac:dyDescent="0.25">
      <c r="A29" s="1" t="str">
        <f t="shared" si="4"/>
        <v>Bandanos</v>
      </c>
      <c r="B29" s="136" t="s">
        <v>223</v>
      </c>
      <c r="D29" s="136" t="s">
        <v>129</v>
      </c>
      <c r="E29" s="81" t="s">
        <v>57</v>
      </c>
      <c r="F29">
        <v>93</v>
      </c>
      <c r="G29">
        <v>210</v>
      </c>
      <c r="H29">
        <v>25</v>
      </c>
      <c r="I29" s="4">
        <f t="shared" ref="I29" si="5">H29</f>
        <v>25</v>
      </c>
      <c r="J29">
        <v>0</v>
      </c>
      <c r="K29" s="4">
        <f>J29+_xlfn.IFNA(VLOOKUP($P29,[1]Weapon!$A$1:$M$353,9,FALSE),0)+_xlfn.IFNA(VLOOKUP($S29,[1]Weapon!$A$1:$M$353,9,FALSE),0)+_xlfn.IFNA(VLOOKUP($V29,[1]Weapon!$A$1:$M$353,9,FALSE),0)+_xlfn.IFNA(VLOOKUP($Y29,[1]Weapon!$A$1:$M$353,9,FALSE),0)+_xlfn.IFNA(VLOOKUP($AB29,[1]Weapon!$A$1:$M$353,9,FALSE),0)+_xlfn.IFNA(VLOOKUP($AE29,[1]Weapon!$A$1:$M$353,9,FALSE),0)+_xlfn.IFNA(VLOOKUP($AH29,[1]Weapon!$A$1:$M$353,9,FALSE),0)+_xlfn.IFNA(VLOOKUP($AK29,[1]Weapon!$A$1:$M$353,9,FALSE),0)</f>
        <v>13</v>
      </c>
      <c r="L29">
        <v>19</v>
      </c>
      <c r="M29" s="4">
        <f>L29</f>
        <v>19</v>
      </c>
      <c r="N29">
        <v>25</v>
      </c>
      <c r="O29" s="2">
        <f t="shared" ref="O29" si="6">N29</f>
        <v>25</v>
      </c>
      <c r="P29" s="137" t="s">
        <v>212</v>
      </c>
      <c r="Q29">
        <v>47</v>
      </c>
      <c r="R29" s="5">
        <f>_xlfn.IFNA(IF($E29="Robot",VLOOKUP(P29,[1]Weapon!$B$1:$G$355,6,FALSE)/2,VLOOKUP(P29,[1]Weapon!$B$1:$G$355,6,FALSE)),0)</f>
        <v>50</v>
      </c>
      <c r="S29" s="137" t="s">
        <v>225</v>
      </c>
      <c r="T29">
        <v>28</v>
      </c>
      <c r="U29" s="5">
        <f>_xlfn.IFNA(IF($E29="Robot",VLOOKUP(S29,[1]Weapon!$B$1:$G$355,6,FALSE)/2,VLOOKUP(S29,[1]Weapon!$B$1:$G$355,6,FALSE)),0)</f>
        <v>30</v>
      </c>
      <c r="V29" s="137" t="s">
        <v>158</v>
      </c>
      <c r="W29">
        <v>-2</v>
      </c>
      <c r="X29" s="5">
        <f>_xlfn.IFNA(IF($E29="Robot",VLOOKUP(V29,[1]Weapon!$B$1:$G$355,6,FALSE)/2,VLOOKUP(V29,[1]Weapon!$B$1:$G$355,6,FALSE)),0)</f>
        <v>-2</v>
      </c>
      <c r="Y29" s="137" t="s">
        <v>207</v>
      </c>
      <c r="Z29">
        <v>-1</v>
      </c>
      <c r="AA29" s="5">
        <f>_xlfn.IFNA(IF($E29="Robot",VLOOKUP(Y29,[1]Weapon!$B$1:$G$355,6,FALSE)/2,VLOOKUP(Y29,[1]Weapon!$B$1:$G$355,6,FALSE)),0)</f>
        <v>-2</v>
      </c>
      <c r="AB29" s="137" t="s">
        <v>224</v>
      </c>
      <c r="AC29">
        <v>-1</v>
      </c>
      <c r="AD29" s="5">
        <f>_xlfn.IFNA(IF($E29="Robot",VLOOKUP(AB29,[1]Weapon!$B$1:$G$355,6,FALSE)/2,VLOOKUP(AB29,[1]Weapon!$B$1:$G$355,6,FALSE)),0)</f>
        <v>-2</v>
      </c>
      <c r="AE29" s="137"/>
      <c r="AF29">
        <v>0</v>
      </c>
      <c r="AG29" s="5">
        <f>_xlfn.IFNA(IF($E29="Robot",VLOOKUP(AE29,[1]Weapon!$B$1:$G$355,6,FALSE)/2,VLOOKUP(AE29,[1]Weapon!$B$1:$G$355,6,FALSE)),0)</f>
        <v>0</v>
      </c>
      <c r="AH29" s="137"/>
      <c r="AI29">
        <v>0</v>
      </c>
      <c r="AJ29" s="5">
        <f>_xlfn.IFNA(IF($E29="Robot",VLOOKUP(AH29,[1]Weapon!$B$1:$G$355,6,FALSE)/2,VLOOKUP(AH29,[1]Weapon!$B$1:$G$355,6,FALSE)),0)</f>
        <v>0</v>
      </c>
      <c r="AK29" s="137"/>
      <c r="AL29">
        <v>0</v>
      </c>
      <c r="AM29" s="5">
        <f>_xlfn.IFNA(IF($E29="Robot",VLOOKUP(AK29,[1]Weapon!$B$1:$G$355,6,FALSE)/2,VLOOKUP(AK29,[1]Weapon!$B$1:$G$355,6,FALSE)),0)</f>
        <v>0</v>
      </c>
      <c r="AO29">
        <v>0</v>
      </c>
      <c r="AP29" s="25">
        <v>0</v>
      </c>
      <c r="AS29">
        <v>0</v>
      </c>
      <c r="AT29" t="s">
        <v>181</v>
      </c>
      <c r="AU29" s="1">
        <v>1</v>
      </c>
    </row>
    <row r="30" spans="1:47" x14ac:dyDescent="0.25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  <c r="AT30"/>
    </row>
    <row r="31" spans="1:47" x14ac:dyDescent="0.25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  <c r="AT31"/>
    </row>
    <row r="32" spans="1:47" x14ac:dyDescent="0.25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  <c r="AT32"/>
    </row>
    <row r="33" spans="6:46" x14ac:dyDescent="0.25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  <c r="AT33"/>
    </row>
    <row r="34" spans="6:46" x14ac:dyDescent="0.25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  <c r="AT34"/>
    </row>
    <row r="35" spans="6:46" x14ac:dyDescent="0.25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  <c r="AT35"/>
    </row>
    <row r="36" spans="6:46" x14ac:dyDescent="0.25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  <c r="AT36"/>
    </row>
    <row r="37" spans="6:46" x14ac:dyDescent="0.25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  <c r="AT37"/>
    </row>
    <row r="38" spans="6:46" x14ac:dyDescent="0.25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  <c r="AT38"/>
    </row>
    <row r="39" spans="6:46" x14ac:dyDescent="0.25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  <c r="AT39"/>
    </row>
    <row r="40" spans="6:46" x14ac:dyDescent="0.25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  <c r="AT40"/>
    </row>
  </sheetData>
  <autoFilter ref="B1:D40" xr:uid="{00000000-0001-0000-0000-000000000000}">
    <filterColumn colId="0">
      <filters blank="1">
        <filter val="Astrid"/>
        <filter val="BYTE"/>
        <filter val="Cuthbert"/>
        <filter val="DM"/>
        <filter val="Doma"/>
        <filter val="Grace"/>
        <filter val="Jaelyn"/>
        <filter val="Malli"/>
        <filter val="Rando"/>
        <filter val="Roy"/>
        <filter val="Tankbot"/>
      </filters>
    </filterColumn>
  </autoFilter>
  <conditionalFormatting sqref="A1:A12 A20:A23 A30:A1048576">
    <cfRule type="notContainsBlanks" dxfId="57" priority="84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7:AL12 AJ3:AJ17 AM3:AM17 AE6:AF12 S20:T20 V20:AC20 Z2:AJ2 AL6 AL2:AP2 AP2:AP23 AE20:AF20 AH20:AI20 AK20:AL20 AN20:AO20 AO12 AN3:AO11">
    <cfRule type="cellIs" dxfId="56" priority="82" operator="lessThan">
      <formula>0</formula>
    </cfRule>
  </conditionalFormatting>
  <conditionalFormatting sqref="A13:A19">
    <cfRule type="notContainsBlanks" dxfId="55" priority="73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C19 AE19:AF19 AH19:AI19 AK19:AL19 AN19:AO19">
    <cfRule type="cellIs" dxfId="54" priority="72" operator="lessThan">
      <formula>0</formula>
    </cfRule>
  </conditionalFormatting>
  <conditionalFormatting sqref="AH9">
    <cfRule type="cellIs" dxfId="53" priority="71" operator="lessThan">
      <formula>0</formula>
    </cfRule>
  </conditionalFormatting>
  <conditionalFormatting sqref="AH6">
    <cfRule type="cellIs" dxfId="52" priority="70" operator="lessThan">
      <formula>0</formula>
    </cfRule>
  </conditionalFormatting>
  <conditionalFormatting sqref="AH3">
    <cfRule type="cellIs" dxfId="51" priority="69" operator="lessThan">
      <formula>0</formula>
    </cfRule>
  </conditionalFormatting>
  <conditionalFormatting sqref="Y9">
    <cfRule type="cellIs" dxfId="50" priority="68" operator="lessThan">
      <formula>0</formula>
    </cfRule>
  </conditionalFormatting>
  <conditionalFormatting sqref="Q5 Z5 S5:T5 W5 AB5:AC5 AE5:AF5 AH5:AI5 AL5">
    <cfRule type="cellIs" dxfId="49" priority="66" operator="lessThan">
      <formula>0</formula>
    </cfRule>
  </conditionalFormatting>
  <conditionalFormatting sqref="Q14 S14:T14 V14:W14 Z14 AB14:AC14 AE14:AF14 AH14:AI14 AL14">
    <cfRule type="cellIs" dxfId="48" priority="64" operator="lessThan">
      <formula>0</formula>
    </cfRule>
  </conditionalFormatting>
  <conditionalFormatting sqref="Q16 S16:T16">
    <cfRule type="cellIs" dxfId="47" priority="63" operator="lessThan">
      <formula>0</formula>
    </cfRule>
  </conditionalFormatting>
  <conditionalFormatting sqref="Q17 S17:T17 V17:W17 Z17 AB17:AC17 AE17:AF17 AH17:AI17 AK17:AL17">
    <cfRule type="cellIs" dxfId="46" priority="62" operator="lessThan">
      <formula>0</formula>
    </cfRule>
  </conditionalFormatting>
  <conditionalFormatting sqref="Q18:T18 R19:R20 U19:U20 AA18:AA20 X18:X20 AD19:AD20 AG19:AG20 AJ19:AJ20 AM19:AM20 V18:AO18">
    <cfRule type="cellIs" dxfId="45" priority="61" operator="lessThan">
      <formula>0</formula>
    </cfRule>
  </conditionalFormatting>
  <conditionalFormatting sqref="V5">
    <cfRule type="cellIs" dxfId="44" priority="60" operator="lessThan">
      <formula>0</formula>
    </cfRule>
  </conditionalFormatting>
  <conditionalFormatting sqref="Y2">
    <cfRule type="cellIs" dxfId="43" priority="59" operator="lessThan">
      <formula>0</formula>
    </cfRule>
  </conditionalFormatting>
  <conditionalFormatting sqref="Y5">
    <cfRule type="cellIs" dxfId="42" priority="58" operator="lessThan">
      <formula>0</formula>
    </cfRule>
  </conditionalFormatting>
  <conditionalFormatting sqref="Y14">
    <cfRule type="cellIs" dxfId="41" priority="57" operator="lessThan">
      <formula>0</formula>
    </cfRule>
  </conditionalFormatting>
  <conditionalFormatting sqref="Q21:AM21">
    <cfRule type="cellIs" dxfId="40" priority="56" operator="lessThan">
      <formula>0</formula>
    </cfRule>
  </conditionalFormatting>
  <conditionalFormatting sqref="AK6">
    <cfRule type="cellIs" dxfId="39" priority="51" operator="lessThan">
      <formula>0</formula>
    </cfRule>
  </conditionalFormatting>
  <conditionalFormatting sqref="AK5">
    <cfRule type="cellIs" dxfId="38" priority="49" operator="lessThan">
      <formula>0</formula>
    </cfRule>
  </conditionalFormatting>
  <conditionalFormatting sqref="V22:W22 Y22:Z22 AB22:AC22 AE22:AF22 AH22:AI22 AK22:AL22 AN22:AO22">
    <cfRule type="cellIs" dxfId="37" priority="46" operator="lessThan">
      <formula>0</formula>
    </cfRule>
  </conditionalFormatting>
  <conditionalFormatting sqref="R22 U22 X22 AA22 AD22 AG22 AJ22 AM22">
    <cfRule type="cellIs" dxfId="36" priority="47" operator="lessThan">
      <formula>0</formula>
    </cfRule>
  </conditionalFormatting>
  <conditionalFormatting sqref="Q22 S22:T22">
    <cfRule type="cellIs" dxfId="35" priority="45" operator="lessThan">
      <formula>0</formula>
    </cfRule>
  </conditionalFormatting>
  <conditionalFormatting sqref="S23:T23 V23:AC23 AE23:AF23 AH23:AI23 AK23:AL23 AN23:AO23">
    <cfRule type="cellIs" dxfId="34" priority="44" operator="lessThan">
      <formula>0</formula>
    </cfRule>
  </conditionalFormatting>
  <conditionalFormatting sqref="U23 AA23 X23">
    <cfRule type="cellIs" dxfId="33" priority="43" operator="lessThan">
      <formula>0</formula>
    </cfRule>
  </conditionalFormatting>
  <conditionalFormatting sqref="AD23">
    <cfRule type="cellIs" dxfId="32" priority="42" operator="lessThan">
      <formula>0</formula>
    </cfRule>
  </conditionalFormatting>
  <conditionalFormatting sqref="AG23">
    <cfRule type="cellIs" dxfId="31" priority="41" operator="lessThan">
      <formula>0</formula>
    </cfRule>
  </conditionalFormatting>
  <conditionalFormatting sqref="AJ23">
    <cfRule type="cellIs" dxfId="30" priority="40" operator="lessThan">
      <formula>0</formula>
    </cfRule>
  </conditionalFormatting>
  <conditionalFormatting sqref="AM23">
    <cfRule type="cellIs" dxfId="29" priority="39" operator="lessThan">
      <formula>0</formula>
    </cfRule>
  </conditionalFormatting>
  <conditionalFormatting sqref="R24 U24 X24 AA24 AD24 AG24 AJ24 AM24 AP24">
    <cfRule type="cellIs" dxfId="28" priority="37" operator="lessThan">
      <formula>0</formula>
    </cfRule>
  </conditionalFormatting>
  <conditionalFormatting sqref="A24">
    <cfRule type="notContainsBlanks" dxfId="27" priority="36">
      <formula>LEN(TRIM(A24))&gt;0</formula>
    </cfRule>
  </conditionalFormatting>
  <conditionalFormatting sqref="AN24:AO24">
    <cfRule type="cellIs" dxfId="26" priority="35" operator="lessThan">
      <formula>0</formula>
    </cfRule>
  </conditionalFormatting>
  <conditionalFormatting sqref="Q24 S24:T24 V24:W24 Z24 AB24:AC24 AE24:AF24 AH24:AI24 AK24:AL24">
    <cfRule type="cellIs" dxfId="25" priority="34" operator="lessThan">
      <formula>0</formula>
    </cfRule>
  </conditionalFormatting>
  <conditionalFormatting sqref="Y17">
    <cfRule type="cellIs" dxfId="24" priority="33" operator="lessThan">
      <formula>0</formula>
    </cfRule>
  </conditionalFormatting>
  <conditionalFormatting sqref="Y24">
    <cfRule type="cellIs" dxfId="23" priority="32" operator="lessThan">
      <formula>0</formula>
    </cfRule>
  </conditionalFormatting>
  <conditionalFormatting sqref="R25 U25 X25 AA25 AD25 AG25 AJ25 AM25 AP25">
    <cfRule type="cellIs" dxfId="22" priority="31" operator="lessThan">
      <formula>0</formula>
    </cfRule>
  </conditionalFormatting>
  <conditionalFormatting sqref="A25">
    <cfRule type="notContainsBlanks" dxfId="21" priority="30">
      <formula>LEN(TRIM(A25))&gt;0</formula>
    </cfRule>
  </conditionalFormatting>
  <conditionalFormatting sqref="AN25:AO25">
    <cfRule type="cellIs" dxfId="20" priority="29" operator="lessThan">
      <formula>0</formula>
    </cfRule>
  </conditionalFormatting>
  <conditionalFormatting sqref="Q25 S25:T25 V25:W25 Z25 AB25:AC25 AE25:AF25 AH25:AI25 AK25:AL25">
    <cfRule type="cellIs" dxfId="19" priority="28" operator="lessThan">
      <formula>0</formula>
    </cfRule>
  </conditionalFormatting>
  <conditionalFormatting sqref="Y25">
    <cfRule type="cellIs" dxfId="18" priority="27" operator="lessThan">
      <formula>0</formula>
    </cfRule>
  </conditionalFormatting>
  <conditionalFormatting sqref="AK2">
    <cfRule type="cellIs" dxfId="17" priority="26" operator="lessThan">
      <formula>0</formula>
    </cfRule>
  </conditionalFormatting>
  <conditionalFormatting sqref="AK14">
    <cfRule type="cellIs" dxfId="16" priority="25" operator="lessThan">
      <formula>0</formula>
    </cfRule>
  </conditionalFormatting>
  <conditionalFormatting sqref="A26">
    <cfRule type="notContainsBlanks" dxfId="15" priority="24">
      <formula>LEN(TRIM(A26))&gt;0</formula>
    </cfRule>
  </conditionalFormatting>
  <conditionalFormatting sqref="AP26">
    <cfRule type="cellIs" dxfId="14" priority="23" operator="lessThan">
      <formula>0</formula>
    </cfRule>
  </conditionalFormatting>
  <conditionalFormatting sqref="Q26:AM26">
    <cfRule type="cellIs" dxfId="13" priority="22" operator="lessThan">
      <formula>0</formula>
    </cfRule>
  </conditionalFormatting>
  <conditionalFormatting sqref="A27">
    <cfRule type="notContainsBlanks" dxfId="12" priority="21">
      <formula>LEN(TRIM(A27))&gt;0</formula>
    </cfRule>
  </conditionalFormatting>
  <conditionalFormatting sqref="R27 U27 X27 AA27 AD27 AG27 AJ27 AM27:AP27">
    <cfRule type="cellIs" dxfId="11" priority="20" operator="lessThan">
      <formula>0</formula>
    </cfRule>
  </conditionalFormatting>
  <conditionalFormatting sqref="Q27 Z27 S27:T27 W27 AB27:AC27 AE27:AF27 AH27:AI27 AL27">
    <cfRule type="cellIs" dxfId="10" priority="19" operator="lessThan">
      <formula>0</formula>
    </cfRule>
  </conditionalFormatting>
  <conditionalFormatting sqref="V27">
    <cfRule type="cellIs" dxfId="9" priority="18" operator="lessThan">
      <formula>0</formula>
    </cfRule>
  </conditionalFormatting>
  <conditionalFormatting sqref="Y27">
    <cfRule type="cellIs" dxfId="8" priority="17" operator="lessThan">
      <formula>0</formula>
    </cfRule>
  </conditionalFormatting>
  <conditionalFormatting sqref="AK27">
    <cfRule type="cellIs" dxfId="7" priority="16" operator="lessThan">
      <formula>0</formula>
    </cfRule>
  </conditionalFormatting>
  <conditionalFormatting sqref="U18">
    <cfRule type="cellIs" dxfId="6" priority="8" operator="lessThan">
      <formula>0</formula>
    </cfRule>
  </conditionalFormatting>
  <conditionalFormatting sqref="R28 U28 X28 AA28 AD28 AG28 AJ28 AM28 AP28">
    <cfRule type="cellIs" dxfId="5" priority="6" operator="lessThan">
      <formula>0</formula>
    </cfRule>
  </conditionalFormatting>
  <conditionalFormatting sqref="A28">
    <cfRule type="notContainsBlanks" dxfId="4" priority="5">
      <formula>LEN(TRIM(A28))&gt;0</formula>
    </cfRule>
  </conditionalFormatting>
  <conditionalFormatting sqref="V28:W28 Y28:Z28 AB28:AC28 AE28:AF28 AH28:AI28 AK28:AL28 AN28:AO28">
    <cfRule type="cellIs" dxfId="3" priority="4" operator="lessThan">
      <formula>0</formula>
    </cfRule>
  </conditionalFormatting>
  <conditionalFormatting sqref="Q28 S28:T28">
    <cfRule type="cellIs" dxfId="2" priority="3" operator="lessThan">
      <formula>0</formula>
    </cfRule>
  </conditionalFormatting>
  <conditionalFormatting sqref="A29">
    <cfRule type="notContainsBlanks" dxfId="1" priority="2">
      <formula>LEN(TRIM(A29))&gt;0</formula>
    </cfRule>
  </conditionalFormatting>
  <conditionalFormatting sqref="Q29:AM29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51"/>
  <sheetViews>
    <sheetView tabSelected="1" zoomScaleNormal="100" workbookViewId="0">
      <selection activeCell="N17" sqref="N17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7.28515625" customWidth="1"/>
    <col min="13" max="13" width="10.28515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" customWidth="1"/>
    <col min="19" max="20" width="12.5703125" customWidth="1"/>
  </cols>
  <sheetData>
    <row r="1" spans="1:21" ht="18.75" thickBot="1" x14ac:dyDescent="0.3">
      <c r="A1" s="147" t="s">
        <v>126</v>
      </c>
      <c r="B1" s="148"/>
      <c r="C1" s="148"/>
      <c r="D1" s="148"/>
      <c r="E1" s="148"/>
      <c r="F1" s="148"/>
      <c r="G1" s="148"/>
      <c r="H1" s="148"/>
      <c r="I1" s="149"/>
      <c r="K1" s="150" t="s">
        <v>127</v>
      </c>
      <c r="L1" s="151"/>
      <c r="M1" s="151"/>
      <c r="N1" s="151"/>
      <c r="O1" s="152"/>
      <c r="Q1" s="153" t="s">
        <v>142</v>
      </c>
      <c r="R1" s="154"/>
      <c r="S1" s="154"/>
      <c r="T1" s="154"/>
      <c r="U1" s="155"/>
    </row>
    <row r="2" spans="1:21" x14ac:dyDescent="0.2">
      <c r="A2" s="52" t="s">
        <v>37</v>
      </c>
      <c r="B2" s="53" t="s">
        <v>5</v>
      </c>
      <c r="C2" s="53" t="s">
        <v>82</v>
      </c>
      <c r="D2" s="53" t="s">
        <v>79</v>
      </c>
      <c r="E2" s="54" t="s">
        <v>76</v>
      </c>
      <c r="F2" s="54" t="s">
        <v>77</v>
      </c>
      <c r="G2" s="53" t="s">
        <v>80</v>
      </c>
      <c r="H2" s="53" t="s">
        <v>78</v>
      </c>
      <c r="I2" s="55" t="s">
        <v>83</v>
      </c>
      <c r="K2" s="45" t="s">
        <v>123</v>
      </c>
      <c r="L2" s="46" t="s">
        <v>134</v>
      </c>
      <c r="M2" s="46" t="s">
        <v>66</v>
      </c>
      <c r="N2" s="46" t="s">
        <v>124</v>
      </c>
      <c r="O2" s="47" t="s">
        <v>125</v>
      </c>
      <c r="Q2" s="104" t="s">
        <v>123</v>
      </c>
      <c r="R2" s="105" t="s">
        <v>131</v>
      </c>
      <c r="S2" s="105" t="s">
        <v>132</v>
      </c>
      <c r="T2" s="105" t="s">
        <v>143</v>
      </c>
      <c r="U2" s="106" t="s">
        <v>133</v>
      </c>
    </row>
    <row r="3" spans="1:21" ht="15" x14ac:dyDescent="0.25">
      <c r="A3" s="125" t="s">
        <v>120</v>
      </c>
      <c r="B3" s="48">
        <f>VLOOKUP(A3,Players!$B$2:$O$38,5,FALSE)</f>
        <v>231</v>
      </c>
      <c r="C3" s="48">
        <f>VLOOKUP(A3,Players!$B$2:$O$38,6,FALSE)</f>
        <v>231</v>
      </c>
      <c r="D3" s="48">
        <f>VLOOKUP(A3,Players!$B$2:$O$38,14,FALSE)</f>
        <v>0</v>
      </c>
      <c r="E3" s="48" t="s">
        <v>81</v>
      </c>
      <c r="F3" s="48" t="s">
        <v>114</v>
      </c>
      <c r="G3" s="48">
        <f>VLOOKUP(F3,Players!$B$2:$O$38,14,FALSE)</f>
        <v>23</v>
      </c>
      <c r="H3" s="48">
        <f t="shared" ref="H3:H10" si="0">IF(E3="Cure Potion",40,IF(E3="Spell",PRODUCT(4,D3+G3),IF(E3="Cure Beam",75,IF(E3="Hi-Cure Potion",150,0))))</f>
        <v>92</v>
      </c>
      <c r="I3" s="49">
        <f>IF(SUM(H3+B3)&lt;C3,SUM(H3+B3),C3)</f>
        <v>231</v>
      </c>
      <c r="K3" s="42" t="s">
        <v>89</v>
      </c>
      <c r="L3" s="134" t="s">
        <v>197</v>
      </c>
      <c r="M3" s="59" t="e">
        <f ca="1">VLOOKUP($K3,INDIRECT("'"&amp;L3&amp;"'!$A$2:$F$10"),6,FALSE)</f>
        <v>#REF!</v>
      </c>
      <c r="N3" s="48"/>
      <c r="O3" s="49"/>
      <c r="Q3" s="107" t="s">
        <v>89</v>
      </c>
      <c r="R3" s="108">
        <f>Players!AS2</f>
        <v>7149</v>
      </c>
      <c r="S3" s="109"/>
      <c r="T3" s="109"/>
      <c r="U3" s="110">
        <v>2379</v>
      </c>
    </row>
    <row r="4" spans="1:21" ht="15" x14ac:dyDescent="0.25">
      <c r="A4" s="125" t="s">
        <v>101</v>
      </c>
      <c r="B4" s="48">
        <f>VLOOKUP(A4,Players!$B$2:$O$38,5,FALSE)</f>
        <v>117</v>
      </c>
      <c r="C4" s="48">
        <f>VLOOKUP(A4,Players!$B$2:$O$38,6,FALSE)</f>
        <v>172</v>
      </c>
      <c r="D4" s="48">
        <f>VLOOKUP(A4,Players!$B$2:$O$38,14,FALSE)</f>
        <v>6</v>
      </c>
      <c r="E4" s="48" t="s">
        <v>81</v>
      </c>
      <c r="F4" s="48" t="s">
        <v>114</v>
      </c>
      <c r="G4" s="48">
        <f>VLOOKUP(F4,Players!$B$2:$O$38,14,FALSE)</f>
        <v>23</v>
      </c>
      <c r="H4" s="48">
        <f t="shared" si="0"/>
        <v>116</v>
      </c>
      <c r="I4" s="49">
        <f>IF(SUM(H4+B4)&lt;C4,SUM(H4+B4),C4)</f>
        <v>172</v>
      </c>
      <c r="K4" s="42" t="s">
        <v>90</v>
      </c>
      <c r="L4" s="97" t="s">
        <v>167</v>
      </c>
      <c r="M4" s="59" t="e">
        <f t="shared" ref="M4:M19" ca="1" si="1">VLOOKUP($K4,INDIRECT("'"&amp;L4&amp;"'!$A$2:$F$10"),6,FALSE)</f>
        <v>#REF!</v>
      </c>
      <c r="N4" s="48" t="s">
        <v>163</v>
      </c>
      <c r="O4" s="49" t="s">
        <v>268</v>
      </c>
      <c r="Q4" s="107" t="s">
        <v>90</v>
      </c>
      <c r="R4" s="108">
        <f>Players!AS3</f>
        <v>5598</v>
      </c>
      <c r="S4" s="109"/>
      <c r="T4" s="109"/>
      <c r="U4" s="110">
        <f t="shared" ref="U4:U17" si="2">S4+R4-T4</f>
        <v>5598</v>
      </c>
    </row>
    <row r="5" spans="1:21" ht="15" x14ac:dyDescent="0.25">
      <c r="A5" s="125" t="s">
        <v>73</v>
      </c>
      <c r="B5" s="48">
        <f>VLOOKUP(A5,Players!$B$2:$O$38,5,FALSE)</f>
        <v>149</v>
      </c>
      <c r="C5" s="48">
        <f>VLOOKUP(A5,Players!$B$2:$O$38,6,FALSE)</f>
        <v>238</v>
      </c>
      <c r="D5" s="48">
        <f>VLOOKUP(A5,Players!$B$2:$O$38,14,FALSE)</f>
        <v>14</v>
      </c>
      <c r="E5" s="48" t="s">
        <v>81</v>
      </c>
      <c r="F5" s="48" t="s">
        <v>114</v>
      </c>
      <c r="G5" s="48">
        <f>VLOOKUP(F5,Players!$B$2:$O$38,14,FALSE)</f>
        <v>23</v>
      </c>
      <c r="H5" s="48">
        <f t="shared" si="0"/>
        <v>148</v>
      </c>
      <c r="I5" s="49">
        <f t="shared" ref="I5:I10" si="3">IF(SUM(H5+B5)&lt;C5,SUM(H5+B5),C5)</f>
        <v>238</v>
      </c>
      <c r="K5" s="42" t="s">
        <v>94</v>
      </c>
      <c r="L5" s="97" t="s">
        <v>167</v>
      </c>
      <c r="M5" s="59" t="e">
        <f t="shared" ca="1" si="1"/>
        <v>#REF!</v>
      </c>
      <c r="N5" s="48" t="s">
        <v>222</v>
      </c>
      <c r="O5" s="49" t="s">
        <v>268</v>
      </c>
      <c r="Q5" s="107" t="s">
        <v>94</v>
      </c>
      <c r="R5" s="108">
        <f>Players!AS4</f>
        <v>5099</v>
      </c>
      <c r="S5" s="109"/>
      <c r="T5" s="109"/>
      <c r="U5" s="110">
        <f t="shared" si="2"/>
        <v>5099</v>
      </c>
    </row>
    <row r="6" spans="1:21" ht="15" x14ac:dyDescent="0.25">
      <c r="A6" s="125" t="s">
        <v>105</v>
      </c>
      <c r="B6" s="48">
        <f>VLOOKUP(A6,Players!$B$2:$O$38,5,FALSE)</f>
        <v>165</v>
      </c>
      <c r="C6" s="48">
        <f>VLOOKUP(A6,Players!$B$2:$O$38,6,FALSE)</f>
        <v>165</v>
      </c>
      <c r="D6" s="48">
        <f>VLOOKUP(A6,Players!$B$2:$O$38,14,FALSE)</f>
        <v>15</v>
      </c>
      <c r="E6" s="48" t="s">
        <v>81</v>
      </c>
      <c r="F6" s="48" t="s">
        <v>114</v>
      </c>
      <c r="G6" s="48">
        <f>VLOOKUP(F6,Players!$B$2:$O$38,14,FALSE)</f>
        <v>23</v>
      </c>
      <c r="H6" s="48">
        <f t="shared" si="0"/>
        <v>152</v>
      </c>
      <c r="I6" s="49">
        <f t="shared" si="3"/>
        <v>165</v>
      </c>
      <c r="K6" s="42" t="s">
        <v>95</v>
      </c>
      <c r="L6" s="134" t="s">
        <v>198</v>
      </c>
      <c r="M6" s="59" t="e">
        <f t="shared" ca="1" si="1"/>
        <v>#REF!</v>
      </c>
      <c r="N6" s="48" t="s">
        <v>234</v>
      </c>
      <c r="O6" s="49"/>
      <c r="Q6" s="107" t="s">
        <v>95</v>
      </c>
      <c r="R6" s="108">
        <f>Players!AS5</f>
        <v>7173</v>
      </c>
      <c r="S6" s="109"/>
      <c r="T6" s="109"/>
      <c r="U6" s="110">
        <f t="shared" si="2"/>
        <v>7173</v>
      </c>
    </row>
    <row r="7" spans="1:21" ht="15" x14ac:dyDescent="0.25">
      <c r="A7" s="125"/>
      <c r="B7" s="48" t="e">
        <f>VLOOKUP(A7,Players!$B$2:$O$38,5,FALSE)</f>
        <v>#N/A</v>
      </c>
      <c r="C7" s="48" t="e">
        <f>VLOOKUP(A7,Players!$B$2:$O$38,6,FALSE)</f>
        <v>#N/A</v>
      </c>
      <c r="D7" s="48" t="e">
        <f>VLOOKUP(A7,Players!$B$2:$O$38,14,FALSE)</f>
        <v>#N/A</v>
      </c>
      <c r="E7" s="48" t="s">
        <v>81</v>
      </c>
      <c r="F7" s="48" t="s">
        <v>185</v>
      </c>
      <c r="G7" s="48">
        <f>VLOOKUP(F7,Players!$B$2:$O$38,14,FALSE)</f>
        <v>17</v>
      </c>
      <c r="H7" s="48" t="e">
        <f t="shared" si="0"/>
        <v>#N/A</v>
      </c>
      <c r="I7" s="49" t="e">
        <f>IF(SUM(H7+B7)&lt;C7,SUM(H7+B7),C7)</f>
        <v>#N/A</v>
      </c>
      <c r="K7" s="42" t="s">
        <v>73</v>
      </c>
      <c r="L7" s="134" t="s">
        <v>197</v>
      </c>
      <c r="M7" s="144" t="e">
        <f t="shared" ca="1" si="1"/>
        <v>#REF!</v>
      </c>
      <c r="N7" s="145"/>
      <c r="O7" s="146"/>
      <c r="Q7" s="107" t="s">
        <v>73</v>
      </c>
      <c r="R7" s="108">
        <f>Players!AS6</f>
        <v>4491</v>
      </c>
      <c r="S7" s="109"/>
      <c r="T7" s="109"/>
      <c r="U7" s="110">
        <f t="shared" si="2"/>
        <v>4491</v>
      </c>
    </row>
    <row r="8" spans="1:21" ht="15" x14ac:dyDescent="0.25">
      <c r="A8" s="125"/>
      <c r="B8" s="48" t="e">
        <f>VLOOKUP(A8,Players!$B$2:$O$38,5,FALSE)</f>
        <v>#N/A</v>
      </c>
      <c r="C8" s="48" t="e">
        <f>VLOOKUP(A8,Players!$B$2:$O$38,6,FALSE)</f>
        <v>#N/A</v>
      </c>
      <c r="D8" s="48" t="e">
        <f>VLOOKUP(A8,Players!$B$2:$O$38,14,FALSE)</f>
        <v>#N/A</v>
      </c>
      <c r="E8" s="48" t="s">
        <v>81</v>
      </c>
      <c r="F8" s="48" t="s">
        <v>185</v>
      </c>
      <c r="G8" s="48">
        <f>VLOOKUP(F8,Players!$B$2:$O$38,14,FALSE)</f>
        <v>17</v>
      </c>
      <c r="H8" s="48" t="e">
        <f t="shared" si="0"/>
        <v>#N/A</v>
      </c>
      <c r="I8" s="49" t="e">
        <f t="shared" si="3"/>
        <v>#N/A</v>
      </c>
      <c r="K8" s="43" t="s">
        <v>98</v>
      </c>
      <c r="L8" s="134" t="s">
        <v>189</v>
      </c>
      <c r="M8" s="59" t="e">
        <f t="shared" ca="1" si="1"/>
        <v>#REF!</v>
      </c>
      <c r="N8" s="48"/>
      <c r="O8" s="49"/>
      <c r="Q8" s="111" t="s">
        <v>98</v>
      </c>
      <c r="R8" s="108">
        <f>Players!AS7</f>
        <v>8280</v>
      </c>
      <c r="S8" s="109"/>
      <c r="T8" s="109"/>
      <c r="U8" s="110">
        <f t="shared" si="2"/>
        <v>8280</v>
      </c>
    </row>
    <row r="9" spans="1:21" ht="15" x14ac:dyDescent="0.25">
      <c r="A9" s="125"/>
      <c r="B9" s="48" t="e">
        <f>VLOOKUP(A9,Players!$B$2:$O$38,5,FALSE)</f>
        <v>#N/A</v>
      </c>
      <c r="C9" s="48" t="e">
        <f>VLOOKUP(A9,Players!$B$2:$O$38,6,FALSE)</f>
        <v>#N/A</v>
      </c>
      <c r="D9" s="48" t="e">
        <f>VLOOKUP(A9,Players!$B$2:$O$38,14,FALSE)</f>
        <v>#N/A</v>
      </c>
      <c r="E9" s="48" t="s">
        <v>137</v>
      </c>
      <c r="F9" s="48" t="s">
        <v>101</v>
      </c>
      <c r="G9" s="48">
        <f>VLOOKUP(F9,Players!$B$2:$O$38,14,FALSE)</f>
        <v>6</v>
      </c>
      <c r="H9" s="48">
        <f t="shared" si="0"/>
        <v>40</v>
      </c>
      <c r="I9" s="49" t="e">
        <f t="shared" si="3"/>
        <v>#N/A</v>
      </c>
      <c r="K9" s="43" t="s">
        <v>101</v>
      </c>
      <c r="L9" s="97" t="s">
        <v>167</v>
      </c>
      <c r="M9" s="144" t="e">
        <f t="shared" ca="1" si="1"/>
        <v>#REF!</v>
      </c>
      <c r="N9" s="145"/>
      <c r="O9" s="49"/>
      <c r="Q9" s="111" t="s">
        <v>101</v>
      </c>
      <c r="R9" s="108">
        <f>Players!AS8</f>
        <v>3444</v>
      </c>
      <c r="S9" s="109"/>
      <c r="T9" s="109"/>
      <c r="U9" s="110">
        <f t="shared" si="2"/>
        <v>3444</v>
      </c>
    </row>
    <row r="10" spans="1:21" ht="15" x14ac:dyDescent="0.25">
      <c r="A10" s="41"/>
      <c r="B10" s="48" t="e">
        <f>VLOOKUP(A10,Players!$B$2:$O$38,5,FALSE)</f>
        <v>#N/A</v>
      </c>
      <c r="C10" s="48" t="e">
        <f>VLOOKUP(A10,Players!$B$2:$O$38,6,FALSE)</f>
        <v>#N/A</v>
      </c>
      <c r="D10" s="48" t="e">
        <f>VLOOKUP(A10,Players!$B$2:$O$38,14,FALSE)</f>
        <v>#N/A</v>
      </c>
      <c r="E10" s="48" t="s">
        <v>168</v>
      </c>
      <c r="F10" s="48" t="s">
        <v>128</v>
      </c>
      <c r="G10" s="48">
        <f>VLOOKUP(F10,Players!$B$2:$O$38,14,FALSE)</f>
        <v>19</v>
      </c>
      <c r="H10" s="48">
        <f t="shared" si="0"/>
        <v>75</v>
      </c>
      <c r="I10" s="49" t="e">
        <f t="shared" si="3"/>
        <v>#N/A</v>
      </c>
      <c r="K10" s="43" t="s">
        <v>103</v>
      </c>
      <c r="L10" s="100" t="s">
        <v>167</v>
      </c>
      <c r="M10" s="101" t="e">
        <f t="shared" ca="1" si="1"/>
        <v>#REF!</v>
      </c>
      <c r="N10" s="102"/>
      <c r="O10" s="103"/>
      <c r="Q10" s="111" t="s">
        <v>103</v>
      </c>
      <c r="R10" s="108">
        <f>Players!AS9</f>
        <v>1664</v>
      </c>
      <c r="S10" s="109"/>
      <c r="T10" s="109"/>
      <c r="U10" s="110">
        <f t="shared" si="2"/>
        <v>1664</v>
      </c>
    </row>
    <row r="11" spans="1:21" ht="15.75" thickBot="1" x14ac:dyDescent="0.3">
      <c r="A11" s="40"/>
      <c r="B11" s="50"/>
      <c r="C11" s="50"/>
      <c r="D11" s="50"/>
      <c r="E11" s="50"/>
      <c r="F11" s="50"/>
      <c r="G11" s="50"/>
      <c r="H11" s="50"/>
      <c r="I11" s="51"/>
      <c r="K11" s="43" t="s">
        <v>105</v>
      </c>
      <c r="L11" s="134" t="s">
        <v>198</v>
      </c>
      <c r="M11" s="59" t="e">
        <f t="shared" ca="1" si="1"/>
        <v>#REF!</v>
      </c>
      <c r="N11" s="48"/>
      <c r="O11" s="49"/>
      <c r="Q11" s="111" t="s">
        <v>105</v>
      </c>
      <c r="R11" s="108">
        <f>Players!AS10</f>
        <v>4386</v>
      </c>
      <c r="S11" s="109"/>
      <c r="T11" s="109"/>
      <c r="U11" s="110">
        <f t="shared" si="2"/>
        <v>4386</v>
      </c>
    </row>
    <row r="12" spans="1:21" ht="15" x14ac:dyDescent="0.25">
      <c r="K12" s="43" t="s">
        <v>71</v>
      </c>
      <c r="L12" s="134" t="s">
        <v>189</v>
      </c>
      <c r="M12" s="59" t="e">
        <f t="shared" ca="1" si="1"/>
        <v>#REF!</v>
      </c>
      <c r="N12" s="48"/>
      <c r="O12" s="49"/>
      <c r="Q12" s="111" t="s">
        <v>71</v>
      </c>
      <c r="R12" s="108">
        <f>Players!AS11</f>
        <v>6852</v>
      </c>
      <c r="S12" s="109"/>
      <c r="T12" s="109"/>
      <c r="U12" s="110">
        <f t="shared" si="2"/>
        <v>6852</v>
      </c>
    </row>
    <row r="13" spans="1:21" ht="15" x14ac:dyDescent="0.25">
      <c r="A13" t="s">
        <v>145</v>
      </c>
      <c r="K13" s="43" t="s">
        <v>109</v>
      </c>
      <c r="L13" s="143" t="s">
        <v>198</v>
      </c>
      <c r="M13" s="101" t="e">
        <f t="shared" ca="1" si="1"/>
        <v>#REF!</v>
      </c>
      <c r="N13" s="102"/>
      <c r="O13" s="103"/>
      <c r="Q13" s="111" t="s">
        <v>109</v>
      </c>
      <c r="R13" s="108">
        <f>Players!AS12</f>
        <v>1931</v>
      </c>
      <c r="S13" s="109"/>
      <c r="T13" s="109"/>
      <c r="U13" s="110">
        <f t="shared" si="2"/>
        <v>1931</v>
      </c>
    </row>
    <row r="14" spans="1:21" ht="15" x14ac:dyDescent="0.25">
      <c r="A14" t="s">
        <v>71</v>
      </c>
      <c r="B14" t="s">
        <v>85</v>
      </c>
      <c r="C14">
        <v>1</v>
      </c>
      <c r="K14" s="43" t="s">
        <v>112</v>
      </c>
      <c r="L14" s="97" t="s">
        <v>167</v>
      </c>
      <c r="M14" s="59" t="e">
        <f t="shared" ca="1" si="1"/>
        <v>#REF!</v>
      </c>
      <c r="N14" s="48" t="s">
        <v>206</v>
      </c>
      <c r="O14" s="49"/>
      <c r="Q14" s="111" t="s">
        <v>112</v>
      </c>
      <c r="R14" s="108">
        <f>Players!AS13</f>
        <v>3360</v>
      </c>
      <c r="S14" s="109"/>
      <c r="T14" s="109"/>
      <c r="U14" s="110">
        <f t="shared" si="2"/>
        <v>3360</v>
      </c>
    </row>
    <row r="15" spans="1:21" ht="15" x14ac:dyDescent="0.25">
      <c r="K15" s="43" t="s">
        <v>114</v>
      </c>
      <c r="L15" s="134" t="s">
        <v>189</v>
      </c>
      <c r="M15" s="59" t="e">
        <f t="shared" ca="1" si="1"/>
        <v>#REF!</v>
      </c>
      <c r="N15" s="48"/>
      <c r="O15" s="49"/>
      <c r="Q15" s="111" t="s">
        <v>114</v>
      </c>
      <c r="R15" s="108">
        <f>Players!AS14</f>
        <v>7971</v>
      </c>
      <c r="S15" s="109"/>
      <c r="T15" s="109"/>
      <c r="U15" s="110">
        <f>S15+R15-T15</f>
        <v>7971</v>
      </c>
    </row>
    <row r="16" spans="1:21" ht="15" x14ac:dyDescent="0.25">
      <c r="K16" s="44" t="s">
        <v>122</v>
      </c>
      <c r="L16" s="100"/>
      <c r="M16" s="101" t="e">
        <f t="shared" ca="1" si="1"/>
        <v>#REF!</v>
      </c>
      <c r="N16" s="102"/>
      <c r="O16" s="103"/>
      <c r="Q16" s="112" t="s">
        <v>122</v>
      </c>
      <c r="R16" s="108">
        <f>Players!AS15</f>
        <v>562</v>
      </c>
      <c r="S16" s="109"/>
      <c r="T16" s="109"/>
      <c r="U16" s="110">
        <f t="shared" si="2"/>
        <v>562</v>
      </c>
    </row>
    <row r="17" spans="1:21" ht="15" x14ac:dyDescent="0.25">
      <c r="K17" s="44" t="s">
        <v>120</v>
      </c>
      <c r="L17" s="134" t="s">
        <v>197</v>
      </c>
      <c r="M17" s="59" t="e">
        <f t="shared" ca="1" si="1"/>
        <v>#REF!</v>
      </c>
      <c r="N17" s="48"/>
      <c r="O17" s="49"/>
      <c r="Q17" s="112" t="s">
        <v>120</v>
      </c>
      <c r="R17" s="108">
        <f>Players!AS16</f>
        <v>2425</v>
      </c>
      <c r="S17" s="109"/>
      <c r="T17" s="109"/>
      <c r="U17" s="110">
        <f t="shared" si="2"/>
        <v>2425</v>
      </c>
    </row>
    <row r="18" spans="1:21" ht="15" x14ac:dyDescent="0.25">
      <c r="A18" t="s">
        <v>179</v>
      </c>
      <c r="B18" t="s">
        <v>180</v>
      </c>
      <c r="C18" t="s">
        <v>178</v>
      </c>
      <c r="K18" s="44" t="s">
        <v>147</v>
      </c>
      <c r="L18" s="134" t="s">
        <v>197</v>
      </c>
      <c r="M18" s="59" t="e">
        <f t="shared" ca="1" si="1"/>
        <v>#REF!</v>
      </c>
      <c r="N18" s="48" t="s">
        <v>165</v>
      </c>
      <c r="O18" s="49" t="s">
        <v>268</v>
      </c>
      <c r="Q18" s="113" t="s">
        <v>147</v>
      </c>
      <c r="R18" s="108">
        <f>Players!AS18</f>
        <v>6518</v>
      </c>
      <c r="S18" s="109"/>
      <c r="T18" s="109"/>
      <c r="U18" s="110">
        <f>S18+R18-T18</f>
        <v>6518</v>
      </c>
    </row>
    <row r="19" spans="1:21" ht="15" x14ac:dyDescent="0.25">
      <c r="A19">
        <v>17</v>
      </c>
      <c r="B19">
        <v>50</v>
      </c>
      <c r="C19" s="132">
        <f>0.1+0.4*(B19-A19)/B19</f>
        <v>0.36399999999999999</v>
      </c>
      <c r="K19" s="44" t="s">
        <v>201</v>
      </c>
      <c r="L19" s="143" t="s">
        <v>203</v>
      </c>
      <c r="M19" s="101" t="e">
        <f t="shared" ca="1" si="1"/>
        <v>#REF!</v>
      </c>
      <c r="N19" s="102"/>
      <c r="O19" s="103"/>
      <c r="Q19" s="113"/>
      <c r="R19" s="109"/>
      <c r="S19" s="109"/>
      <c r="T19" s="109"/>
      <c r="U19" s="110"/>
    </row>
    <row r="20" spans="1:21" x14ac:dyDescent="0.2">
      <c r="K20" s="41"/>
      <c r="L20" s="57"/>
      <c r="M20" s="57"/>
      <c r="N20" s="48"/>
      <c r="O20" s="49"/>
      <c r="Q20" s="113"/>
      <c r="R20" s="109"/>
      <c r="S20" s="109"/>
      <c r="T20" s="109"/>
      <c r="U20" s="110"/>
    </row>
    <row r="21" spans="1:21" x14ac:dyDescent="0.2">
      <c r="A21" t="s">
        <v>179</v>
      </c>
      <c r="B21" t="s">
        <v>180</v>
      </c>
      <c r="C21" t="s">
        <v>215</v>
      </c>
      <c r="D21" t="s">
        <v>216</v>
      </c>
      <c r="K21" s="41"/>
      <c r="L21" s="57"/>
      <c r="M21" s="57"/>
      <c r="N21" s="48"/>
      <c r="O21" s="49"/>
      <c r="Q21" s="113"/>
      <c r="R21" s="109"/>
      <c r="S21" s="109"/>
      <c r="T21" s="109"/>
      <c r="U21" s="110"/>
    </row>
    <row r="22" spans="1:21" ht="13.5" thickBot="1" x14ac:dyDescent="0.25">
      <c r="A22">
        <v>34</v>
      </c>
      <c r="B22">
        <v>50</v>
      </c>
      <c r="C22">
        <v>400</v>
      </c>
      <c r="D22">
        <f>C22*0.5*(A22/B22)</f>
        <v>136</v>
      </c>
      <c r="K22" s="40"/>
      <c r="L22" s="58"/>
      <c r="M22" s="58"/>
      <c r="N22" s="50"/>
      <c r="O22" s="51"/>
      <c r="Q22" s="114"/>
      <c r="R22" s="115"/>
      <c r="S22" s="115"/>
      <c r="T22" s="115"/>
      <c r="U22" s="116"/>
    </row>
    <row r="23" spans="1:21" ht="13.5" thickBot="1" x14ac:dyDescent="0.25"/>
    <row r="24" spans="1:21" ht="18.75" thickBot="1" x14ac:dyDescent="0.3">
      <c r="Q24" s="153" t="s">
        <v>144</v>
      </c>
      <c r="R24" s="154"/>
      <c r="S24" s="155"/>
    </row>
    <row r="25" spans="1:21" x14ac:dyDescent="0.2">
      <c r="Q25" s="117" t="s">
        <v>141</v>
      </c>
      <c r="R25" s="118" t="s">
        <v>140</v>
      </c>
      <c r="S25" s="119" t="s">
        <v>139</v>
      </c>
    </row>
    <row r="26" spans="1:21" x14ac:dyDescent="0.2">
      <c r="A26" t="str">
        <f>Players!B2</f>
        <v>Rando</v>
      </c>
      <c r="B26" t="str">
        <f>Players!P2</f>
        <v>Tail</v>
      </c>
      <c r="C26" t="str">
        <f>Players!S2</f>
        <v>Multi-Attack</v>
      </c>
      <c r="D26" t="str">
        <f>Players!V2</f>
        <v>Blind</v>
      </c>
      <c r="E26" t="str">
        <f>Players!Y2</f>
        <v>O-Quake</v>
      </c>
      <c r="F26" t="str">
        <f>Players!AB2</f>
        <v/>
      </c>
      <c r="G26" t="str">
        <f>Players!AE2</f>
        <v/>
      </c>
      <c r="H26" t="str">
        <f>Players!AH2</f>
        <v/>
      </c>
      <c r="I26">
        <f>Players!AK2</f>
        <v>0</v>
      </c>
      <c r="J26" t="str">
        <f>Players!AN2</f>
        <v>Power Magi-1</v>
      </c>
      <c r="Q26" s="113">
        <v>4</v>
      </c>
      <c r="R26" s="120" t="str">
        <f t="shared" ref="R26:R31" si="4">INDEX(SheetNames,Q26)</f>
        <v>Tower to Paradise (2)</v>
      </c>
      <c r="S26" s="121"/>
    </row>
    <row r="27" spans="1:21" x14ac:dyDescent="0.2">
      <c r="A27" t="str">
        <f>Players!B3</f>
        <v>Grace</v>
      </c>
      <c r="B27" t="str">
        <f>Players!P3</f>
        <v>Blizzard</v>
      </c>
      <c r="C27" t="str">
        <f>Players!S3</f>
        <v>O-Poison</v>
      </c>
      <c r="D27" t="str">
        <f>Players!V3</f>
        <v>Fire</v>
      </c>
      <c r="E27" t="str">
        <f>Players!Y3</f>
        <v>Electroshock</v>
      </c>
      <c r="F27" t="str">
        <f>Players!AB3</f>
        <v>Psi Knife</v>
      </c>
      <c r="G27" t="str">
        <f>Players!AE3</f>
        <v>Bronze Armor</v>
      </c>
      <c r="H27" t="str">
        <f>Players!AH3</f>
        <v>Silver Helm</v>
      </c>
      <c r="I27" t="str">
        <f>Players!AK3</f>
        <v>Silver Glove</v>
      </c>
      <c r="J27" t="e">
        <f>Players!#REF!</f>
        <v>#REF!</v>
      </c>
      <c r="Q27" s="113">
        <v>5</v>
      </c>
      <c r="R27" s="120" t="str">
        <f t="shared" si="4"/>
        <v>Tower to Paradise</v>
      </c>
      <c r="S27" s="121"/>
    </row>
    <row r="28" spans="1:21" x14ac:dyDescent="0.2">
      <c r="A28" t="str">
        <f>Players!B4</f>
        <v>Astrid</v>
      </c>
      <c r="B28" t="str">
        <f>Players!P4</f>
        <v>Flame</v>
      </c>
      <c r="C28" t="str">
        <f>Players!S4</f>
        <v>Warning</v>
      </c>
      <c r="D28" t="str">
        <f>Players!V4</f>
        <v>Enfeeble</v>
      </c>
      <c r="E28" t="str">
        <f>Players!Y4</f>
        <v>Ice</v>
      </c>
      <c r="F28" t="str">
        <f>Players!AB4</f>
        <v>Silver Glove</v>
      </c>
      <c r="G28" t="str">
        <f>Players!AE4</f>
        <v>Bronze Armor</v>
      </c>
      <c r="H28" t="str">
        <f>Players!AH4</f>
        <v>Silver Helm</v>
      </c>
      <c r="I28" t="str">
        <f>Players!AK4</f>
        <v>Long Bow</v>
      </c>
      <c r="J28">
        <f>Players!AN4</f>
        <v>0</v>
      </c>
      <c r="Q28" s="113">
        <v>6</v>
      </c>
      <c r="R28" s="120" t="str">
        <f>INDEX(SheetNames,Q28)</f>
        <v>Elsewhere</v>
      </c>
      <c r="S28" s="121"/>
    </row>
    <row r="29" spans="1:21" x14ac:dyDescent="0.2">
      <c r="A29" t="str">
        <f>Players!B5</f>
        <v>Cuthbert</v>
      </c>
      <c r="B29" t="str">
        <f>Players!P5</f>
        <v>Sleep</v>
      </c>
      <c r="C29" t="str">
        <f>Players!S5</f>
        <v>Thunder</v>
      </c>
      <c r="D29" t="str">
        <f>Players!V5</f>
        <v>Cure</v>
      </c>
      <c r="E29" t="str">
        <f>Players!Y5</f>
        <v>O-Quake</v>
      </c>
      <c r="F29" t="str">
        <f>Players!AB5</f>
        <v/>
      </c>
      <c r="G29" t="str">
        <f>Players!AE5</f>
        <v/>
      </c>
      <c r="H29" t="str">
        <f>Players!AH5</f>
        <v/>
      </c>
      <c r="I29" t="str">
        <f>Players!AK5</f>
        <v>Lightning</v>
      </c>
      <c r="J29">
        <f>Players!AN5</f>
        <v>0</v>
      </c>
      <c r="Q29" s="113">
        <v>7</v>
      </c>
      <c r="R29" s="120" t="str">
        <f t="shared" si="4"/>
        <v>DAD-E</v>
      </c>
      <c r="S29" s="121"/>
    </row>
    <row r="30" spans="1:21" x14ac:dyDescent="0.2">
      <c r="A30" t="str">
        <f>Players!B6</f>
        <v>Sandy</v>
      </c>
      <c r="B30" t="str">
        <f>Players!P6</f>
        <v>T-Strike</v>
      </c>
      <c r="C30" t="str">
        <f>Players!S6</f>
        <v>Bronze Armor</v>
      </c>
      <c r="D30" t="str">
        <f>Players!V6</f>
        <v>R-Kick</v>
      </c>
      <c r="E30" t="str">
        <f>Players!Y6</f>
        <v>Silver Helm</v>
      </c>
      <c r="F30" t="str">
        <f>Players!AB6</f>
        <v>Silver Glove</v>
      </c>
      <c r="G30" t="str">
        <f>Players!AE6</f>
        <v>Spark Book</v>
      </c>
      <c r="H30" t="str">
        <f>Players!AH6</f>
        <v>Long Bow</v>
      </c>
      <c r="I30" t="str">
        <f>Players!AK6</f>
        <v>Strike</v>
      </c>
      <c r="J30">
        <f>Players!AN6</f>
        <v>0</v>
      </c>
      <c r="Q30" s="113">
        <v>8</v>
      </c>
      <c r="R30" s="120" t="e">
        <f t="shared" si="4"/>
        <v>#REF!</v>
      </c>
      <c r="S30" s="121"/>
    </row>
    <row r="31" spans="1:21" x14ac:dyDescent="0.2">
      <c r="A31" t="str">
        <f>Players!B7</f>
        <v>Roy</v>
      </c>
      <c r="B31" t="str">
        <f>Players!P7</f>
        <v>O-Pa/Po</v>
      </c>
      <c r="C31" t="str">
        <f>Players!S7</f>
        <v>Colt</v>
      </c>
      <c r="D31" t="str">
        <f>Players!V7</f>
        <v>Cannon</v>
      </c>
      <c r="E31" t="str">
        <f>Players!Y7</f>
        <v>Beretta</v>
      </c>
      <c r="F31" t="str">
        <f>Players!AB7</f>
        <v>Silver Glove</v>
      </c>
      <c r="G31" t="str">
        <f>Players!AE7</f>
        <v>Gold Helm</v>
      </c>
      <c r="H31" t="str">
        <f>Players!AH7</f>
        <v>Silver Shield</v>
      </c>
      <c r="I31" t="str">
        <f>Players!AK7</f>
        <v>Clipper</v>
      </c>
      <c r="J31" t="str">
        <f>Players!AN7</f>
        <v>Speed Magi-1</v>
      </c>
      <c r="Q31" s="113">
        <v>9</v>
      </c>
      <c r="R31" s="120" t="e">
        <f t="shared" si="4"/>
        <v>#REF!</v>
      </c>
      <c r="S31" s="121"/>
    </row>
    <row r="32" spans="1:21" x14ac:dyDescent="0.2">
      <c r="A32" t="str">
        <f>Players!B8</f>
        <v>Saffron</v>
      </c>
      <c r="B32" t="str">
        <f>Players!P8</f>
        <v>Iron Spear</v>
      </c>
      <c r="C32" t="str">
        <f>Players!S8</f>
        <v>Bronze Armor</v>
      </c>
      <c r="D32" t="str">
        <f>Players!V8</f>
        <v>Bandana</v>
      </c>
      <c r="E32" t="str">
        <f>Players!Y8</f>
        <v>Bronze Glove</v>
      </c>
      <c r="F32" t="str">
        <f>Players!AB8</f>
        <v>Stun Gun</v>
      </c>
      <c r="G32" t="str">
        <f>Players!AE8</f>
        <v>Hi-Cure Potion</v>
      </c>
      <c r="H32" t="str">
        <f>Players!AH8</f>
        <v>MM Book</v>
      </c>
      <c r="I32">
        <f>Players!AK8</f>
        <v>0</v>
      </c>
      <c r="J32">
        <f>Players!AN8</f>
        <v>0</v>
      </c>
      <c r="Q32" s="113">
        <v>10</v>
      </c>
      <c r="R32" s="120" t="e">
        <f>INDEX(SheetNames,Q32)</f>
        <v>#REF!</v>
      </c>
      <c r="S32" s="121"/>
    </row>
    <row r="33" spans="1:19" x14ac:dyDescent="0.2">
      <c r="A33" t="str">
        <f>Players!B9</f>
        <v>Elishar</v>
      </c>
      <c r="B33" t="str">
        <f>Players!P9</f>
        <v>MM Book</v>
      </c>
      <c r="C33" t="str">
        <f>Players!S9</f>
        <v>Strike</v>
      </c>
      <c r="D33" t="str">
        <f>Players!V9</f>
        <v>Strike</v>
      </c>
      <c r="E33" t="str">
        <f>Players!Y9</f>
        <v>Silver Helm</v>
      </c>
      <c r="F33" t="str">
        <f>Players!AB9</f>
        <v>Bronze Glove</v>
      </c>
      <c r="G33" t="str">
        <f>Players!AE9</f>
        <v>Bronze Armor</v>
      </c>
      <c r="H33" t="str">
        <f>Players!AH9</f>
        <v>R-Kick</v>
      </c>
      <c r="I33">
        <f>Players!AK9</f>
        <v>0</v>
      </c>
      <c r="J33">
        <f>Players!AN9</f>
        <v>0</v>
      </c>
      <c r="Q33" s="113">
        <v>11</v>
      </c>
      <c r="R33" s="120" t="e">
        <f>INDEX(SheetNames,Q33)</f>
        <v>#REF!</v>
      </c>
      <c r="S33" s="121"/>
    </row>
    <row r="34" spans="1:19" ht="13.5" thickBot="1" x14ac:dyDescent="0.25">
      <c r="A34" t="str">
        <f>Players!B10</f>
        <v>Malli</v>
      </c>
      <c r="B34" t="str">
        <f>Players!P10</f>
        <v>Blizzard</v>
      </c>
      <c r="C34" t="str">
        <f>Players!S10</f>
        <v>Warning</v>
      </c>
      <c r="D34" t="str">
        <f>Players!V10</f>
        <v>Ice</v>
      </c>
      <c r="E34" t="str">
        <f>Players!Y10</f>
        <v>O-Para</v>
      </c>
      <c r="F34" t="str">
        <f>Players!AB10</f>
        <v>Long Bow</v>
      </c>
      <c r="G34" t="str">
        <f>Players!AE10</f>
        <v>Bronze Armor</v>
      </c>
      <c r="H34" t="str">
        <f>Players!AH10</f>
        <v>Silver Helm</v>
      </c>
      <c r="I34" t="str">
        <f>Players!AK10</f>
        <v>Gold Glove</v>
      </c>
      <c r="J34" t="str">
        <f>Players!AN10</f>
        <v>Mana Magi-1</v>
      </c>
      <c r="Q34" s="114">
        <v>12</v>
      </c>
      <c r="R34" s="122" t="s">
        <v>149</v>
      </c>
      <c r="S34" s="123">
        <v>0</v>
      </c>
    </row>
    <row r="35" spans="1:19" x14ac:dyDescent="0.2">
      <c r="A35" t="str">
        <f>Players!B11</f>
        <v>Jaelyn</v>
      </c>
      <c r="B35" t="str">
        <f>Players!P11</f>
        <v>Flame</v>
      </c>
      <c r="C35" t="str">
        <f>Players!S11</f>
        <v>Refresh</v>
      </c>
      <c r="D35" t="str">
        <f>Players!V11</f>
        <v>Fire</v>
      </c>
      <c r="E35" t="str">
        <f>Players!Y11</f>
        <v>O-Fire</v>
      </c>
      <c r="F35">
        <f>Players!AB11</f>
        <v>0</v>
      </c>
      <c r="G35" t="str">
        <f>Players!AE11</f>
        <v>T-Kimono</v>
      </c>
      <c r="H35">
        <f>Players!AH11</f>
        <v>0</v>
      </c>
      <c r="I35" t="str">
        <f>Players!AK11</f>
        <v>Silver Helm</v>
      </c>
      <c r="J35">
        <f>Players!AN11</f>
        <v>0</v>
      </c>
    </row>
    <row r="36" spans="1:19" x14ac:dyDescent="0.2">
      <c r="A36" t="str">
        <f>Players!B12</f>
        <v>DAD-E</v>
      </c>
      <c r="B36" t="str">
        <f>Players!P12</f>
        <v>O-Pa/Po</v>
      </c>
      <c r="C36" t="str">
        <f>Players!S12</f>
        <v>Stun Gun</v>
      </c>
      <c r="D36" t="str">
        <f>Players!V12</f>
        <v>Goblin Torch</v>
      </c>
      <c r="E36" t="str">
        <f>Players!Y12</f>
        <v>Axe</v>
      </c>
      <c r="F36" t="str">
        <f>Players!AB12</f>
        <v>Silver Glove</v>
      </c>
      <c r="G36" t="str">
        <f>Players!AE12</f>
        <v>Silver Shield</v>
      </c>
      <c r="H36" t="str">
        <f>Players!AH12</f>
        <v>Colt</v>
      </c>
      <c r="I36" t="str">
        <f>Players!AK12</f>
        <v>Cure Beam</v>
      </c>
      <c r="J36" t="str">
        <f>Players!AN3</f>
        <v>Fire Magi-1</v>
      </c>
    </row>
    <row r="37" spans="1:19" x14ac:dyDescent="0.2">
      <c r="A37" t="str">
        <f>Players!B13</f>
        <v>Tankbot</v>
      </c>
      <c r="B37" t="str">
        <f>Players!P13</f>
        <v>O-Pa/Po</v>
      </c>
      <c r="C37" t="str">
        <f>Players!S13</f>
        <v>Silver Shield</v>
      </c>
      <c r="D37" t="str">
        <f>Players!V13</f>
        <v>Target Chip</v>
      </c>
      <c r="E37" t="str">
        <f>Players!Y13</f>
        <v>Bronze Shield</v>
      </c>
      <c r="F37" t="str">
        <f>Players!AB13</f>
        <v>LED</v>
      </c>
      <c r="G37" t="str">
        <f>Players!AE13</f>
        <v>Silver Helm</v>
      </c>
      <c r="H37" t="str">
        <f>Players!AH13</f>
        <v>Cure Potion</v>
      </c>
      <c r="I37" t="str">
        <f>Players!AK13</f>
        <v>Colt</v>
      </c>
      <c r="J37">
        <f>Players!AN13</f>
        <v>0</v>
      </c>
    </row>
    <row r="38" spans="1:19" x14ac:dyDescent="0.2">
      <c r="A38" t="str">
        <f>Players!B14</f>
        <v>DM</v>
      </c>
      <c r="B38" t="str">
        <f>Players!P14</f>
        <v>Sting</v>
      </c>
      <c r="C38" t="str">
        <f>Players!S14</f>
        <v>Venom</v>
      </c>
      <c r="D38" t="str">
        <f>Players!V14</f>
        <v>Honey</v>
      </c>
      <c r="E38" t="str">
        <f>Players!Y14</f>
        <v>O-Quake</v>
      </c>
      <c r="F38" t="str">
        <f>Players!AB14</f>
        <v>X-Ice</v>
      </c>
      <c r="G38" t="str">
        <f>Players!AE14</f>
        <v/>
      </c>
      <c r="H38" t="str">
        <f>Players!AH14</f>
        <v/>
      </c>
      <c r="I38">
        <f>Players!AK14</f>
        <v>0</v>
      </c>
      <c r="J38">
        <f>Players!AN14</f>
        <v>0</v>
      </c>
    </row>
    <row r="39" spans="1:19" x14ac:dyDescent="0.2">
      <c r="A39" t="str">
        <f>Players!B15</f>
        <v>Lictus</v>
      </c>
      <c r="B39" t="str">
        <f>Players!P15</f>
        <v>Rapier</v>
      </c>
      <c r="C39" t="str">
        <f>Players!S15</f>
        <v>Bronze Armor</v>
      </c>
      <c r="D39" t="str">
        <f>Players!V15</f>
        <v>Bow</v>
      </c>
      <c r="E39" t="str">
        <f>Players!Y15</f>
        <v>Bronze Helm</v>
      </c>
      <c r="F39" t="str">
        <f>Players!AB15</f>
        <v>Bronze Glove</v>
      </c>
      <c r="G39">
        <f>Players!AE15</f>
        <v>0</v>
      </c>
      <c r="H39">
        <f>Players!AH15</f>
        <v>0</v>
      </c>
      <c r="I39">
        <f>Players!AK15</f>
        <v>0</v>
      </c>
      <c r="J39">
        <f>Players!AN15</f>
        <v>0</v>
      </c>
    </row>
    <row r="40" spans="1:19" x14ac:dyDescent="0.2">
      <c r="A40" t="str">
        <f>Players!B16</f>
        <v>BYTE</v>
      </c>
      <c r="B40" t="str">
        <f>Players!P16</f>
        <v>O-Pa/Po</v>
      </c>
      <c r="C40" t="str">
        <f>Players!S16</f>
        <v>Colt</v>
      </c>
      <c r="D40" t="str">
        <f>Players!V16</f>
        <v>Colt</v>
      </c>
      <c r="E40" t="str">
        <f>Players!Y16</f>
        <v>Iron Spear</v>
      </c>
      <c r="F40" t="str">
        <f>Players!AB16</f>
        <v>Skraja</v>
      </c>
      <c r="G40" t="str">
        <f>Players!AE16</f>
        <v>Axe</v>
      </c>
      <c r="H40" t="str">
        <f>Players!AH16</f>
        <v>Axe</v>
      </c>
      <c r="I40" t="str">
        <f>Players!AK16</f>
        <v>Axe</v>
      </c>
      <c r="J40">
        <f>Players!AN16</f>
        <v>0</v>
      </c>
    </row>
    <row r="41" spans="1:19" x14ac:dyDescent="0.2">
      <c r="A41" t="str">
        <f>Players!B17</f>
        <v>Mr. S</v>
      </c>
      <c r="B41" t="str">
        <f>Players!P17</f>
        <v>Dissolve</v>
      </c>
      <c r="C41" t="str">
        <f>Players!S17</f>
        <v>Fire</v>
      </c>
      <c r="D41" t="str">
        <f>Players!V17</f>
        <v>Cure</v>
      </c>
      <c r="E41" t="str">
        <f>Players!Y17</f>
        <v/>
      </c>
      <c r="F41" t="str">
        <f>Players!AB17</f>
        <v/>
      </c>
      <c r="G41" t="str">
        <f>Players!AE17</f>
        <v/>
      </c>
      <c r="H41" t="str">
        <f>Players!AH17</f>
        <v/>
      </c>
      <c r="I41" t="str">
        <f>Players!AK17</f>
        <v/>
      </c>
      <c r="J41">
        <f>Players!AN17</f>
        <v>0</v>
      </c>
    </row>
    <row r="42" spans="1:19" x14ac:dyDescent="0.2">
      <c r="A42" t="str">
        <f>Players!B18</f>
        <v>Doma</v>
      </c>
      <c r="B42" t="str">
        <f>Players!P18</f>
        <v>Flame</v>
      </c>
      <c r="C42" t="str">
        <f>Players!S18</f>
        <v>Psi Smash</v>
      </c>
      <c r="D42" t="str">
        <f>Players!V18</f>
        <v>Electroshock</v>
      </c>
      <c r="E42" t="str">
        <f>Players!Y18</f>
        <v>Ice</v>
      </c>
      <c r="F42" t="str">
        <f>Players!AB18</f>
        <v>Silver Glove</v>
      </c>
      <c r="G42" t="str">
        <f>Players!AE18</f>
        <v>Bronze Armor</v>
      </c>
      <c r="H42" t="str">
        <f>Players!AH18</f>
        <v>Silver Helm</v>
      </c>
      <c r="I42" t="str">
        <f>Players!AK18</f>
        <v>Long Bow</v>
      </c>
      <c r="J42" t="str">
        <f>Players!AN18</f>
        <v>Ice Magi-1</v>
      </c>
    </row>
    <row r="43" spans="1:19" x14ac:dyDescent="0.2">
      <c r="A43" t="str">
        <f>Players!B19</f>
        <v>Ella</v>
      </c>
      <c r="B43" t="str">
        <f>Players!P19</f>
        <v>Rapier</v>
      </c>
      <c r="C43" t="str">
        <f>Players!S19</f>
        <v>Bronze Armor</v>
      </c>
      <c r="D43" t="str">
        <f>Players!V19</f>
        <v>Bronze Helm</v>
      </c>
      <c r="E43" t="str">
        <f>Players!Y19</f>
        <v>Cure Potion</v>
      </c>
      <c r="F43">
        <f>Players!AB19</f>
        <v>0</v>
      </c>
      <c r="G43">
        <f>Players!AE19</f>
        <v>0</v>
      </c>
      <c r="H43">
        <f>Players!AH19</f>
        <v>0</v>
      </c>
      <c r="I43">
        <f>Players!AK19</f>
        <v>0</v>
      </c>
      <c r="J43">
        <f>Players!AN19</f>
        <v>0</v>
      </c>
    </row>
    <row r="44" spans="1:19" x14ac:dyDescent="0.2">
      <c r="A44" t="str">
        <f>Players!B20</f>
        <v>Vince</v>
      </c>
      <c r="B44" t="str">
        <f>Players!P20</f>
        <v>Long Sword</v>
      </c>
      <c r="C44" t="str">
        <f>Players!S20</f>
        <v>Bronze Armor</v>
      </c>
      <c r="D44" t="str">
        <f>Players!V20</f>
        <v>Bronze Helm</v>
      </c>
      <c r="E44" t="str">
        <f>Players!Y20</f>
        <v>Cure Potion</v>
      </c>
      <c r="F44">
        <f>Players!AB20</f>
        <v>0</v>
      </c>
      <c r="G44">
        <f>Players!AE20</f>
        <v>0</v>
      </c>
      <c r="H44">
        <f>Players!AH20</f>
        <v>0</v>
      </c>
      <c r="I44">
        <f>Players!AK20</f>
        <v>0</v>
      </c>
      <c r="J44">
        <f>Players!AN20</f>
        <v>0</v>
      </c>
    </row>
    <row r="45" spans="1:19" x14ac:dyDescent="0.2">
      <c r="A45" t="str">
        <f>Players!B21</f>
        <v>Duridanya</v>
      </c>
      <c r="B45" t="str">
        <f>Players!P21</f>
        <v>Flame</v>
      </c>
      <c r="C45" t="str">
        <f>Players!S21</f>
        <v>Warning</v>
      </c>
      <c r="D45" t="str">
        <f>Players!V21</f>
        <v>P-Skin</v>
      </c>
      <c r="E45" t="str">
        <f>Players!Y21</f>
        <v>O-Quake</v>
      </c>
      <c r="F45" t="str">
        <f>Players!AB21</f>
        <v>Axe</v>
      </c>
      <c r="G45" t="str">
        <f>Players!AE21</f>
        <v>Silver Armor</v>
      </c>
      <c r="H45" t="str">
        <f>Players!AH21</f>
        <v>Goggles</v>
      </c>
      <c r="I45">
        <f>Players!AK21</f>
        <v>0</v>
      </c>
      <c r="J45">
        <f>Players!AN21</f>
        <v>0</v>
      </c>
    </row>
    <row r="46" spans="1:19" x14ac:dyDescent="0.2">
      <c r="A46" t="str">
        <f>Players!B22</f>
        <v>W0LF</v>
      </c>
      <c r="B46" t="str">
        <f>Players!P22</f>
        <v>O-Pa/Po</v>
      </c>
      <c r="C46" t="str">
        <f>Players!S22</f>
        <v>Colt</v>
      </c>
      <c r="D46" t="str">
        <f>Players!V22</f>
        <v>Bronze Helm</v>
      </c>
      <c r="E46" t="str">
        <f>Players!Y22</f>
        <v>Bronze Glove</v>
      </c>
      <c r="F46">
        <f>Players!AB22</f>
        <v>0</v>
      </c>
      <c r="G46" t="str">
        <f>Players!AE22</f>
        <v>Axe</v>
      </c>
      <c r="H46" t="str">
        <f>Players!AH22</f>
        <v>Stun Gun</v>
      </c>
      <c r="I46" t="str">
        <f>Players!AK22</f>
        <v>Long Sword</v>
      </c>
      <c r="J46">
        <f>Players!AN22</f>
        <v>0</v>
      </c>
    </row>
    <row r="47" spans="1:19" x14ac:dyDescent="0.2">
      <c r="A47" t="str">
        <f>Players!B23</f>
        <v>Draz</v>
      </c>
      <c r="B47" t="str">
        <f>Players!P23</f>
        <v>Rapier</v>
      </c>
      <c r="C47" t="str">
        <f>Players!S23</f>
        <v>Bronze Armor</v>
      </c>
      <c r="D47" t="str">
        <f>Players!V23</f>
        <v>Bronze Helm</v>
      </c>
      <c r="E47" t="str">
        <f>Players!Y23</f>
        <v>Bronze Glove</v>
      </c>
      <c r="F47" t="str">
        <f>Players!AB23</f>
        <v>Beretta</v>
      </c>
      <c r="G47">
        <f>Players!AE23</f>
        <v>0</v>
      </c>
      <c r="H47">
        <f>Players!AH23</f>
        <v>0</v>
      </c>
      <c r="I47">
        <f>Players!AK23</f>
        <v>0</v>
      </c>
      <c r="J47">
        <f>Players!AN23</f>
        <v>0</v>
      </c>
    </row>
    <row r="48" spans="1:19" x14ac:dyDescent="0.2">
      <c r="A48" t="str">
        <f>Players!B24</f>
        <v>Ki</v>
      </c>
      <c r="B48" t="str">
        <f>Players!P24</f>
        <v>Hammer</v>
      </c>
      <c r="C48" t="str">
        <f>Players!S24</f>
        <v>Bronze Shield</v>
      </c>
      <c r="D48" t="str">
        <f>Players!V24</f>
        <v>Thunder Book</v>
      </c>
      <c r="E48" t="str">
        <f>Players!Y24</f>
        <v>Cure Book</v>
      </c>
      <c r="F48" t="str">
        <f>Players!AB24</f>
        <v>Bronze Armor</v>
      </c>
      <c r="G48" t="str">
        <f>Players!AE24</f>
        <v>Bronze Helm</v>
      </c>
      <c r="H48" t="str">
        <f>Players!AH24</f>
        <v>Bronze Glove</v>
      </c>
      <c r="I48" t="str">
        <f>Players!AK24</f>
        <v/>
      </c>
      <c r="J48">
        <f>Players!AN24</f>
        <v>0</v>
      </c>
    </row>
    <row r="49" spans="1:10" x14ac:dyDescent="0.2">
      <c r="A49" t="str">
        <f>Players!B25</f>
        <v>Styx</v>
      </c>
      <c r="B49" t="str">
        <f>Players!P25</f>
        <v>Sleep</v>
      </c>
      <c r="C49" t="str">
        <f>Players!S25</f>
        <v>Thunder</v>
      </c>
      <c r="D49" t="str">
        <f>Players!V25</f>
        <v>Cure</v>
      </c>
      <c r="E49" t="str">
        <f>Players!Y25</f>
        <v>O-Quake</v>
      </c>
      <c r="F49" t="str">
        <f>Players!AB25</f>
        <v/>
      </c>
      <c r="G49" t="str">
        <f>Players!AE25</f>
        <v/>
      </c>
      <c r="H49" t="str">
        <f>Players!AH25</f>
        <v/>
      </c>
      <c r="I49" t="str">
        <f>Players!AK25</f>
        <v/>
      </c>
      <c r="J49">
        <f>Players!AN25</f>
        <v>0</v>
      </c>
    </row>
    <row r="50" spans="1:10" x14ac:dyDescent="0.2">
      <c r="A50" t="str">
        <f>Players!B26</f>
        <v>Brahm</v>
      </c>
      <c r="B50" t="str">
        <f>Players!P26</f>
        <v>Bow</v>
      </c>
      <c r="C50" t="str">
        <f>Players!S26</f>
        <v>Bronze Armor</v>
      </c>
      <c r="D50" t="str">
        <f>Players!V26</f>
        <v>Bronze Helm</v>
      </c>
      <c r="E50" t="str">
        <f>Players!Y26</f>
        <v>Bronze Glove</v>
      </c>
      <c r="F50">
        <f>Players!AB26</f>
        <v>0</v>
      </c>
      <c r="G50">
        <f>Players!AE26</f>
        <v>0</v>
      </c>
      <c r="H50">
        <f>Players!AH26</f>
        <v>0</v>
      </c>
      <c r="I50">
        <f>Players!AK26</f>
        <v>0</v>
      </c>
      <c r="J50">
        <f>Players!AN26</f>
        <v>0</v>
      </c>
    </row>
    <row r="51" spans="1:10" x14ac:dyDescent="0.2">
      <c r="A51" t="str">
        <f>Players!B27</f>
        <v>Spiralex</v>
      </c>
      <c r="B51" t="str">
        <f>Players!P27</f>
        <v>Dissolve</v>
      </c>
      <c r="C51" t="str">
        <f>Players!S27</f>
        <v>Gas</v>
      </c>
      <c r="D51" t="str">
        <f>Players!V27</f>
        <v>O-Fire</v>
      </c>
      <c r="E51" t="str">
        <f>Players!Y27</f>
        <v>X-Thunder</v>
      </c>
      <c r="F51" t="str">
        <f>Players!AB27</f>
        <v/>
      </c>
      <c r="G51" t="str">
        <f>Players!AE27</f>
        <v/>
      </c>
      <c r="H51" t="str">
        <f>Players!AH27</f>
        <v/>
      </c>
      <c r="I51" t="str">
        <f>Players!AK27</f>
        <v/>
      </c>
      <c r="J51">
        <f>Players!AN27</f>
        <v>0</v>
      </c>
    </row>
  </sheetData>
  <mergeCells count="4">
    <mergeCell ref="A1:I1"/>
    <mergeCell ref="K1:O1"/>
    <mergeCell ref="Q1:U1"/>
    <mergeCell ref="Q24:S24"/>
  </mergeCells>
  <phoneticPr fontId="38" type="noConversion"/>
  <dataValidations count="4">
    <dataValidation type="list" allowBlank="1" showInputMessage="1" showErrorMessage="1" sqref="N3" xr:uid="{B7DBEA95-5E6F-4E8E-8858-E4AB9CFF1221}">
      <formula1>$B$26:$J$26</formula1>
    </dataValidation>
    <dataValidation type="list" allowBlank="1" showInputMessage="1" showErrorMessage="1" sqref="N4:N15 N17" xr:uid="{8E546CF3-2AE0-460E-AA66-E57794D9B82C}">
      <formula1>$B27:$J27</formula1>
    </dataValidation>
    <dataValidation type="list" allowBlank="1" showInputMessage="1" showErrorMessage="1" sqref="N18" xr:uid="{A4452691-0E6E-4712-A6D9-9A580A1AC9B7}">
      <formula1>$B42:$J42</formula1>
    </dataValidation>
    <dataValidation type="list" allowBlank="1" showInputMessage="1" showErrorMessage="1" sqref="N19" xr:uid="{36DC474D-B576-4A32-9FDD-A2CA755280E8}">
      <formula1>$B51:$J51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F2" sqref="F2:L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150</v>
      </c>
      <c r="B2" t="s">
        <v>13</v>
      </c>
      <c r="C2">
        <v>1</v>
      </c>
      <c r="D2">
        <v>1</v>
      </c>
      <c r="F2">
        <f>VLOOKUP(A2,Players!B$2:G$37,5,FALSE)</f>
        <v>52</v>
      </c>
      <c r="K2" s="7" t="e">
        <f>IF(NOT($B2="Enemy"),VLOOKUP($A2,Toolkit!$K$2:$O$37,4,FALSE),"")</f>
        <v>#N/A</v>
      </c>
      <c r="L2" s="7" t="e">
        <f>IF(NOT($B2="Enemy"),VLOOKUP($A2,Toolkit!$K$2:$O$37,5,FALSE),"")</f>
        <v>#N/A</v>
      </c>
    </row>
    <row r="3" spans="1:22" x14ac:dyDescent="0.2">
      <c r="A3" t="s">
        <v>155</v>
      </c>
      <c r="B3" t="s">
        <v>14</v>
      </c>
      <c r="C3">
        <v>1</v>
      </c>
      <c r="D3">
        <v>1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EEB4-9DF4-4D9A-8330-DFB4A0754268}">
  <sheetPr codeName="Sheet23"/>
  <dimension ref="A1:V6"/>
  <sheetViews>
    <sheetView workbookViewId="0">
      <selection activeCell="E9" sqref="E9"/>
    </sheetView>
  </sheetViews>
  <sheetFormatPr defaultRowHeight="12.75" x14ac:dyDescent="0.2"/>
  <cols>
    <col min="3" max="3" width="6.28515625" bestFit="1" customWidth="1"/>
    <col min="4" max="4" width="7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style="7" bestFit="1" customWidth="1"/>
    <col min="12" max="12" width="9.140625" style="7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114</v>
      </c>
      <c r="B2" t="s">
        <v>13</v>
      </c>
      <c r="C2">
        <v>1</v>
      </c>
      <c r="D2">
        <v>4</v>
      </c>
      <c r="E2">
        <v>33.06</v>
      </c>
      <c r="F2">
        <v>253</v>
      </c>
      <c r="G2">
        <v>23</v>
      </c>
      <c r="H2">
        <v>29</v>
      </c>
      <c r="I2">
        <v>23</v>
      </c>
      <c r="J2">
        <v>25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  <c r="O2" t="s">
        <v>243</v>
      </c>
      <c r="U2" t="s">
        <v>256</v>
      </c>
      <c r="V2" t="s">
        <v>257</v>
      </c>
    </row>
    <row r="3" spans="1:22" x14ac:dyDescent="0.2">
      <c r="A3" t="s">
        <v>241</v>
      </c>
      <c r="B3" t="s">
        <v>14</v>
      </c>
      <c r="C3">
        <v>1</v>
      </c>
      <c r="D3">
        <v>1</v>
      </c>
      <c r="E3">
        <v>21.24</v>
      </c>
      <c r="F3">
        <v>259</v>
      </c>
      <c r="G3">
        <v>28</v>
      </c>
      <c r="H3">
        <v>18</v>
      </c>
      <c r="I3">
        <v>18</v>
      </c>
      <c r="J3">
        <v>18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  <c r="R3" t="s">
        <v>243</v>
      </c>
      <c r="U3" t="s">
        <v>258</v>
      </c>
    </row>
    <row r="4" spans="1:22" x14ac:dyDescent="0.2">
      <c r="A4" t="s">
        <v>98</v>
      </c>
      <c r="B4" t="s">
        <v>13</v>
      </c>
      <c r="C4">
        <v>0</v>
      </c>
      <c r="D4">
        <v>1</v>
      </c>
      <c r="E4">
        <v>12</v>
      </c>
      <c r="F4">
        <v>0</v>
      </c>
      <c r="G4">
        <v>20</v>
      </c>
      <c r="H4">
        <v>5</v>
      </c>
      <c r="I4">
        <v>0</v>
      </c>
      <c r="J4">
        <v>22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  <c r="P4" t="s">
        <v>244</v>
      </c>
      <c r="Q4" t="s">
        <v>244</v>
      </c>
      <c r="R4" t="s">
        <v>244</v>
      </c>
      <c r="S4" t="s">
        <v>244</v>
      </c>
      <c r="U4" t="s">
        <v>251</v>
      </c>
      <c r="V4" t="s">
        <v>252</v>
      </c>
    </row>
    <row r="5" spans="1:22" x14ac:dyDescent="0.2">
      <c r="A5" t="s">
        <v>71</v>
      </c>
      <c r="B5" t="s">
        <v>13</v>
      </c>
      <c r="C5">
        <v>1</v>
      </c>
      <c r="D5">
        <v>3</v>
      </c>
      <c r="E5">
        <v>9.81</v>
      </c>
      <c r="F5">
        <v>139</v>
      </c>
      <c r="G5">
        <v>8</v>
      </c>
      <c r="H5">
        <v>9</v>
      </c>
      <c r="I5">
        <v>18</v>
      </c>
      <c r="J5">
        <v>6</v>
      </c>
      <c r="K5" s="7">
        <f>IF(NOT($B5="Enemy"),VLOOKUP($A5,Toolkit!$K$2:$O$37,4,FALSE),"")</f>
        <v>0</v>
      </c>
      <c r="L5" s="7">
        <f>IF(NOT($B5="Enemy"),VLOOKUP($A5,Toolkit!$K$2:$O$37,5,FALSE),"")</f>
        <v>0</v>
      </c>
      <c r="U5" t="s">
        <v>259</v>
      </c>
      <c r="V5" t="s">
        <v>260</v>
      </c>
    </row>
    <row r="6" spans="1:22" x14ac:dyDescent="0.2">
      <c r="A6" t="s">
        <v>89</v>
      </c>
      <c r="B6" t="s">
        <v>13</v>
      </c>
      <c r="C6">
        <v>0</v>
      </c>
      <c r="D6">
        <v>2</v>
      </c>
      <c r="E6">
        <v>0</v>
      </c>
      <c r="F6">
        <v>0</v>
      </c>
      <c r="G6">
        <v>24</v>
      </c>
      <c r="H6">
        <v>23</v>
      </c>
      <c r="I6">
        <v>16</v>
      </c>
      <c r="J6">
        <v>20</v>
      </c>
      <c r="K6" s="7">
        <f>IF(NOT($B6="Enemy"),VLOOKUP($A6,Toolkit!$K$2:$O$37,4,FALSE),"")</f>
        <v>0</v>
      </c>
      <c r="L6" s="7">
        <f>IF(NOT($B6="Enemy"),VLOOKUP($A6,Toolkit!$K$2:$O$37,5,FALSE),"")</f>
        <v>0</v>
      </c>
      <c r="P6" t="s">
        <v>244</v>
      </c>
      <c r="Q6" t="s">
        <v>244</v>
      </c>
      <c r="R6" t="s">
        <v>244</v>
      </c>
      <c r="S6" t="s">
        <v>244</v>
      </c>
      <c r="U6" t="s">
        <v>245</v>
      </c>
      <c r="V6" t="s">
        <v>246</v>
      </c>
    </row>
  </sheetData>
  <sortState xmlns:xlrd2="http://schemas.microsoft.com/office/spreadsheetml/2017/richdata2" ref="A2:D5">
    <sortCondition ref="D2:D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DCF98-F8B4-4404-80CD-3219CA54323D}">
  <sheetPr codeName="Sheet25"/>
  <dimension ref="A1:V9"/>
  <sheetViews>
    <sheetView workbookViewId="0">
      <selection activeCell="F2" sqref="F2"/>
    </sheetView>
  </sheetViews>
  <sheetFormatPr defaultRowHeight="12.75" x14ac:dyDescent="0.2"/>
  <cols>
    <col min="3" max="3" width="6.28515625" bestFit="1" customWidth="1"/>
    <col min="4" max="4" width="7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style="7" bestFit="1" customWidth="1"/>
    <col min="12" max="12" width="9.140625" style="7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248</v>
      </c>
      <c r="B2" t="s">
        <v>14</v>
      </c>
      <c r="C2">
        <v>1</v>
      </c>
      <c r="D2">
        <v>1</v>
      </c>
      <c r="E2">
        <v>20.399999999999999</v>
      </c>
      <c r="F2">
        <v>78</v>
      </c>
      <c r="G2">
        <v>15</v>
      </c>
      <c r="H2">
        <v>18</v>
      </c>
      <c r="I2">
        <v>10</v>
      </c>
      <c r="J2">
        <v>16</v>
      </c>
      <c r="K2" s="7" t="str">
        <f>IF(NOT($B2="Enemy"),VLOOKUP($A2,Toolkit!$K$2:$O$37,4,FALSE),"")</f>
        <v/>
      </c>
      <c r="L2" s="7" t="str">
        <f>IF(NOT($B2="Enemy"),VLOOKUP($A2,Toolkit!$K$2:$O$37,5,FALSE),"")</f>
        <v/>
      </c>
      <c r="U2" t="s">
        <v>262</v>
      </c>
    </row>
    <row r="3" spans="1:22" x14ac:dyDescent="0.2">
      <c r="A3" t="s">
        <v>105</v>
      </c>
      <c r="B3" t="s">
        <v>13</v>
      </c>
      <c r="C3">
        <v>1</v>
      </c>
      <c r="D3">
        <v>4</v>
      </c>
      <c r="E3">
        <v>13.08</v>
      </c>
      <c r="F3">
        <v>135</v>
      </c>
      <c r="G3">
        <v>10</v>
      </c>
      <c r="H3">
        <v>10</v>
      </c>
      <c r="I3">
        <v>15</v>
      </c>
      <c r="J3">
        <v>11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  <c r="U3" t="s">
        <v>263</v>
      </c>
      <c r="V3" t="s">
        <v>264</v>
      </c>
    </row>
    <row r="4" spans="1:22" x14ac:dyDescent="0.2">
      <c r="A4" t="s">
        <v>249</v>
      </c>
      <c r="B4" t="s">
        <v>14</v>
      </c>
      <c r="C4">
        <v>0</v>
      </c>
      <c r="D4">
        <v>1</v>
      </c>
      <c r="E4">
        <v>11.6</v>
      </c>
      <c r="F4">
        <v>0</v>
      </c>
      <c r="G4">
        <v>9</v>
      </c>
      <c r="H4">
        <v>16</v>
      </c>
      <c r="I4">
        <v>20</v>
      </c>
      <c r="J4">
        <v>15</v>
      </c>
      <c r="K4" s="7" t="str">
        <f>IF(NOT($B4="Enemy"),VLOOKUP($A4,Toolkit!$K$2:$O$37,4,FALSE),"")</f>
        <v/>
      </c>
      <c r="L4" s="7" t="str">
        <f>IF(NOT($B4="Enemy"),VLOOKUP($A4,Toolkit!$K$2:$O$37,5,FALSE),"")</f>
        <v/>
      </c>
      <c r="P4" t="s">
        <v>244</v>
      </c>
      <c r="Q4" t="s">
        <v>244</v>
      </c>
      <c r="R4" t="s">
        <v>244</v>
      </c>
      <c r="S4" t="s">
        <v>244</v>
      </c>
      <c r="U4" t="s">
        <v>156</v>
      </c>
    </row>
    <row r="5" spans="1:22" x14ac:dyDescent="0.2">
      <c r="A5" t="s">
        <v>101</v>
      </c>
      <c r="B5" t="s">
        <v>13</v>
      </c>
      <c r="C5">
        <v>0</v>
      </c>
      <c r="D5">
        <v>3</v>
      </c>
      <c r="E5">
        <v>10.9</v>
      </c>
      <c r="F5">
        <v>0</v>
      </c>
      <c r="G5">
        <v>17</v>
      </c>
      <c r="H5">
        <v>10</v>
      </c>
      <c r="I5">
        <v>6</v>
      </c>
      <c r="J5">
        <v>8</v>
      </c>
      <c r="K5" s="7">
        <f>IF(NOT($B5="Enemy"),VLOOKUP($A5,Toolkit!$K$2:$O$37,4,FALSE),"")</f>
        <v>0</v>
      </c>
      <c r="L5" s="7">
        <f>IF(NOT($B5="Enemy"),VLOOKUP($A5,Toolkit!$K$2:$O$37,5,FALSE),"")</f>
        <v>0</v>
      </c>
      <c r="P5" t="s">
        <v>244</v>
      </c>
      <c r="Q5" t="s">
        <v>244</v>
      </c>
      <c r="R5" t="s">
        <v>244</v>
      </c>
      <c r="S5" t="s">
        <v>244</v>
      </c>
      <c r="U5" t="s">
        <v>253</v>
      </c>
      <c r="V5" t="s">
        <v>254</v>
      </c>
    </row>
    <row r="6" spans="1:22" x14ac:dyDescent="0.2">
      <c r="A6" t="s">
        <v>120</v>
      </c>
      <c r="B6" t="s">
        <v>13</v>
      </c>
      <c r="C6">
        <v>1</v>
      </c>
      <c r="D6">
        <v>1</v>
      </c>
      <c r="E6">
        <v>5.6000000000000014</v>
      </c>
      <c r="F6">
        <v>56</v>
      </c>
      <c r="G6">
        <v>44</v>
      </c>
      <c r="H6">
        <v>5</v>
      </c>
      <c r="I6">
        <v>0</v>
      </c>
      <c r="J6">
        <v>6</v>
      </c>
      <c r="K6" s="7">
        <f>IF(NOT($B6="Enemy"),VLOOKUP($A6,Toolkit!$K$2:$O$37,4,FALSE),"")</f>
        <v>0</v>
      </c>
      <c r="L6" s="7">
        <f>IF(NOT($B6="Enemy"),VLOOKUP($A6,Toolkit!$K$2:$O$37,5,FALSE),"")</f>
        <v>0</v>
      </c>
      <c r="U6" t="s">
        <v>265</v>
      </c>
      <c r="V6" t="s">
        <v>266</v>
      </c>
    </row>
    <row r="7" spans="1:22" x14ac:dyDescent="0.2">
      <c r="A7" t="s">
        <v>250</v>
      </c>
      <c r="B7" t="s">
        <v>14</v>
      </c>
      <c r="C7">
        <v>0</v>
      </c>
      <c r="D7">
        <v>1</v>
      </c>
      <c r="E7">
        <v>0</v>
      </c>
      <c r="F7">
        <v>0</v>
      </c>
      <c r="G7">
        <v>8</v>
      </c>
      <c r="H7">
        <v>15</v>
      </c>
      <c r="I7">
        <v>21</v>
      </c>
      <c r="J7">
        <v>15</v>
      </c>
      <c r="K7" s="7" t="str">
        <f>IF(NOT($B7="Enemy"),VLOOKUP($A7,Toolkit!$K$2:$O$37,4,FALSE),"")</f>
        <v/>
      </c>
      <c r="L7" s="7" t="str">
        <f>IF(NOT($B7="Enemy"),VLOOKUP($A7,Toolkit!$K$2:$O$37,5,FALSE),"")</f>
        <v/>
      </c>
      <c r="P7" t="s">
        <v>244</v>
      </c>
      <c r="Q7" t="s">
        <v>244</v>
      </c>
      <c r="R7" t="s">
        <v>244</v>
      </c>
      <c r="S7" t="s">
        <v>244</v>
      </c>
      <c r="U7" t="s">
        <v>255</v>
      </c>
    </row>
    <row r="8" spans="1:22" x14ac:dyDescent="0.2">
      <c r="A8" t="s">
        <v>73</v>
      </c>
      <c r="B8" t="s">
        <v>13</v>
      </c>
      <c r="C8">
        <v>0</v>
      </c>
      <c r="D8">
        <v>2</v>
      </c>
      <c r="E8">
        <v>0</v>
      </c>
      <c r="F8">
        <v>0</v>
      </c>
      <c r="G8">
        <v>18</v>
      </c>
      <c r="H8">
        <v>14</v>
      </c>
      <c r="I8">
        <v>14</v>
      </c>
      <c r="J8">
        <v>9</v>
      </c>
      <c r="K8" s="7">
        <f>IF(NOT($B8="Enemy"),VLOOKUP($A8,Toolkit!$K$2:$O$37,4,FALSE),"")</f>
        <v>0</v>
      </c>
      <c r="L8" s="7">
        <f>IF(NOT($B8="Enemy"),VLOOKUP($A8,Toolkit!$K$2:$O$37,5,FALSE),"")</f>
        <v>0</v>
      </c>
    </row>
    <row r="9" spans="1:22" x14ac:dyDescent="0.2">
      <c r="A9" t="s">
        <v>247</v>
      </c>
      <c r="B9" t="s">
        <v>14</v>
      </c>
      <c r="C9">
        <v>0</v>
      </c>
      <c r="D9">
        <v>1</v>
      </c>
      <c r="E9">
        <v>0</v>
      </c>
      <c r="F9">
        <v>323</v>
      </c>
      <c r="G9">
        <v>18</v>
      </c>
      <c r="H9">
        <v>15</v>
      </c>
      <c r="I9">
        <v>9</v>
      </c>
      <c r="J9">
        <v>15</v>
      </c>
      <c r="K9" s="7" t="str">
        <f>IF(NOT($B9="Enemy"),VLOOKUP($A9,Toolkit!$K$2:$O$37,4,FALSE),"")</f>
        <v/>
      </c>
      <c r="L9" s="7" t="str">
        <f>IF(NOT($B9="Enemy"),VLOOKUP($A9,Toolkit!$K$2:$O$37,5,FALSE),"")</f>
        <v/>
      </c>
    </row>
  </sheetData>
  <sortState xmlns:xlrd2="http://schemas.microsoft.com/office/spreadsheetml/2017/richdata2" ref="A2:D5">
    <sortCondition ref="D2:D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ACE26-C72A-41BF-9423-7805A1F38488}">
  <sheetPr codeName="Sheet20"/>
  <dimension ref="A1:V7"/>
  <sheetViews>
    <sheetView workbookViewId="0">
      <selection activeCell="D7" sqref="D7"/>
    </sheetView>
  </sheetViews>
  <sheetFormatPr defaultRowHeight="12.75" x14ac:dyDescent="0.2"/>
  <cols>
    <col min="3" max="3" width="6.28515625" bestFit="1" customWidth="1"/>
    <col min="4" max="4" width="7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style="7" bestFit="1" customWidth="1"/>
    <col min="12" max="12" width="8.85546875" style="7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112</v>
      </c>
      <c r="B2" t="s">
        <v>13</v>
      </c>
      <c r="C2">
        <v>1</v>
      </c>
      <c r="D2">
        <v>1</v>
      </c>
      <c r="F2">
        <f>VLOOKUP(A2,Players!B$2:G$37,5,FALSE)</f>
        <v>204</v>
      </c>
      <c r="K2" s="7" t="str">
        <f>IF(NOT($B2="Enemy"),VLOOKUP($A2,Toolkit!$K$2:$O$37,4,FALSE),"")</f>
        <v>Silver Shield</v>
      </c>
      <c r="L2" s="7">
        <f>IF(NOT($B2="Enemy"),VLOOKUP($A2,Toolkit!$K$2:$O$37,5,FALSE),"")</f>
        <v>0</v>
      </c>
    </row>
    <row r="3" spans="1:22" x14ac:dyDescent="0.2">
      <c r="A3" t="s">
        <v>147</v>
      </c>
      <c r="B3" t="s">
        <v>13</v>
      </c>
      <c r="C3">
        <v>1</v>
      </c>
      <c r="D3">
        <v>2</v>
      </c>
      <c r="F3">
        <f>VLOOKUP(A3,Players!B$2:G$37,5,FALSE)</f>
        <v>175</v>
      </c>
      <c r="K3" s="7" t="str">
        <f>IF(NOT($B3="Enemy"),VLOOKUP($A3,Toolkit!$K$2:$O$37,4,FALSE),"")</f>
        <v>Electroshock</v>
      </c>
      <c r="L3" s="7" t="str">
        <f>IF(NOT($B3="Enemy"),VLOOKUP($A3,Toolkit!$K$2:$O$37,5,FALSE),"")</f>
        <v>MechAshura Mk II</v>
      </c>
    </row>
    <row r="4" spans="1:22" x14ac:dyDescent="0.2">
      <c r="A4" t="s">
        <v>90</v>
      </c>
      <c r="B4" t="s">
        <v>13</v>
      </c>
      <c r="C4">
        <v>1</v>
      </c>
      <c r="D4">
        <v>3</v>
      </c>
      <c r="F4">
        <f>VLOOKUP(A4,Players!B$2:G$37,5,FALSE)</f>
        <v>173</v>
      </c>
      <c r="K4" s="7" t="str">
        <f>IF(NOT($B4="Enemy"),VLOOKUP($A4,Toolkit!$K$2:$O$37,4,FALSE),"")</f>
        <v>Fire</v>
      </c>
      <c r="L4" s="7" t="str">
        <f>IF(NOT($B4="Enemy"),VLOOKUP($A4,Toolkit!$K$2:$O$37,5,FALSE),"")</f>
        <v>MechAshura Mk II</v>
      </c>
    </row>
    <row r="5" spans="1:22" x14ac:dyDescent="0.2">
      <c r="A5" t="s">
        <v>94</v>
      </c>
      <c r="B5" t="s">
        <v>13</v>
      </c>
      <c r="C5">
        <v>1</v>
      </c>
      <c r="D5">
        <v>4</v>
      </c>
      <c r="F5">
        <f>VLOOKUP(A5,Players!B$2:G$37,5,FALSE)</f>
        <v>144</v>
      </c>
      <c r="K5" s="7" t="str">
        <f>IF(NOT($B5="Enemy"),VLOOKUP($A5,Toolkit!$K$2:$O$37,4,FALSE),"")</f>
        <v>Enfeeble</v>
      </c>
      <c r="L5" s="7" t="str">
        <f>IF(NOT($B5="Enemy"),VLOOKUP($A5,Toolkit!$K$2:$O$37,5,FALSE),"")</f>
        <v>MechAshura Mk II</v>
      </c>
    </row>
    <row r="6" spans="1:22" x14ac:dyDescent="0.2">
      <c r="A6" t="s">
        <v>95</v>
      </c>
      <c r="B6" t="s">
        <v>13</v>
      </c>
      <c r="C6">
        <v>1</v>
      </c>
      <c r="D6">
        <v>5</v>
      </c>
      <c r="F6">
        <f>VLOOKUP(A6,Players!B$2:G$37,5,FALSE)</f>
        <v>104</v>
      </c>
      <c r="K6" s="7" t="str">
        <f>IF(NOT($B6="Enemy"),VLOOKUP($A6,Toolkit!$K$2:$O$37,4,FALSE),"")</f>
        <v>Lightning</v>
      </c>
      <c r="L6" s="7">
        <f>IF(NOT($B6="Enemy"),VLOOKUP($A6,Toolkit!$K$2:$O$37,5,FALSE),"")</f>
        <v>0</v>
      </c>
    </row>
    <row r="7" spans="1:22" x14ac:dyDescent="0.2">
      <c r="A7" t="s">
        <v>268</v>
      </c>
      <c r="B7" t="s">
        <v>14</v>
      </c>
      <c r="C7">
        <v>1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90598-9A04-4236-8E58-BCE20552F730}">
  <dimension ref="A1:J15"/>
  <sheetViews>
    <sheetView workbookViewId="0">
      <selection activeCell="J26" sqref="J26"/>
    </sheetView>
  </sheetViews>
  <sheetFormatPr defaultRowHeight="12.75" x14ac:dyDescent="0.2"/>
  <cols>
    <col min="10" max="10" width="15" bestFit="1" customWidth="1"/>
  </cols>
  <sheetData>
    <row r="1" spans="1:10" x14ac:dyDescent="0.2">
      <c r="B1" t="s">
        <v>283</v>
      </c>
      <c r="C1" t="s">
        <v>292</v>
      </c>
      <c r="F1" t="s">
        <v>10</v>
      </c>
      <c r="G1" t="s">
        <v>294</v>
      </c>
      <c r="H1" t="s">
        <v>293</v>
      </c>
      <c r="J1" t="s">
        <v>279</v>
      </c>
    </row>
    <row r="2" spans="1:10" x14ac:dyDescent="0.2">
      <c r="A2" t="s">
        <v>98</v>
      </c>
      <c r="F2" t="s">
        <v>270</v>
      </c>
      <c r="H2" t="str">
        <f t="shared" ref="H2:H15" ca="1" si="0">IF(F2="Front",IF(RANDBETWEEN(1,2)=1,"Block","Fail"))</f>
        <v>Fail</v>
      </c>
      <c r="J2" t="s">
        <v>280</v>
      </c>
    </row>
    <row r="3" spans="1:10" x14ac:dyDescent="0.2">
      <c r="A3" t="s">
        <v>89</v>
      </c>
      <c r="F3" t="s">
        <v>272</v>
      </c>
      <c r="H3" t="b">
        <f t="shared" ca="1" si="0"/>
        <v>0</v>
      </c>
      <c r="J3" t="s">
        <v>282</v>
      </c>
    </row>
    <row r="4" spans="1:10" x14ac:dyDescent="0.2">
      <c r="A4" t="s">
        <v>71</v>
      </c>
      <c r="F4" t="s">
        <v>272</v>
      </c>
      <c r="H4" t="b">
        <f t="shared" ca="1" si="0"/>
        <v>0</v>
      </c>
      <c r="J4" t="s">
        <v>282</v>
      </c>
    </row>
    <row r="5" spans="1:10" x14ac:dyDescent="0.2">
      <c r="A5" t="s">
        <v>114</v>
      </c>
      <c r="F5" t="s">
        <v>270</v>
      </c>
      <c r="H5" t="str">
        <f t="shared" ca="1" si="0"/>
        <v>Fail</v>
      </c>
      <c r="J5" t="s">
        <v>281</v>
      </c>
    </row>
    <row r="6" spans="1:10" x14ac:dyDescent="0.2">
      <c r="A6" t="s">
        <v>120</v>
      </c>
      <c r="F6" t="s">
        <v>271</v>
      </c>
      <c r="H6" t="b">
        <f t="shared" ca="1" si="0"/>
        <v>0</v>
      </c>
      <c r="J6" t="s">
        <v>284</v>
      </c>
    </row>
    <row r="7" spans="1:10" x14ac:dyDescent="0.2">
      <c r="A7" t="s">
        <v>105</v>
      </c>
      <c r="F7" t="s">
        <v>271</v>
      </c>
      <c r="H7" t="b">
        <f t="shared" ca="1" si="0"/>
        <v>0</v>
      </c>
      <c r="J7" t="s">
        <v>285</v>
      </c>
    </row>
    <row r="10" spans="1:10" x14ac:dyDescent="0.2">
      <c r="A10" t="s">
        <v>273</v>
      </c>
      <c r="C10" t="s">
        <v>243</v>
      </c>
      <c r="D10">
        <f ca="1">RANDBETWEEN(1,3)</f>
        <v>3</v>
      </c>
      <c r="E10" t="str">
        <f ca="1">IF(D10=1,"Dance Fight",IF(D10=2,"Hype","Front"))</f>
        <v>Front</v>
      </c>
      <c r="F10" t="s">
        <v>270</v>
      </c>
      <c r="G10" t="b">
        <f t="shared" ref="G10:G15" ca="1" si="1">IF(F10="Hype",RANDBETWEEN(1,6))</f>
        <v>0</v>
      </c>
      <c r="H10" t="str">
        <f ca="1">IF(F10="Front",IF(RANDBETWEEN(1,2)=1,"Block","Fail"))</f>
        <v>Fail</v>
      </c>
      <c r="J10" t="s">
        <v>286</v>
      </c>
    </row>
    <row r="11" spans="1:10" x14ac:dyDescent="0.2">
      <c r="A11" t="s">
        <v>278</v>
      </c>
      <c r="D11">
        <f t="shared" ref="D11:D15" ca="1" si="2">RANDBETWEEN(1,3)</f>
        <v>3</v>
      </c>
      <c r="E11" t="str">
        <f t="shared" ref="E11:E15" ca="1" si="3">IF(D11=1,"Dance Fight",IF(D11=2,"Hype","Front"))</f>
        <v>Front</v>
      </c>
      <c r="F11" t="s">
        <v>270</v>
      </c>
      <c r="G11" t="b">
        <f t="shared" ca="1" si="1"/>
        <v>0</v>
      </c>
      <c r="H11" t="str">
        <f t="shared" ca="1" si="0"/>
        <v>Fail</v>
      </c>
      <c r="J11" t="s">
        <v>287</v>
      </c>
    </row>
    <row r="12" spans="1:10" x14ac:dyDescent="0.2">
      <c r="A12" t="s">
        <v>274</v>
      </c>
      <c r="C12" t="s">
        <v>243</v>
      </c>
      <c r="D12">
        <f t="shared" ca="1" si="2"/>
        <v>2</v>
      </c>
      <c r="E12" t="str">
        <f t="shared" ca="1" si="3"/>
        <v>Hype</v>
      </c>
      <c r="F12" t="s">
        <v>270</v>
      </c>
      <c r="G12" t="b">
        <f t="shared" ca="1" si="1"/>
        <v>0</v>
      </c>
      <c r="H12" t="str">
        <f t="shared" ca="1" si="0"/>
        <v>Fail</v>
      </c>
      <c r="J12" t="s">
        <v>288</v>
      </c>
    </row>
    <row r="13" spans="1:10" x14ac:dyDescent="0.2">
      <c r="A13" t="s">
        <v>275</v>
      </c>
      <c r="D13">
        <f t="shared" ca="1" si="2"/>
        <v>2</v>
      </c>
      <c r="E13" t="str">
        <f t="shared" ca="1" si="3"/>
        <v>Hype</v>
      </c>
      <c r="F13" t="s">
        <v>271</v>
      </c>
      <c r="G13">
        <f ca="1">IF(F13="Hype",RANDBETWEEN(1,6))</f>
        <v>1</v>
      </c>
      <c r="H13" t="b">
        <f t="shared" ca="1" si="0"/>
        <v>0</v>
      </c>
      <c r="J13" t="s">
        <v>289</v>
      </c>
    </row>
    <row r="14" spans="1:10" x14ac:dyDescent="0.2">
      <c r="A14" t="s">
        <v>276</v>
      </c>
      <c r="D14">
        <f t="shared" ca="1" si="2"/>
        <v>2</v>
      </c>
      <c r="E14" t="str">
        <f t="shared" ca="1" si="3"/>
        <v>Hype</v>
      </c>
      <c r="F14" t="s">
        <v>271</v>
      </c>
      <c r="G14">
        <f t="shared" ca="1" si="1"/>
        <v>6</v>
      </c>
      <c r="H14" t="b">
        <f t="shared" ca="1" si="0"/>
        <v>0</v>
      </c>
      <c r="J14" t="s">
        <v>290</v>
      </c>
    </row>
    <row r="15" spans="1:10" x14ac:dyDescent="0.2">
      <c r="A15" t="s">
        <v>277</v>
      </c>
      <c r="C15" t="s">
        <v>243</v>
      </c>
      <c r="D15">
        <f t="shared" ca="1" si="2"/>
        <v>2</v>
      </c>
      <c r="E15" t="str">
        <f t="shared" ca="1" si="3"/>
        <v>Hype</v>
      </c>
      <c r="F15" t="s">
        <v>271</v>
      </c>
      <c r="G15">
        <f t="shared" ca="1" si="1"/>
        <v>1</v>
      </c>
      <c r="H15" t="b">
        <f t="shared" ca="1" si="0"/>
        <v>0</v>
      </c>
      <c r="J15" t="s">
        <v>291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Twice Ascended</vt:lpstr>
      <vt:lpstr>Drowned World</vt:lpstr>
      <vt:lpstr>Elsewhere</vt:lpstr>
      <vt:lpstr>Sheet1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2024-02-16T19:29:27Z</dcterms:modified>
</cp:coreProperties>
</file>