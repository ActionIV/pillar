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F580F630-0479-4E10-9C92-6FC43DDAA7CF}" xr6:coauthVersionLast="43" xr6:coauthVersionMax="43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emplate" sheetId="1" r:id="rId2"/>
    <sheet name="Stand" sheetId="27" r:id="rId3"/>
    <sheet name="Defend" sheetId="28" r:id="rId4"/>
    <sheet name="Brave" sheetId="29" r:id="rId5"/>
  </sheets>
  <externalReferences>
    <externalReference r:id="rId6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0" i="16" l="1"/>
  <c r="I16" i="16" l="1"/>
  <c r="I15" i="16"/>
  <c r="K9" i="16"/>
  <c r="K10" i="16"/>
  <c r="I14" i="16"/>
  <c r="I7" i="16"/>
  <c r="O6" i="16"/>
  <c r="M6" i="16"/>
  <c r="I6" i="16"/>
  <c r="M5" i="16"/>
  <c r="M2" i="16"/>
  <c r="P17" i="16" l="1"/>
  <c r="R17" i="16" s="1"/>
  <c r="AM17" i="16"/>
  <c r="AJ17" i="16"/>
  <c r="AG17" i="16"/>
  <c r="AD17" i="16"/>
  <c r="AA17" i="16"/>
  <c r="AM12" i="16"/>
  <c r="AJ12" i="16"/>
  <c r="AG12" i="16"/>
  <c r="AD12" i="16"/>
  <c r="AA12" i="16"/>
  <c r="AM11" i="16"/>
  <c r="AJ11" i="16"/>
  <c r="AG11" i="16"/>
  <c r="AD11" i="16"/>
  <c r="AA11" i="16"/>
  <c r="G17" i="16" l="1"/>
  <c r="S17" i="16"/>
  <c r="U17" i="16" s="1"/>
  <c r="P12" i="16"/>
  <c r="R12" i="16" s="1"/>
  <c r="J11" i="16"/>
  <c r="G11" i="16"/>
  <c r="L12" i="16"/>
  <c r="M12" i="16" s="1"/>
  <c r="H11" i="16"/>
  <c r="I11" i="16" s="1"/>
  <c r="N12" i="16"/>
  <c r="O12" i="16" s="1"/>
  <c r="V17" i="16"/>
  <c r="X17" i="16" s="1"/>
  <c r="L11" i="16"/>
  <c r="M11" i="16" s="1"/>
  <c r="S12" i="16"/>
  <c r="U12" i="16" s="1"/>
  <c r="H17" i="16"/>
  <c r="I17" i="16" s="1"/>
  <c r="V12" i="16"/>
  <c r="X12" i="16" s="1"/>
  <c r="P11" i="16"/>
  <c r="R11" i="16" s="1"/>
  <c r="G12" i="16"/>
  <c r="L17" i="16"/>
  <c r="M17" i="16" s="1"/>
  <c r="J17" i="16"/>
  <c r="S11" i="16"/>
  <c r="U11" i="16" s="1"/>
  <c r="H12" i="16"/>
  <c r="I12" i="16" s="1"/>
  <c r="N17" i="16"/>
  <c r="O17" i="16" s="1"/>
  <c r="N11" i="16"/>
  <c r="O11" i="16" s="1"/>
  <c r="H4" i="16"/>
  <c r="I4" i="16" s="1"/>
  <c r="V11" i="16"/>
  <c r="X11" i="16" s="1"/>
  <c r="J12" i="16"/>
  <c r="V4" i="16"/>
  <c r="S4" i="16"/>
  <c r="J4" i="16"/>
  <c r="L4" i="16"/>
  <c r="M4" i="16" s="1"/>
  <c r="N4" i="16"/>
  <c r="O4" i="16" s="1"/>
  <c r="P4" i="16"/>
  <c r="AP3" i="16"/>
  <c r="AK3" i="16"/>
  <c r="AM3" i="16" s="1"/>
  <c r="AH3" i="16"/>
  <c r="AJ3" i="16" s="1"/>
  <c r="AE3" i="16"/>
  <c r="AG3" i="16" s="1"/>
  <c r="AB3" i="16"/>
  <c r="AD3" i="16" s="1"/>
  <c r="Y3" i="16"/>
  <c r="AA3" i="16" s="1"/>
  <c r="V3" i="16"/>
  <c r="X3" i="16" s="1"/>
  <c r="S3" i="16"/>
  <c r="U3" i="16" s="1"/>
  <c r="P3" i="16"/>
  <c r="R3" i="16" s="1"/>
  <c r="N3" i="16"/>
  <c r="O3" i="16" s="1"/>
  <c r="L3" i="16"/>
  <c r="M3" i="16" s="1"/>
  <c r="J3" i="16"/>
  <c r="H3" i="16"/>
  <c r="I3" i="16" s="1"/>
  <c r="G3" i="16"/>
  <c r="K17" i="16" l="1"/>
  <c r="K12" i="16"/>
  <c r="K11" i="16"/>
  <c r="K3" i="16"/>
  <c r="K4" i="16"/>
  <c r="G4" i="16" l="1"/>
  <c r="O16" i="16"/>
  <c r="O15" i="16"/>
  <c r="O14" i="16"/>
  <c r="O13" i="16"/>
  <c r="O10" i="16"/>
  <c r="O9" i="16"/>
  <c r="O8" i="16"/>
  <c r="O7" i="16"/>
  <c r="O5" i="16"/>
  <c r="O2" i="16"/>
  <c r="M16" i="16"/>
  <c r="M15" i="16"/>
  <c r="M14" i="16"/>
  <c r="M13" i="16"/>
  <c r="M9" i="16"/>
  <c r="M8" i="16"/>
  <c r="M7" i="16"/>
  <c r="K15" i="16"/>
  <c r="I13" i="16"/>
  <c r="I10" i="16"/>
  <c r="I9" i="16"/>
  <c r="I8" i="16"/>
  <c r="I2" i="16"/>
  <c r="A16" i="16" l="1"/>
  <c r="A17" i="16"/>
  <c r="A18" i="16"/>
  <c r="I18" i="16" l="1"/>
  <c r="O18" i="16"/>
  <c r="M18" i="16"/>
  <c r="A15" i="16" l="1"/>
  <c r="A14" i="16" l="1"/>
  <c r="A13" i="16" l="1"/>
  <c r="A12" i="16" l="1"/>
  <c r="A11" i="16" l="1"/>
  <c r="A10" i="16"/>
  <c r="A9" i="16" l="1"/>
  <c r="A8" i="16" l="1"/>
  <c r="A2" i="16" l="1"/>
  <c r="A3" i="16"/>
  <c r="A4" i="16"/>
  <c r="A5" i="16"/>
  <c r="A6" i="16"/>
  <c r="A7" i="16"/>
  <c r="AJ13" i="16" l="1"/>
  <c r="AG5" i="16"/>
  <c r="AG13" i="16"/>
  <c r="AD5" i="16"/>
  <c r="AD13" i="16"/>
  <c r="AA5" i="16"/>
  <c r="AA6" i="16"/>
  <c r="AG7" i="16"/>
  <c r="AA7" i="16"/>
  <c r="AA15" i="16"/>
  <c r="AG8" i="16"/>
  <c r="AA16" i="16"/>
  <c r="AJ2" i="16"/>
  <c r="AJ14" i="16"/>
  <c r="AG2" i="16"/>
  <c r="AG14" i="16"/>
  <c r="AD2" i="16"/>
  <c r="AD6" i="16"/>
  <c r="AD14" i="16"/>
  <c r="AA10" i="16"/>
  <c r="AD7" i="16"/>
  <c r="AD8" i="16"/>
  <c r="U7" i="16"/>
  <c r="U15" i="16"/>
  <c r="R7" i="16"/>
  <c r="U16" i="16"/>
  <c r="X5" i="16"/>
  <c r="U9" i="16"/>
  <c r="X10" i="16"/>
  <c r="U10" i="16"/>
  <c r="R6" i="16"/>
  <c r="X16" i="16"/>
  <c r="R16" i="16"/>
  <c r="U5" i="16"/>
  <c r="R5" i="16"/>
  <c r="X6" i="16"/>
  <c r="U6" i="16"/>
  <c r="AP17" i="16" l="1"/>
  <c r="AP11" i="16"/>
  <c r="AP16" i="16"/>
  <c r="AD4" i="16"/>
  <c r="AP14" i="16"/>
  <c r="AM14" i="16"/>
  <c r="AG15" i="16"/>
  <c r="AP8" i="16"/>
  <c r="AG4" i="16"/>
  <c r="X15" i="16"/>
  <c r="R15" i="16"/>
  <c r="X2" i="16"/>
  <c r="U14" i="16"/>
  <c r="X8" i="16"/>
  <c r="R10" i="16"/>
  <c r="AP18" i="16"/>
  <c r="R18" i="16"/>
  <c r="AM9" i="16"/>
  <c r="AG9" i="16"/>
  <c r="AA14" i="16"/>
  <c r="AJ15" i="16"/>
  <c r="AP4" i="16"/>
  <c r="AP6" i="16"/>
  <c r="AP5" i="16"/>
  <c r="AM5" i="16"/>
  <c r="AJ5" i="16"/>
  <c r="AP15" i="16"/>
  <c r="AM8" i="16"/>
  <c r="AJ16" i="16"/>
  <c r="AP2" i="16"/>
  <c r="AM2" i="16"/>
  <c r="AA2" i="16"/>
  <c r="AM15" i="16"/>
  <c r="AM4" i="16"/>
  <c r="AG16" i="16"/>
  <c r="U8" i="16"/>
  <c r="R8" i="16"/>
  <c r="U13" i="16"/>
  <c r="X14" i="16"/>
  <c r="AD18" i="16"/>
  <c r="AM18" i="16"/>
  <c r="X18" i="16"/>
  <c r="AP9" i="16"/>
  <c r="AJ9" i="16"/>
  <c r="AD9" i="16"/>
  <c r="AA9" i="16"/>
  <c r="AM7" i="16"/>
  <c r="AD16" i="16"/>
  <c r="AM6" i="16"/>
  <c r="AJ10" i="16"/>
  <c r="AG10" i="16"/>
  <c r="AD10" i="16"/>
  <c r="AJ7" i="16"/>
  <c r="AA4" i="16"/>
  <c r="R14" i="16"/>
  <c r="AA18" i="16"/>
  <c r="X13" i="16"/>
  <c r="AD15" i="16"/>
  <c r="AJ8" i="16"/>
  <c r="R9" i="16"/>
  <c r="AJ18" i="16"/>
  <c r="AJ6" i="16"/>
  <c r="AP7" i="16"/>
  <c r="X9" i="16"/>
  <c r="U4" i="16"/>
  <c r="U18" i="16"/>
  <c r="AP13" i="16"/>
  <c r="AA13" i="16"/>
  <c r="AP12" i="16"/>
  <c r="AA8" i="16"/>
  <c r="AM10" i="16"/>
  <c r="AM16" i="16"/>
  <c r="X7" i="16"/>
  <c r="R4" i="16"/>
  <c r="U2" i="16"/>
  <c r="X4" i="16"/>
  <c r="AG18" i="16"/>
  <c r="AM13" i="16"/>
  <c r="AJ4" i="16"/>
  <c r="AP10" i="16"/>
  <c r="AG6" i="16"/>
  <c r="R13" i="16"/>
  <c r="R2" i="16"/>
  <c r="G9" i="16" l="1"/>
  <c r="K8" i="16"/>
  <c r="G15" i="16"/>
  <c r="G10" i="16"/>
  <c r="K16" i="16"/>
  <c r="K14" i="16"/>
  <c r="K18" i="16"/>
  <c r="K6" i="16"/>
  <c r="K5" i="16"/>
  <c r="K2" i="16"/>
  <c r="K13" i="16"/>
  <c r="K7" i="16"/>
</calcChain>
</file>

<file path=xl/sharedStrings.xml><?xml version="1.0" encoding="utf-8"?>
<sst xmlns="http://schemas.openxmlformats.org/spreadsheetml/2006/main" count="571" uniqueCount="194">
  <si>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</si>
  <si>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</si>
  <si>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</si>
  <si>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</si>
  <si>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</si>
  <si>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</si>
  <si>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</si>
  <si>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</si>
  <si>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</si>
  <si>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</si>
  <si>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</si>
  <si>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</si>
  <si>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</si>
  <si>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</si>
  <si>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</si>
  <si>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</si>
  <si>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</si>
  <si>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</si>
  <si>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</si>
  <si>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</si>
  <si>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</si>
  <si>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</si>
  <si>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</si>
  <si>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</si>
  <si>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</si>
  <si>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</si>
  <si>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</si>
  <si>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</si>
  <si>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</si>
  <si>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</si>
  <si>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</si>
  <si>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</si>
  <si>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</si>
  <si>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</si>
  <si>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</si>
  <si>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</si>
  <si>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</si>
  <si>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</si>
  <si>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</si>
  <si>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</si>
  <si>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</si>
  <si>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</si>
  <si>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</si>
  <si>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</si>
  <si>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</si>
  <si>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</si>
  <si>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</si>
  <si>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</si>
  <si>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</si>
  <si>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</si>
  <si>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</si>
  <si>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</si>
  <si>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</si>
  <si>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</si>
  <si>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</si>
  <si>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</si>
  <si>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</si>
  <si>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</si>
  <si>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</si>
  <si>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</si>
  <si>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</si>
  <si>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</si>
  <si>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</si>
  <si>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</si>
  <si>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</si>
  <si>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</si>
  <si>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</si>
  <si>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</si>
  <si>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</si>
  <si>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</si>
  <si>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</si>
  <si>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</si>
  <si>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</si>
  <si>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</si>
  <si>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</si>
  <si>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</si>
  <si>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</si>
  <si>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</si>
  <si>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DarthCansupes</t>
  </si>
  <si>
    <t>Rando</t>
  </si>
  <si>
    <t>beege_man</t>
  </si>
  <si>
    <t>Bubble</t>
  </si>
  <si>
    <t>XScorpion</t>
  </si>
  <si>
    <t>Bubbleboots</t>
  </si>
  <si>
    <t>goatfishman</t>
  </si>
  <si>
    <t>Sandy</t>
  </si>
  <si>
    <t>Qazitory</t>
  </si>
  <si>
    <t>Astrid</t>
  </si>
  <si>
    <t>AstralEsper</t>
  </si>
  <si>
    <t>Obrez</t>
  </si>
  <si>
    <t>Backflippius</t>
  </si>
  <si>
    <t>Elishar</t>
  </si>
  <si>
    <t>Primus_Ultimas</t>
  </si>
  <si>
    <t>Tapioca</t>
  </si>
  <si>
    <t>Nobishnar</t>
  </si>
  <si>
    <t>Tsumetai</t>
  </si>
  <si>
    <t>Linguar82</t>
  </si>
  <si>
    <t>Phil</t>
  </si>
  <si>
    <t>SchlossRitter</t>
  </si>
  <si>
    <t>Terrance</t>
  </si>
  <si>
    <t>Booguwah61482</t>
  </si>
  <si>
    <t>BYTE</t>
  </si>
  <si>
    <t>ZomBULL</t>
  </si>
  <si>
    <t>Trog</t>
  </si>
  <si>
    <t>ChainSaw</t>
  </si>
  <si>
    <t>O-Pa/Po</t>
  </si>
  <si>
    <t>kW B-Exp</t>
  </si>
  <si>
    <t>Bronze Glove</t>
  </si>
  <si>
    <t>Bronze Helm</t>
  </si>
  <si>
    <t>Bow</t>
  </si>
  <si>
    <t>Rapier</t>
  </si>
  <si>
    <t>Silver Glove</t>
  </si>
  <si>
    <t>Colt Gun</t>
  </si>
  <si>
    <t>Mini Tank</t>
  </si>
  <si>
    <t>Flame</t>
  </si>
  <si>
    <t>Warning</t>
  </si>
  <si>
    <t>Bronze Armor</t>
  </si>
  <si>
    <t>Silver Armor</t>
  </si>
  <si>
    <t>Revenge Sword</t>
  </si>
  <si>
    <t>Whip</t>
  </si>
  <si>
    <t>Strike</t>
  </si>
  <si>
    <t>HeadButt</t>
  </si>
  <si>
    <t>Cure Book</t>
  </si>
  <si>
    <t>Sleep Book</t>
  </si>
  <si>
    <t>Spark Book</t>
  </si>
  <si>
    <t>Silver Helm</t>
  </si>
  <si>
    <t>PowerUp</t>
  </si>
  <si>
    <t>Surprise</t>
  </si>
  <si>
    <t>Thunder</t>
  </si>
  <si>
    <t>O-Para</t>
  </si>
  <si>
    <t>Haste</t>
  </si>
  <si>
    <t>O-Quake</t>
  </si>
  <si>
    <t>O-Poison</t>
  </si>
  <si>
    <t>Blitz</t>
  </si>
  <si>
    <t>Remedy</t>
  </si>
  <si>
    <t>Mirror</t>
  </si>
  <si>
    <t>Ursula</t>
  </si>
  <si>
    <t>Voltgloss</t>
  </si>
  <si>
    <t>SMG</t>
  </si>
  <si>
    <t>gameenjoyer</t>
  </si>
  <si>
    <t>Squard</t>
  </si>
  <si>
    <t>blank</t>
  </si>
  <si>
    <t>Fire</t>
  </si>
  <si>
    <t>Cure Potion</t>
  </si>
  <si>
    <t>Str</t>
  </si>
  <si>
    <t>None</t>
  </si>
  <si>
    <t>Single</t>
  </si>
  <si>
    <t>n</t>
  </si>
  <si>
    <t>Agl</t>
  </si>
  <si>
    <t>Mana</t>
  </si>
  <si>
    <t>y</t>
  </si>
  <si>
    <t>Hofud</t>
  </si>
  <si>
    <t>Woodman</t>
  </si>
  <si>
    <t>Silver</t>
  </si>
  <si>
    <t>Amoeba</t>
  </si>
  <si>
    <t>Crab</t>
  </si>
  <si>
    <t>Long Bow</t>
  </si>
  <si>
    <t>Kimono</t>
  </si>
  <si>
    <t>Hermes Boot</t>
  </si>
  <si>
    <t>Green Belt</t>
  </si>
  <si>
    <t>Giant Glove</t>
  </si>
  <si>
    <t>Geta Boot</t>
  </si>
  <si>
    <t>Cure Potion - 2</t>
  </si>
  <si>
    <t>Terorist</t>
  </si>
  <si>
    <t>Oni</t>
  </si>
  <si>
    <t>Bandit</t>
  </si>
  <si>
    <t>DustDevil</t>
  </si>
  <si>
    <t>Stab</t>
  </si>
  <si>
    <t>W-Pincer</t>
  </si>
  <si>
    <t>Gas</t>
  </si>
  <si>
    <t>Breath</t>
  </si>
  <si>
    <t>Mix</t>
  </si>
  <si>
    <t>Kick</t>
  </si>
  <si>
    <t>All Enemies</t>
  </si>
  <si>
    <t>Dissolve</t>
  </si>
  <si>
    <t>Stab, Stab</t>
  </si>
  <si>
    <t>Str, Str</t>
  </si>
  <si>
    <t>Long Sword, Long Sword</t>
  </si>
  <si>
    <t>Breath, Kick</t>
  </si>
  <si>
    <t>Mana, Str</t>
  </si>
  <si>
    <t>Punch</t>
  </si>
  <si>
    <t>Horn, Punch</t>
  </si>
  <si>
    <t>Spark Book, Spark Book</t>
  </si>
  <si>
    <t>Mana, Mana</t>
  </si>
  <si>
    <t>Thunder, Thunder</t>
  </si>
  <si>
    <t>Flame, Fire</t>
  </si>
  <si>
    <t>Long Bow, Long Bow</t>
  </si>
  <si>
    <t>Agl, Agl</t>
  </si>
  <si>
    <t>Sandblast, Windstorm</t>
  </si>
  <si>
    <t>ChainSaw, Long Sword</t>
  </si>
  <si>
    <t>Kick, Kick</t>
  </si>
  <si>
    <t>PowerUp, Remedy</t>
  </si>
  <si>
    <t>Blitz, Haste</t>
  </si>
  <si>
    <t>W-Pincer, W-Pincer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</si>
</sst>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9" fillId="0" borderId="0"/>
  </cellStyleXfs>
  <cellXfs count="60">
    <xf numFmtId="0" fontId="0" fillId="0" borderId="0" xfId="0"/>
    <xf numFmtId="0" fontId="29" fillId="0" borderId="0" xfId="1"/>
    <xf numFmtId="0" fontId="19" fillId="0" borderId="0" xfId="1" applyFont="1"/>
    <xf numFmtId="0" fontId="29" fillId="2" borderId="0" xfId="1" applyFill="1"/>
    <xf numFmtId="0" fontId="15" fillId="0" borderId="0" xfId="1" applyFont="1"/>
    <xf numFmtId="0" fontId="13" fillId="0" borderId="0" xfId="1" applyFont="1"/>
    <xf numFmtId="0" fontId="29" fillId="0" borderId="1" xfId="1" applyBorder="1"/>
    <xf numFmtId="0" fontId="17" fillId="0" borderId="1" xfId="1" applyFont="1" applyBorder="1"/>
    <xf numFmtId="0" fontId="16" fillId="0" borderId="1" xfId="1" applyFont="1" applyBorder="1"/>
    <xf numFmtId="0" fontId="15" fillId="0" borderId="1" xfId="1" applyFont="1" applyBorder="1"/>
    <xf numFmtId="0" fontId="13" fillId="0" borderId="1" xfId="1" applyFont="1" applyBorder="1"/>
    <xf numFmtId="0" fontId="12" fillId="0" borderId="0" xfId="1" applyFont="1"/>
    <xf numFmtId="0" fontId="29" fillId="0" borderId="0" xfId="1" applyBorder="1"/>
    <xf numFmtId="0" fontId="29" fillId="2" borderId="5" xfId="1" applyFill="1" applyBorder="1"/>
    <xf numFmtId="0" fontId="12" fillId="0" borderId="2" xfId="1" applyFont="1" applyBorder="1" applyAlignment="1">
      <alignment horizontal="center" wrapText="1"/>
    </xf>
    <xf numFmtId="0" fontId="29" fillId="0" borderId="0" xfId="1" applyAlignment="1">
      <alignment horizontal="center"/>
    </xf>
    <xf numFmtId="0" fontId="25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29" fillId="0" borderId="2" xfId="1" applyBorder="1" applyAlignment="1">
      <alignment horizontal="center" wrapText="1"/>
    </xf>
    <xf numFmtId="0" fontId="29" fillId="2" borderId="2" xfId="1" applyFill="1" applyBorder="1" applyAlignment="1">
      <alignment horizontal="center" wrapText="1"/>
    </xf>
    <xf numFmtId="0" fontId="15" fillId="0" borderId="3" xfId="1" applyFont="1" applyBorder="1" applyAlignment="1">
      <alignment horizontal="center" wrapText="1"/>
    </xf>
    <xf numFmtId="0" fontId="29" fillId="2" borderId="4" xfId="1" applyFill="1" applyBorder="1" applyAlignment="1">
      <alignment horizontal="center" wrapText="1"/>
    </xf>
    <xf numFmtId="0" fontId="15" fillId="0" borderId="2" xfId="1" applyFont="1" applyBorder="1" applyAlignment="1">
      <alignment horizontal="center" wrapText="1"/>
    </xf>
    <xf numFmtId="0" fontId="29" fillId="0" borderId="3" xfId="1" applyBorder="1" applyAlignment="1">
      <alignment horizontal="center" wrapText="1"/>
    </xf>
    <xf numFmtId="0" fontId="22" fillId="0" borderId="2" xfId="1" applyFont="1" applyBorder="1" applyAlignment="1">
      <alignment horizontal="center" wrapText="1"/>
    </xf>
    <xf numFmtId="0" fontId="29" fillId="0" borderId="0" xfId="1" applyAlignment="1">
      <alignment horizontal="center" wrapText="1"/>
    </xf>
    <xf numFmtId="0" fontId="26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11" fillId="0" borderId="0" xfId="1" applyFont="1"/>
    <xf numFmtId="0" fontId="11" fillId="0" borderId="2" xfId="1" applyFont="1" applyBorder="1" applyAlignment="1">
      <alignment horizontal="center" wrapText="1"/>
    </xf>
    <xf numFmtId="0" fontId="10" fillId="0" borderId="2" xfId="1" applyFont="1" applyBorder="1" applyAlignment="1">
      <alignment horizontal="center" wrapText="1"/>
    </xf>
    <xf numFmtId="0" fontId="9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7" fillId="0" borderId="0" xfId="1" applyFont="1"/>
    <xf numFmtId="0" fontId="7" fillId="0" borderId="1" xfId="1" applyFont="1" applyBorder="1"/>
    <xf numFmtId="0" fontId="6" fillId="0" borderId="0" xfId="1" applyFont="1"/>
    <xf numFmtId="0" fontId="5" fillId="0" borderId="0" xfId="1" applyFont="1"/>
    <xf numFmtId="0" fontId="5" fillId="0" borderId="1" xfId="1" applyFont="1" applyBorder="1"/>
    <xf numFmtId="0" fontId="4" fillId="0" borderId="1" xfId="1" applyFont="1" applyBorder="1"/>
    <xf numFmtId="0" fontId="7" fillId="0" borderId="0" xfId="1" applyFont="1" applyAlignment="1">
      <alignment horizontal="center"/>
    </xf>
    <xf numFmtId="0" fontId="6" fillId="0" borderId="0" xfId="1" applyFont="1" applyFill="1"/>
    <xf numFmtId="0" fontId="5" fillId="0" borderId="0" xfId="1" applyFont="1" applyFill="1"/>
    <xf numFmtId="0" fontId="4" fillId="0" borderId="0" xfId="1" applyFont="1" applyFill="1"/>
    <xf numFmtId="0" fontId="0" fillId="3" borderId="0" xfId="0" applyFill="1"/>
    <xf numFmtId="0" fontId="3" fillId="0" borderId="0" xfId="1" applyFont="1"/>
    <xf numFmtId="0" fontId="3" fillId="0" borderId="0" xfId="1" applyFont="1" applyAlignment="1">
      <alignment horizontal="center"/>
    </xf>
    <xf numFmtId="0" fontId="3" fillId="0" borderId="1" xfId="1" applyFont="1" applyBorder="1"/>
    <xf numFmtId="0" fontId="2" fillId="0" borderId="1" xfId="1" applyFont="1" applyBorder="1"/>
    <xf numFmtId="0" fontId="1" fillId="0" borderId="0" xfId="1" applyFont="1"/>
    <xf numFmtId="0" fontId="1" fillId="0" borderId="1" xfId="1" applyFont="1" applyBorder="1"/>
  </cellXfs>
  <cellStyles count="2">
    <cellStyle name="Normal" xfId="0" builtinId="0"/>
    <cellStyle name="Normal 2" xfId="1" xr:uid="{00000000-0005-0000-0000-000001000000}"/>
  </cellStyles>
  <dxfs count="6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Kick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E184">
            <v>5</v>
          </cell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P184" t="str">
            <v>Katana</v>
          </cell>
          <cell r="Q184" t="str">
            <v>Gold Bow</v>
          </cell>
          <cell r="R184" t="str">
            <v>Gold Armor</v>
          </cell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X-Cure Potion</v>
          </cell>
          <cell r="S187" t="str">
            <v>Magnum</v>
          </cell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Sword</v>
          </cell>
          <cell r="S195" t="str">
            <v>Flame Shield</v>
          </cell>
          <cell r="T195" t="str">
            <v>Ice Shield</v>
          </cell>
          <cell r="U195" t="str">
            <v>X-Cure Potion</v>
          </cell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X-Cure Potion</v>
          </cell>
          <cell r="V201" t="str">
            <v>Army Armor</v>
          </cell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 t="str">
            <v>1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X-Cure Potion</v>
          </cell>
          <cell r="B24" t="str">
            <v>X-Cure Potion</v>
          </cell>
          <cell r="C24" t="str">
            <v>X-Cure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 xml:space="preserve">Parasuit </v>
          </cell>
          <cell r="B75" t="str">
            <v xml:space="preserve">Parasuit 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Axe</v>
          </cell>
          <cell r="B168" t="str">
            <v>Axe</v>
          </cell>
          <cell r="C168" t="str">
            <v>Axe</v>
          </cell>
          <cell r="E168">
            <v>166</v>
          </cell>
          <cell r="F168" t="str">
            <v>A6</v>
          </cell>
          <cell r="G168">
            <v>20</v>
          </cell>
          <cell r="L168">
            <v>9</v>
          </cell>
          <cell r="M168">
            <v>0</v>
          </cell>
        </row>
        <row r="169">
          <cell r="A169" t="str">
            <v>Honey</v>
          </cell>
          <cell r="B169" t="str">
            <v>Honey</v>
          </cell>
          <cell r="C169" t="str">
            <v>Honey</v>
          </cell>
          <cell r="E169">
            <v>167</v>
          </cell>
          <cell r="F169" t="str">
            <v>A7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Heal</v>
          </cell>
          <cell r="B170" t="str">
            <v>Heal</v>
          </cell>
          <cell r="C170" t="str">
            <v>Heal</v>
          </cell>
          <cell r="E170">
            <v>168</v>
          </cell>
          <cell r="F170" t="str">
            <v>A8</v>
          </cell>
          <cell r="G170">
            <v>10</v>
          </cell>
          <cell r="L170">
            <v>9</v>
          </cell>
          <cell r="M170" t="str">
            <v xml:space="preserve"> Mana +0</v>
          </cell>
        </row>
        <row r="171">
          <cell r="A171" t="str">
            <v>Life</v>
          </cell>
          <cell r="B171" t="str">
            <v>Life</v>
          </cell>
          <cell r="C171" t="str">
            <v>Life</v>
          </cell>
          <cell r="D171" t="str">
            <v>Potion</v>
          </cell>
          <cell r="E171">
            <v>169</v>
          </cell>
          <cell r="F171" t="str">
            <v>A9</v>
          </cell>
          <cell r="G171">
            <v>3</v>
          </cell>
          <cell r="L171">
            <v>9</v>
          </cell>
          <cell r="M171" t="str">
            <v xml:space="preserve"> Mana +0</v>
          </cell>
        </row>
        <row r="172">
          <cell r="A172" t="str">
            <v>W-Kick</v>
          </cell>
          <cell r="B172" t="str">
            <v>W-Kick</v>
          </cell>
          <cell r="C172" t="str">
            <v>W-Kick</v>
          </cell>
          <cell r="E172">
            <v>170</v>
          </cell>
          <cell r="F172" t="str">
            <v>AA</v>
          </cell>
          <cell r="G172">
            <v>15</v>
          </cell>
          <cell r="L172">
            <v>9</v>
          </cell>
          <cell r="M172">
            <v>0</v>
          </cell>
        </row>
        <row r="173">
          <cell r="A173" t="str">
            <v>ParaNail</v>
          </cell>
          <cell r="B173" t="str">
            <v>ParaNail</v>
          </cell>
          <cell r="C173" t="str">
            <v>ParaNail</v>
          </cell>
          <cell r="E173">
            <v>171</v>
          </cell>
          <cell r="F173" t="str">
            <v>AB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Wind Up</v>
          </cell>
          <cell r="B174" t="str">
            <v>Wind Up</v>
          </cell>
          <cell r="C174" t="str">
            <v>Wind Up</v>
          </cell>
          <cell r="E174">
            <v>172</v>
          </cell>
          <cell r="F174" t="str">
            <v>AC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Tie Up</v>
          </cell>
          <cell r="B175" t="str">
            <v>Tie Up</v>
          </cell>
          <cell r="C175" t="str">
            <v>Tie Up</v>
          </cell>
          <cell r="E175">
            <v>173</v>
          </cell>
          <cell r="F175" t="str">
            <v>AD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Breath</v>
          </cell>
          <cell r="B176" t="str">
            <v>Breath</v>
          </cell>
          <cell r="C176" t="str">
            <v>Breath</v>
          </cell>
          <cell r="E176">
            <v>174</v>
          </cell>
          <cell r="F176" t="str">
            <v>AE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Venom</v>
          </cell>
          <cell r="B177" t="str">
            <v>Venom</v>
          </cell>
          <cell r="C177" t="str">
            <v>Venom</v>
          </cell>
          <cell r="E177">
            <v>175</v>
          </cell>
          <cell r="F177" t="str">
            <v>AF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Hypnos</v>
          </cell>
          <cell r="B211" t="str">
            <v>Hypnos</v>
          </cell>
          <cell r="C211" t="str">
            <v>Hypnos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Cobweb</v>
          </cell>
          <cell r="B213" t="str">
            <v>Cobweb</v>
          </cell>
          <cell r="C213" t="str">
            <v>Cobweb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Blitz</v>
          </cell>
          <cell r="B214" t="str">
            <v>Blitz</v>
          </cell>
          <cell r="C214" t="str">
            <v>Blitz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Drain</v>
          </cell>
          <cell r="B215" t="str">
            <v>Drain</v>
          </cell>
          <cell r="C215" t="str">
            <v>Drain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Mini Tank</v>
          </cell>
          <cell r="B262" t="str">
            <v>Mini Tank</v>
          </cell>
          <cell r="C262" t="str">
            <v>Mini Tank</v>
          </cell>
          <cell r="D262" t="str">
            <v>Cannon</v>
          </cell>
          <cell r="G262">
            <v>20</v>
          </cell>
          <cell r="L262">
            <v>45</v>
          </cell>
        </row>
        <row r="263">
          <cell r="A263" t="str">
            <v>Spark Book</v>
          </cell>
          <cell r="B263" t="str">
            <v>Spark Book</v>
          </cell>
          <cell r="C263" t="str">
            <v>Spark</v>
          </cell>
          <cell r="D263" t="str">
            <v>Book</v>
          </cell>
          <cell r="G263">
            <v>30</v>
          </cell>
          <cell r="L263">
            <v>0</v>
          </cell>
        </row>
        <row r="264">
          <cell r="A264" t="str">
            <v>PowerUp</v>
          </cell>
          <cell r="B264" t="str">
            <v>PowerUp</v>
          </cell>
          <cell r="C264" t="str">
            <v>PowerUp</v>
          </cell>
          <cell r="G264">
            <v>15</v>
          </cell>
          <cell r="L264">
            <v>0</v>
          </cell>
        </row>
        <row r="265">
          <cell r="A265" t="str">
            <v>Windstorm</v>
          </cell>
          <cell r="B265" t="str">
            <v>Windstorm</v>
          </cell>
          <cell r="G265">
            <v>15</v>
          </cell>
        </row>
        <row r="266">
          <cell r="A266" t="str">
            <v>Sandblast</v>
          </cell>
          <cell r="B266" t="str">
            <v>Sandblast</v>
          </cell>
          <cell r="G266">
            <v>15</v>
          </cell>
        </row>
        <row r="267">
          <cell r="A267" t="str">
            <v>Green Belt</v>
          </cell>
          <cell r="B267" t="str">
            <v>Green Belt</v>
          </cell>
          <cell r="G267">
            <v>-2</v>
          </cell>
          <cell r="I267">
            <v>3</v>
          </cell>
          <cell r="J267" t="str">
            <v>Str, Agl, Mana</v>
          </cell>
          <cell r="K267">
            <v>3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18"/>
  <sheetViews>
    <sheetView tabSelected="1" workbookViewId="0">
      <pane xSplit="2" ySplit="1" topLeftCell="X2" activePane="bottomRight" state="frozen"/>
      <selection pane="topRight" activeCell="C1" sqref="C1"/>
      <selection pane="bottomLeft" activeCell="A2" sqref="A2"/>
      <selection pane="bottomRight" activeCell="AS9" sqref="AS9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5" bestFit="1" customWidth="1"/>
    <col min="4" max="4" width="16.85546875" style="1" customWidth="1"/>
    <col min="5" max="5" width="9.5703125" style="1" bestFit="1" customWidth="1"/>
    <col min="6" max="6" width="9.5703125" style="1" customWidth="1"/>
    <col min="7" max="7" width="9.140625" style="3"/>
    <col min="8" max="8" width="9.140625" style="6"/>
    <col min="9" max="9" width="9.140625" style="13"/>
    <col min="10" max="10" width="9.140625" style="1"/>
    <col min="11" max="11" width="9.140625" style="3"/>
    <col min="12" max="12" width="9.140625" style="6"/>
    <col min="13" max="13" width="9.140625" style="13"/>
    <col min="14" max="14" width="9.140625" style="1"/>
    <col min="15" max="15" width="9.140625" style="3"/>
    <col min="16" max="16" width="14.85546875" style="6" bestFit="1" customWidth="1"/>
    <col min="17" max="18" width="7.7109375" style="15" customWidth="1"/>
    <col min="19" max="19" width="14.85546875" style="6" bestFit="1" customWidth="1"/>
    <col min="20" max="21" width="7.7109375" style="15" customWidth="1"/>
    <col min="22" max="22" width="13.7109375" style="6" bestFit="1" customWidth="1"/>
    <col min="23" max="24" width="7.7109375" style="15" customWidth="1"/>
    <col min="25" max="25" width="12.42578125" style="6" bestFit="1" customWidth="1"/>
    <col min="26" max="27" width="7.7109375" style="15" customWidth="1"/>
    <col min="28" max="28" width="13.42578125" style="6" bestFit="1" customWidth="1"/>
    <col min="29" max="30" width="7.7109375" style="15" customWidth="1"/>
    <col min="31" max="31" width="12.7109375" style="6" bestFit="1" customWidth="1"/>
    <col min="32" max="33" width="7.7109375" style="15" customWidth="1"/>
    <col min="34" max="34" width="12.28515625" style="6" bestFit="1" customWidth="1"/>
    <col min="35" max="36" width="7.7109375" style="15" customWidth="1"/>
    <col min="37" max="37" width="9.140625" style="6"/>
    <col min="38" max="39" width="7.7109375" style="15" customWidth="1"/>
    <col min="40" max="40" width="20.28515625" style="6" customWidth="1"/>
    <col min="41" max="42" width="9.28515625" style="15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33" customFormat="1" ht="30" x14ac:dyDescent="0.25">
      <c r="A1" s="15" t="s">
        <v>19</v>
      </c>
      <c r="B1" s="26" t="s">
        <v>42</v>
      </c>
      <c r="C1" s="40" t="s">
        <v>74</v>
      </c>
      <c r="D1" s="26" t="s">
        <v>41</v>
      </c>
      <c r="E1" s="26" t="s">
        <v>40</v>
      </c>
      <c r="F1" s="40" t="s">
        <v>72</v>
      </c>
      <c r="G1" s="27" t="s">
        <v>39</v>
      </c>
      <c r="H1" s="28" t="s">
        <v>46</v>
      </c>
      <c r="I1" s="29" t="s">
        <v>38</v>
      </c>
      <c r="J1" s="30" t="s">
        <v>47</v>
      </c>
      <c r="K1" s="27" t="s">
        <v>37</v>
      </c>
      <c r="L1" s="28" t="s">
        <v>48</v>
      </c>
      <c r="M1" s="29" t="s">
        <v>36</v>
      </c>
      <c r="N1" s="30" t="s">
        <v>49</v>
      </c>
      <c r="O1" s="27" t="s">
        <v>35</v>
      </c>
      <c r="P1" s="31" t="s">
        <v>34</v>
      </c>
      <c r="Q1" s="14" t="s">
        <v>52</v>
      </c>
      <c r="R1" s="39" t="s">
        <v>64</v>
      </c>
      <c r="S1" s="31" t="s">
        <v>33</v>
      </c>
      <c r="T1" s="14" t="s">
        <v>54</v>
      </c>
      <c r="U1" s="39" t="s">
        <v>65</v>
      </c>
      <c r="V1" s="31" t="s">
        <v>32</v>
      </c>
      <c r="W1" s="14" t="s">
        <v>55</v>
      </c>
      <c r="X1" s="39" t="s">
        <v>66</v>
      </c>
      <c r="Y1" s="31" t="s">
        <v>31</v>
      </c>
      <c r="Z1" s="14" t="s">
        <v>56</v>
      </c>
      <c r="AA1" s="39" t="s">
        <v>67</v>
      </c>
      <c r="AB1" s="31" t="s">
        <v>30</v>
      </c>
      <c r="AC1" s="14" t="s">
        <v>57</v>
      </c>
      <c r="AD1" s="39" t="s">
        <v>68</v>
      </c>
      <c r="AE1" s="31" t="s">
        <v>29</v>
      </c>
      <c r="AF1" s="14" t="s">
        <v>58</v>
      </c>
      <c r="AG1" s="39" t="s">
        <v>69</v>
      </c>
      <c r="AH1" s="31" t="s">
        <v>28</v>
      </c>
      <c r="AI1" s="14" t="s">
        <v>59</v>
      </c>
      <c r="AJ1" s="39" t="s">
        <v>70</v>
      </c>
      <c r="AK1" s="31" t="s">
        <v>27</v>
      </c>
      <c r="AL1" s="14" t="s">
        <v>60</v>
      </c>
      <c r="AM1" s="39" t="s">
        <v>71</v>
      </c>
      <c r="AN1" s="28" t="s">
        <v>50</v>
      </c>
      <c r="AO1" s="14" t="s">
        <v>53</v>
      </c>
      <c r="AP1" s="40" t="s">
        <v>73</v>
      </c>
      <c r="AQ1" s="30" t="s">
        <v>51</v>
      </c>
      <c r="AR1" s="32" t="s">
        <v>45</v>
      </c>
      <c r="AS1" s="42" t="s">
        <v>75</v>
      </c>
      <c r="AT1" s="42" t="s">
        <v>76</v>
      </c>
    </row>
    <row r="2" spans="1:46" x14ac:dyDescent="0.25">
      <c r="A2" s="1" t="str">
        <f t="shared" ref="A2:A18" si="0">B2</f>
        <v>Jaelyn</v>
      </c>
      <c r="B2" s="45" t="s">
        <v>77</v>
      </c>
      <c r="C2" s="41" t="s">
        <v>141</v>
      </c>
      <c r="D2" s="50" t="s">
        <v>78</v>
      </c>
      <c r="E2" s="45" t="s">
        <v>63</v>
      </c>
      <c r="F2" s="38">
        <v>107</v>
      </c>
      <c r="G2" s="3">
        <v>107</v>
      </c>
      <c r="H2" s="6">
        <v>3</v>
      </c>
      <c r="I2" s="13">
        <f>H2</f>
        <v>3</v>
      </c>
      <c r="J2" s="12">
        <v>0</v>
      </c>
      <c r="K2" s="3">
        <f>J2+_xlfn.IFNA(VLOOKUP($P2,[1]Weapon!$A$1:$M$301,9,FALSE),0)+_xlfn.IFNA(VLOOKUP($S2,[1]Weapon!$A$1:$M$301,9,FALSE),0)+_xlfn.IFNA(VLOOKUP($V2,[1]Weapon!$A$1:$M$301,9,FALSE),0)+_xlfn.IFNA(VLOOKUP($Y2,[1]Weapon!$A$1:$M$301,9,FALSE),0)+_xlfn.IFNA(VLOOKUP($AB2,[1]Weapon!$A$1:$M$301,9,FALSE),0)+_xlfn.IFNA(VLOOKUP($AE2,[1]Weapon!$A$1:$M$301,9,FALSE),0)+_xlfn.IFNA(VLOOKUP($AH2,[1]Weapon!$A$1:$M$301,9,FALSE),0)+_xlfn.IFNA(VLOOKUP($AK2,[1]Weapon!$A$1:$M$301,9,FALSE),0)</f>
        <v>11</v>
      </c>
      <c r="L2" s="6">
        <v>6</v>
      </c>
      <c r="M2" s="13">
        <f>L2+5</f>
        <v>11</v>
      </c>
      <c r="N2" s="12">
        <v>12</v>
      </c>
      <c r="O2" s="3">
        <f>N2</f>
        <v>12</v>
      </c>
      <c r="P2" s="47" t="s">
        <v>114</v>
      </c>
      <c r="Q2" s="15">
        <v>13</v>
      </c>
      <c r="R2" s="15">
        <f>_xlfn.IFNA(IF($E2="Robot",VLOOKUP(P2,[1]Weapon!$B$1:$G$300,6,FALSE)/2,VLOOKUP(P2,[1]Weapon!$B$1:$G$300,6,FALSE)),0)</f>
        <v>15</v>
      </c>
      <c r="S2" s="47" t="s">
        <v>115</v>
      </c>
      <c r="T2" s="15">
        <v>-1</v>
      </c>
      <c r="U2" s="15">
        <f>_xlfn.IFNA(IF($E2="Robot",VLOOKUP(S2,[1]Weapon!$B$1:$G$300,6,FALSE)/2,VLOOKUP(S2,[1]Weapon!$B$1:$G$300,6,FALSE)),0)</f>
        <v>-2</v>
      </c>
      <c r="V2" s="47" t="s">
        <v>135</v>
      </c>
      <c r="W2" s="15">
        <v>15</v>
      </c>
      <c r="X2" s="15">
        <f>_xlfn.IFNA(IF($E2="Robot",VLOOKUP(V2,[1]Weapon!$B$1:$G$300,6,FALSE)/2,VLOOKUP(V2,[1]Weapon!$B$1:$G$300,6,FALSE)),0)</f>
        <v>15</v>
      </c>
      <c r="Y2" s="48" t="s">
        <v>142</v>
      </c>
      <c r="Z2" s="25">
        <v>14</v>
      </c>
      <c r="AA2" s="15">
        <f>_xlfn.IFNA(IF($E2="Robot",VLOOKUP(Y2,[1]Weapon!$B$1:$G$300,6,FALSE)/2,VLOOKUP(Y2,[1]Weapon!$B$1:$G$300,6,FALSE)),0)</f>
        <v>15</v>
      </c>
      <c r="AB2" s="47" t="s">
        <v>109</v>
      </c>
      <c r="AC2" s="15">
        <v>50</v>
      </c>
      <c r="AD2" s="15">
        <f>_xlfn.IFNA(IF($E2="Robot",VLOOKUP(AB2,[1]Weapon!$B$1:$G$300,6,FALSE)/2,VLOOKUP(AB2,[1]Weapon!$B$1:$G$300,6,FALSE)),0)</f>
        <v>50</v>
      </c>
      <c r="AE2" s="59" t="s">
        <v>157</v>
      </c>
      <c r="AF2" s="15">
        <v>-1</v>
      </c>
      <c r="AG2" s="15">
        <f>_xlfn.IFNA(IF($E2="Robot",VLOOKUP(AE2,[1]Weapon!$B$1:$G$300,6,FALSE)/2,VLOOKUP(AE2,[1]Weapon!$B$1:$G$300,6,FALSE)),0)</f>
        <v>-2</v>
      </c>
      <c r="AH2" s="47" t="s">
        <v>107</v>
      </c>
      <c r="AI2" s="15">
        <v>-1</v>
      </c>
      <c r="AJ2" s="15">
        <f>_xlfn.IFNA(IF($E2="Robot",VLOOKUP(AH2,[1]Weapon!$B$1:$G$300,6,FALSE)/2,VLOOKUP(AH2,[1]Weapon!$B$1:$G$300,6,FALSE)),0)</f>
        <v>-2</v>
      </c>
      <c r="AK2" s="6" t="s">
        <v>141</v>
      </c>
      <c r="AL2" s="15">
        <v>-1</v>
      </c>
      <c r="AM2" s="15">
        <f>_xlfn.IFNA(IF($E2="Robot",VLOOKUP(AK2,[1]Weapon!$B$1:$G$300,6,FALSE)/2,VLOOKUP(AK2,[1]Weapon!$B$1:$G$300,6,FALSE)),0)</f>
        <v>0</v>
      </c>
      <c r="AN2" s="6" t="s">
        <v>141</v>
      </c>
      <c r="AO2" s="15">
        <v>0</v>
      </c>
      <c r="AP2" s="15">
        <f>_xlfn.IFNA(IF($E2="Robot",VLOOKUP(AN2,[1]Weapon!$B$1:$G$300,6,FALSE)/2,VLOOKUP(AN2,[1]Weapon!$B$1:$G$300,6,FALSE)),0)</f>
        <v>0</v>
      </c>
      <c r="AQ2" s="4" t="s">
        <v>141</v>
      </c>
      <c r="AR2" s="4" t="s">
        <v>141</v>
      </c>
      <c r="AS2" s="1">
        <v>148</v>
      </c>
      <c r="AT2" s="1" t="s">
        <v>141</v>
      </c>
    </row>
    <row r="3" spans="1:46" x14ac:dyDescent="0.25">
      <c r="A3" s="1" t="str">
        <f t="shared" si="0"/>
        <v>Rando</v>
      </c>
      <c r="B3" s="45" t="s">
        <v>79</v>
      </c>
      <c r="C3" s="41" t="s">
        <v>141</v>
      </c>
      <c r="D3" s="50" t="s">
        <v>80</v>
      </c>
      <c r="E3" s="58" t="s">
        <v>151</v>
      </c>
      <c r="F3" s="54">
        <v>116</v>
      </c>
      <c r="G3" s="3">
        <f>IF(ISBLANK(VLOOKUP($E3,[1]Monster!$A$2:$X$257,10,FALSE)),"",VLOOKUP($E3,[1]Monster!$A$2:$X$257,10,FALSE))</f>
        <v>156</v>
      </c>
      <c r="H3" s="6">
        <f>IF(ISBLANK(VLOOKUP($E3,[1]Monster!$A$2:$X$257,11,FALSE)),"",VLOOKUP($E3,[1]Monster!$A$2:$X$257,11,FALSE))</f>
        <v>18</v>
      </c>
      <c r="I3" s="13">
        <f t="shared" ref="I3" si="1">H3</f>
        <v>18</v>
      </c>
      <c r="J3" s="12">
        <f>IF(ISBLANK(VLOOKUP($E3,[1]Monster!$A$2:$X$257,14,FALSE)),"",VLOOKUP($E3,[1]Monster!$A$2:$X$257,14,FALSE))</f>
        <v>17</v>
      </c>
      <c r="K3" s="3">
        <f>J3+_xlfn.IFNA(VLOOKUP($P3,[1]Weapon!$A$1:$M$301,9,FALSE),0)+_xlfn.IFNA(VLOOKUP($S3,[1]Weapon!$A$1:$M$301,9,FALSE),0)+_xlfn.IFNA(VLOOKUP($V3,[1]Weapon!$A$1:$M$301,9,FALSE),0)+_xlfn.IFNA(VLOOKUP($Y3,[1]Weapon!$A$1:$M$301,9,FALSE),0)+_xlfn.IFNA(VLOOKUP($AB3,[1]Weapon!$A$1:$M$301,9,FALSE),0)+_xlfn.IFNA(VLOOKUP($AE3,[1]Weapon!$A$1:$M$301,9,FALSE),0)+_xlfn.IFNA(VLOOKUP($AH3,[1]Weapon!$A$1:$M$301,9,FALSE),0)+_xlfn.IFNA(VLOOKUP($AK3,[1]Weapon!$A$1:$M$301,9,FALSE),0)</f>
        <v>17</v>
      </c>
      <c r="L3" s="6">
        <f>IF(ISBLANK(VLOOKUP($E3,[1]Monster!$A$2:$X$257,12,FALSE)),"",VLOOKUP($E3,[1]Monster!$A$2:$X$257,12,FALSE))</f>
        <v>20</v>
      </c>
      <c r="M3" s="13">
        <f t="shared" ref="M3" si="2">L3</f>
        <v>20</v>
      </c>
      <c r="N3" s="12">
        <f>IF(ISBLANK(VLOOKUP($E3,[1]Monster!$A$2:$X$257,13,FALSE)),"",VLOOKUP($E3,[1]Monster!$A$2:$X$257,13,FALSE))</f>
        <v>21</v>
      </c>
      <c r="O3" s="3">
        <f t="shared" ref="O3" si="3">N3</f>
        <v>21</v>
      </c>
      <c r="P3" s="6" t="str">
        <f>IF(ISBLANK(VLOOKUP($E3,[1]Monster!$A$2:$X$257,16,FALSE)),"",VLOOKUP($E3,[1]Monster!$A$2:$X$257,16,FALSE))</f>
        <v>Stab</v>
      </c>
      <c r="Q3" s="15">
        <v>28</v>
      </c>
      <c r="R3" s="15">
        <f>_xlfn.IFNA(IF($E3="Robot",VLOOKUP(P3,[1]Weapon!$B$1:$G$300,6,FALSE)/2,VLOOKUP(P3,[1]Weapon!$B$1:$G$300,6,FALSE)),0)</f>
        <v>30</v>
      </c>
      <c r="S3" s="6" t="str">
        <f>IF(ISBLANK(VLOOKUP($E3,[1]Monster!$A$2:$X$257,17,FALSE)),"",VLOOKUP($E3,[1]Monster!$A$2:$X$257,17,FALSE))</f>
        <v>Defense</v>
      </c>
      <c r="T3" s="15">
        <v>30</v>
      </c>
      <c r="U3" s="15">
        <f>_xlfn.IFNA(IF($E3="Robot",VLOOKUP(S3,[1]Weapon!$B$1:$G$300,6,FALSE)/2,VLOOKUP(S3,[1]Weapon!$B$1:$G$300,6,FALSE)),0)</f>
        <v>30</v>
      </c>
      <c r="V3" s="6" t="str">
        <f>IF(ISBLANK(VLOOKUP($E3,[1]Monster!$A$2:$X$257,18,FALSE)),"",VLOOKUP($E3,[1]Monster!$A$2:$X$257,18,FALSE))</f>
        <v>O-Change</v>
      </c>
      <c r="W3" s="55">
        <v>-1</v>
      </c>
      <c r="X3" s="15">
        <f>_xlfn.IFNA(IF($E3="Robot",VLOOKUP(V3,[1]Weapon!$B$1:$G$300,6,FALSE)/2,VLOOKUP(V3,[1]Weapon!$B$1:$G$300,6,FALSE)),0)</f>
        <v>-2</v>
      </c>
      <c r="Y3" s="6" t="str">
        <f>IF(ISBLANK(VLOOKUP($E$4,[1]Monster!$A$2:$X$257,19,FALSE)),"",VLOOKUP($E3,[1]Monster!$A$2:$X$257,19,FALSE))</f>
        <v/>
      </c>
      <c r="AA3" s="15">
        <f>_xlfn.IFNA(IF($E3="Robot",VLOOKUP(Y3,[1]Weapon!$B$1:$G$300,6,FALSE)/2,VLOOKUP(Y3,[1]Weapon!$B$1:$G$300,6,FALSE)),0)</f>
        <v>0</v>
      </c>
      <c r="AB3" s="6" t="str">
        <f>IF(ISBLANK(VLOOKUP($E3,[1]Monster!$A$2:$X$257,20,FALSE)),"",VLOOKUP($E3,[1]Monster!$A$2:$X$257,20,FALSE))</f>
        <v/>
      </c>
      <c r="AD3" s="15">
        <f>_xlfn.IFNA(IF($E3="Robot",VLOOKUP(AB3,[1]Weapon!$B$1:$G$300,6,FALSE)/2,VLOOKUP(AB3,[1]Weapon!$B$1:$G$300,6,FALSE)),0)</f>
        <v>0</v>
      </c>
      <c r="AE3" s="6" t="str">
        <f>IF(ISBLANK(VLOOKUP($E3,[1]Monster!$A$2:$X$257,21,FALSE)),"",VLOOKUP($E3,[1]Monster!$A$2:$X$257,21,FALSE))</f>
        <v/>
      </c>
      <c r="AG3" s="15">
        <f>_xlfn.IFNA(IF($E3="Robot",VLOOKUP(AE3,[1]Weapon!$B$1:$G$300,6,FALSE)/2,VLOOKUP(AE3,[1]Weapon!$B$1:$G$300,6,FALSE)),0)</f>
        <v>0</v>
      </c>
      <c r="AH3" s="6" t="str">
        <f>IF(ISBLANK(VLOOKUP($E3,[1]Monster!$A$2:$X$257,22,FALSE)),"",VLOOKUP($E3,[1]Monster!$A$2:$X$257,22,FALSE))</f>
        <v/>
      </c>
      <c r="AJ3" s="15">
        <f>_xlfn.IFNA(IF($E3="Robot",VLOOKUP(AH3,[1]Weapon!$B$1:$G$300,6,FALSE)/2,VLOOKUP(AH3,[1]Weapon!$B$1:$G$300,6,FALSE)),0)</f>
        <v>0</v>
      </c>
      <c r="AK3" s="6" t="str">
        <f>IF(ISBLANK(VLOOKUP($E3,[1]Monster!$A$2:$X$257,23,FALSE)),"",VLOOKUP($E3,[1]Monster!$A$2:$X$257,23,FALSE))</f>
        <v/>
      </c>
      <c r="AM3" s="15">
        <f>_xlfn.IFNA(IF($E3="Robot",VLOOKUP(AK3,[1]Weapon!$B$1:$G$300,6,FALSE)/2,VLOOKUP(AK3,[1]Weapon!$B$1:$G$300,6,FALSE)),0)</f>
        <v>0</v>
      </c>
      <c r="AN3" s="56"/>
      <c r="AO3" s="55">
        <v>0</v>
      </c>
      <c r="AP3" s="15">
        <f>_xlfn.IFNA(IF($E3="Robot",VLOOKUP(AN3,[1]Weapon!$B$1:$G$300,6,FALSE)/2,VLOOKUP(AN3,[1]Weapon!$B$1:$G$300,6,FALSE)),0)</f>
        <v>0</v>
      </c>
      <c r="AQ3" s="54"/>
      <c r="AR3" s="58" t="s">
        <v>162</v>
      </c>
      <c r="AS3" s="1">
        <v>170</v>
      </c>
      <c r="AT3" s="1" t="s">
        <v>141</v>
      </c>
    </row>
    <row r="4" spans="1:46" x14ac:dyDescent="0.25">
      <c r="A4" s="1" t="str">
        <f t="shared" si="0"/>
        <v>XScorpion</v>
      </c>
      <c r="B4" s="45" t="s">
        <v>82</v>
      </c>
      <c r="C4" s="41" t="s">
        <v>141</v>
      </c>
      <c r="D4" s="50" t="s">
        <v>82</v>
      </c>
      <c r="E4" s="58" t="s">
        <v>152</v>
      </c>
      <c r="F4" s="12">
        <v>148</v>
      </c>
      <c r="G4" s="3">
        <f>IF(ISBLANK(VLOOKUP($E4,[1]Monster!$A$2:$X$257,10,FALSE)),"",VLOOKUP($E4,[1]Monster!$A$2:$X$257,10,FALSE))</f>
        <v>148</v>
      </c>
      <c r="H4" s="6">
        <f>IF(ISBLANK(VLOOKUP($E4,[1]Monster!$A$2:$X$257,11,FALSE)),"",VLOOKUP($E4,[1]Monster!$A$2:$X$257,11,FALSE))</f>
        <v>13</v>
      </c>
      <c r="I4" s="13">
        <f t="shared" ref="I4" si="4">H4</f>
        <v>13</v>
      </c>
      <c r="J4" s="12">
        <f>IF(ISBLANK(VLOOKUP($E4,[1]Monster!$A$2:$X$257,14,FALSE)),"",VLOOKUP($E4,[1]Monster!$A$2:$X$257,14,FALSE))</f>
        <v>15</v>
      </c>
      <c r="K4" s="3">
        <f>J4+_xlfn.IFNA(VLOOKUP($P4,[1]Weapon!$A$1:$M$301,9,FALSE),0)+_xlfn.IFNA(VLOOKUP($S4,[1]Weapon!$A$1:$M$301,9,FALSE),0)+_xlfn.IFNA(VLOOKUP($V4,[1]Weapon!$A$1:$M$301,9,FALSE),0)+_xlfn.IFNA(VLOOKUP($Y4,[1]Weapon!$A$1:$M$301,9,FALSE),0)+_xlfn.IFNA(VLOOKUP($AB4,[1]Weapon!$A$1:$M$301,9,FALSE),0)+_xlfn.IFNA(VLOOKUP($AE4,[1]Weapon!$A$1:$M$301,9,FALSE),0)+_xlfn.IFNA(VLOOKUP($AH4,[1]Weapon!$A$1:$M$301,9,FALSE),0)+_xlfn.IFNA(VLOOKUP($AK4,[1]Weapon!$A$1:$M$301,9,FALSE),0)</f>
        <v>15</v>
      </c>
      <c r="L4" s="6">
        <f>IF(ISBLANK(VLOOKUP($E4,[1]Monster!$A$2:$X$257,12,FALSE)),"",VLOOKUP($E4,[1]Monster!$A$2:$X$257,12,FALSE))</f>
        <v>8</v>
      </c>
      <c r="M4" s="13">
        <f t="shared" ref="M4" si="5">L4</f>
        <v>8</v>
      </c>
      <c r="N4" s="12">
        <f>IF(ISBLANK(VLOOKUP($E4,[1]Monster!$A$2:$X$257,13,FALSE)),"",VLOOKUP($E4,[1]Monster!$A$2:$X$257,13,FALSE))</f>
        <v>13</v>
      </c>
      <c r="O4" s="3">
        <f t="shared" ref="O4" si="6">N4</f>
        <v>13</v>
      </c>
      <c r="P4" s="6" t="str">
        <f>IF(ISBLANK(VLOOKUP($E4,[1]Monster!$A$2:$X$257,16,FALSE)),"",VLOOKUP($E4,[1]Monster!$A$2:$X$257,16,FALSE))</f>
        <v>Punch</v>
      </c>
      <c r="Q4" s="15">
        <v>30</v>
      </c>
      <c r="R4" s="15">
        <f>_xlfn.IFNA(IF($E4="Robot",VLOOKUP(P4,[1]Weapon!$B$1:$G$300,6,FALSE)/2,VLOOKUP(P4,[1]Weapon!$B$1:$G$300,6,FALSE)),0)</f>
        <v>30</v>
      </c>
      <c r="S4" s="6" t="str">
        <f>IF(ISBLANK(VLOOKUP($E4,[1]Monster!$A$2:$X$257,17,FALSE)),"",VLOOKUP($E4,[1]Monster!$A$2:$X$257,17,FALSE))</f>
        <v>Kick</v>
      </c>
      <c r="T4" s="15">
        <v>15</v>
      </c>
      <c r="U4" s="15">
        <f>_xlfn.IFNA(IF($E4="Robot",VLOOKUP(S4,[1]Weapon!$B$1:$G$300,6,FALSE)/2,VLOOKUP(S4,[1]Weapon!$B$1:$G$300,6,FALSE)),0)</f>
        <v>15</v>
      </c>
      <c r="V4" s="6" t="str">
        <f>IF(ISBLANK(VLOOKUP($E4,[1]Monster!$A$2:$X$257,18,FALSE)),"",VLOOKUP($E4,[1]Monster!$A$2:$X$257,18,FALSE))</f>
        <v>X-Fire</v>
      </c>
      <c r="W4" s="34">
        <v>-1</v>
      </c>
      <c r="X4" s="15">
        <f>_xlfn.IFNA(IF($E4="Robot",VLOOKUP(V4,[1]Weapon!$B$1:$G$300,6,FALSE)/2,VLOOKUP(V4,[1]Weapon!$B$1:$G$300,6,FALSE)),0)</f>
        <v>-2</v>
      </c>
      <c r="Y4" s="56" t="s">
        <v>141</v>
      </c>
      <c r="Z4" s="15">
        <v>-1</v>
      </c>
      <c r="AA4" s="15">
        <f>_xlfn.IFNA(IF($E4="Robot",VLOOKUP(Y4,[1]Weapon!$B$1:$G$300,6,FALSE)/2,VLOOKUP(Y4,[1]Weapon!$B$1:$G$300,6,FALSE)),0)</f>
        <v>0</v>
      </c>
      <c r="AB4" s="6" t="s">
        <v>141</v>
      </c>
      <c r="AC4" s="15">
        <v>-1</v>
      </c>
      <c r="AD4" s="15">
        <f>_xlfn.IFNA(IF($E4="Robot",VLOOKUP(AB4,[1]Weapon!$B$1:$G$300,6,FALSE)/2,VLOOKUP(AB4,[1]Weapon!$B$1:$G$300,6,FALSE)),0)</f>
        <v>0</v>
      </c>
      <c r="AE4" s="6" t="s">
        <v>141</v>
      </c>
      <c r="AF4" s="15">
        <v>-1</v>
      </c>
      <c r="AG4" s="15">
        <f>_xlfn.IFNA(IF($E4="Robot",VLOOKUP(AE4,[1]Weapon!$B$1:$G$300,6,FALSE)/2,VLOOKUP(AE4,[1]Weapon!$B$1:$G$300,6,FALSE)),0)</f>
        <v>0</v>
      </c>
      <c r="AH4" s="6" t="s">
        <v>141</v>
      </c>
      <c r="AI4" s="15">
        <v>-1</v>
      </c>
      <c r="AJ4" s="15">
        <f>_xlfn.IFNA(IF($E4="Robot",VLOOKUP(AH4,[1]Weapon!$B$1:$G$300,6,FALSE)/2,VLOOKUP(AH4,[1]Weapon!$B$1:$G$300,6,FALSE)),0)</f>
        <v>0</v>
      </c>
      <c r="AK4" s="6" t="s">
        <v>141</v>
      </c>
      <c r="AL4" s="15">
        <v>-1</v>
      </c>
      <c r="AM4" s="15">
        <f>_xlfn.IFNA(IF($E4="Robot",VLOOKUP(AK4,[1]Weapon!$B$1:$G$300,6,FALSE)/2,VLOOKUP(AK4,[1]Weapon!$B$1:$G$300,6,FALSE)),0)</f>
        <v>0</v>
      </c>
      <c r="AN4" s="6" t="s">
        <v>141</v>
      </c>
      <c r="AO4" s="15">
        <v>0</v>
      </c>
      <c r="AP4" s="15">
        <f>_xlfn.IFNA(IF($E4="Robot",VLOOKUP(AN4,[1]Weapon!$B$1:$G$300,6,FALSE)/2,VLOOKUP(AN4,[1]Weapon!$B$1:$G$300,6,FALSE)),0)</f>
        <v>0</v>
      </c>
      <c r="AQ4" s="1" t="s">
        <v>141</v>
      </c>
      <c r="AR4" s="1" t="s">
        <v>141</v>
      </c>
      <c r="AS4" s="1">
        <v>134</v>
      </c>
      <c r="AT4" s="1" t="s">
        <v>141</v>
      </c>
    </row>
    <row r="5" spans="1:46" x14ac:dyDescent="0.25">
      <c r="A5" s="1" t="str">
        <f t="shared" si="0"/>
        <v>Bubble</v>
      </c>
      <c r="B5" s="45" t="s">
        <v>81</v>
      </c>
      <c r="C5" s="41" t="s">
        <v>141</v>
      </c>
      <c r="D5" s="50" t="s">
        <v>83</v>
      </c>
      <c r="E5" s="45" t="s">
        <v>62</v>
      </c>
      <c r="F5" s="1">
        <v>111</v>
      </c>
      <c r="G5" s="3">
        <v>111</v>
      </c>
      <c r="H5" s="6">
        <v>12</v>
      </c>
      <c r="I5" s="13">
        <v>13</v>
      </c>
      <c r="J5" s="12">
        <v>0</v>
      </c>
      <c r="K5" s="3">
        <f>J5+_xlfn.IFNA(VLOOKUP($P5,[1]Weapon!$A$1:$M$301,9,FALSE),0)+_xlfn.IFNA(VLOOKUP($S5,[1]Weapon!$A$1:$M$301,9,FALSE),0)+_xlfn.IFNA(VLOOKUP($V5,[1]Weapon!$A$1:$M$301,9,FALSE),0)+_xlfn.IFNA(VLOOKUP($Y5,[1]Weapon!$A$1:$M$301,9,FALSE),0)+_xlfn.IFNA(VLOOKUP($AB5,[1]Weapon!$A$1:$M$301,9,FALSE),0)+_xlfn.IFNA(VLOOKUP($AE5,[1]Weapon!$A$1:$M$301,9,FALSE),0)+_xlfn.IFNA(VLOOKUP($AH5,[1]Weapon!$A$1:$M$301,9,FALSE),0)+_xlfn.IFNA(VLOOKUP($AK5,[1]Weapon!$A$1:$M$301,9,FALSE),0)</f>
        <v>10</v>
      </c>
      <c r="L5" s="6">
        <v>6</v>
      </c>
      <c r="M5" s="13">
        <f>L5+10</f>
        <v>16</v>
      </c>
      <c r="N5" s="12">
        <v>3</v>
      </c>
      <c r="O5" s="3">
        <f t="shared" ref="O5:O16" si="7">N5</f>
        <v>3</v>
      </c>
      <c r="P5" s="47" t="s">
        <v>43</v>
      </c>
      <c r="Q5" s="16">
        <v>44</v>
      </c>
      <c r="R5" s="15">
        <f>_xlfn.IFNA(IF($E5="Robot",VLOOKUP(P5,[1]Weapon!$B$1:$G$300,6,FALSE)/2,VLOOKUP(P5,[1]Weapon!$B$1:$G$300,6,FALSE)),0)</f>
        <v>50</v>
      </c>
      <c r="S5" s="47" t="s">
        <v>119</v>
      </c>
      <c r="T5" s="15">
        <v>39</v>
      </c>
      <c r="U5" s="15">
        <f>_xlfn.IFNA(IF($E5="Robot",VLOOKUP(S5,[1]Weapon!$B$1:$G$300,6,FALSE)/2,VLOOKUP(S5,[1]Weapon!$B$1:$G$300,6,FALSE)),0)</f>
        <v>40</v>
      </c>
      <c r="V5" s="47" t="s">
        <v>118</v>
      </c>
      <c r="W5" s="35">
        <v>9</v>
      </c>
      <c r="X5" s="15">
        <f>_xlfn.IFNA(IF($E5="Robot",VLOOKUP(V5,[1]Weapon!$B$1:$G$300,6,FALSE)/2,VLOOKUP(V5,[1]Weapon!$B$1:$G$300,6,FALSE)),0)</f>
        <v>40</v>
      </c>
      <c r="Y5" s="47" t="s">
        <v>116</v>
      </c>
      <c r="Z5" s="15">
        <v>-1</v>
      </c>
      <c r="AA5" s="15">
        <f>_xlfn.IFNA(IF($E5="Robot",VLOOKUP(Y5,[1]Weapon!$B$1:$G$300,6,FALSE)/2,VLOOKUP(Y5,[1]Weapon!$B$1:$G$300,6,FALSE)),0)</f>
        <v>-2</v>
      </c>
      <c r="AB5" s="47" t="s">
        <v>108</v>
      </c>
      <c r="AC5" s="15">
        <v>-1</v>
      </c>
      <c r="AD5" s="15">
        <f>_xlfn.IFNA(IF($E5="Robot",VLOOKUP(AB5,[1]Weapon!$B$1:$G$300,6,FALSE)/2,VLOOKUP(AB5,[1]Weapon!$B$1:$G$300,6,FALSE)),0)</f>
        <v>-2</v>
      </c>
      <c r="AE5" s="47" t="s">
        <v>107</v>
      </c>
      <c r="AF5" s="15">
        <v>-1</v>
      </c>
      <c r="AG5" s="15">
        <f>_xlfn.IFNA(IF($E5="Robot",VLOOKUP(AE5,[1]Weapon!$B$1:$G$300,6,FALSE)/2,VLOOKUP(AE5,[1]Weapon!$B$1:$G$300,6,FALSE)),0)</f>
        <v>-2</v>
      </c>
      <c r="AH5" s="59" t="s">
        <v>158</v>
      </c>
      <c r="AI5" s="15">
        <v>-1</v>
      </c>
      <c r="AJ5" s="15">
        <f>_xlfn.IFNA(IF($E5="Robot",VLOOKUP(AH5,[1]Weapon!$B$1:$G$300,6,FALSE)/2,VLOOKUP(AH5,[1]Weapon!$B$1:$G$300,6,FALSE)),0)</f>
        <v>-2</v>
      </c>
      <c r="AK5" s="6" t="s">
        <v>141</v>
      </c>
      <c r="AL5" s="15">
        <v>-1</v>
      </c>
      <c r="AM5" s="15">
        <f>_xlfn.IFNA(IF($E5="Robot",VLOOKUP(AK5,[1]Weapon!$B$1:$G$300,6,FALSE)/2,VLOOKUP(AK5,[1]Weapon!$B$1:$G$300,6,FALSE)),0)</f>
        <v>0</v>
      </c>
      <c r="AN5" s="6" t="s">
        <v>141</v>
      </c>
      <c r="AO5" s="15">
        <v>0</v>
      </c>
      <c r="AP5" s="15">
        <f>_xlfn.IFNA(IF($E5="Robot",VLOOKUP(AN5,[1]Weapon!$B$1:$G$300,6,FALSE)/2,VLOOKUP(AN5,[1]Weapon!$B$1:$G$300,6,FALSE)),0)</f>
        <v>0</v>
      </c>
      <c r="AQ5" s="1" t="s">
        <v>141</v>
      </c>
      <c r="AR5" s="1" t="s">
        <v>141</v>
      </c>
      <c r="AS5" s="1">
        <v>228</v>
      </c>
      <c r="AT5" s="1" t="s">
        <v>141</v>
      </c>
    </row>
    <row r="6" spans="1:46" x14ac:dyDescent="0.25">
      <c r="A6" s="1" t="str">
        <f t="shared" si="0"/>
        <v>Trog</v>
      </c>
      <c r="B6" s="46" t="s">
        <v>103</v>
      </c>
      <c r="C6" s="41" t="s">
        <v>141</v>
      </c>
      <c r="D6" s="50" t="s">
        <v>84</v>
      </c>
      <c r="E6" s="46" t="s">
        <v>62</v>
      </c>
      <c r="F6" s="38">
        <v>1</v>
      </c>
      <c r="G6" s="3">
        <v>110</v>
      </c>
      <c r="H6" s="6">
        <v>8</v>
      </c>
      <c r="I6" s="13">
        <f>H6+3</f>
        <v>11</v>
      </c>
      <c r="J6" s="12">
        <v>0</v>
      </c>
      <c r="K6" s="3">
        <f>J6+_xlfn.IFNA(VLOOKUP($P6,[1]Weapon!$A$1:$M$301,9,FALSE),0)+_xlfn.IFNA(VLOOKUP($S6,[1]Weapon!$A$1:$M$301,9,FALSE),0)+_xlfn.IFNA(VLOOKUP($V6,[1]Weapon!$A$1:$M$301,9,FALSE),0)+_xlfn.IFNA(VLOOKUP($Y6,[1]Weapon!$A$1:$M$301,9,FALSE),0)+_xlfn.IFNA(VLOOKUP($AB6,[1]Weapon!$A$1:$M$301,9,FALSE),0)+_xlfn.IFNA(VLOOKUP($AE6,[1]Weapon!$A$1:$M$301,9,FALSE),0)+_xlfn.IFNA(VLOOKUP($AH6,[1]Weapon!$A$1:$M$301,9,FALSE),0)+_xlfn.IFNA(VLOOKUP($AK6,[1]Weapon!$A$1:$M$301,9,FALSE),0)</f>
        <v>10</v>
      </c>
      <c r="L6" s="6">
        <v>9</v>
      </c>
      <c r="M6" s="13">
        <f>L6+3</f>
        <v>12</v>
      </c>
      <c r="N6" s="12">
        <v>6</v>
      </c>
      <c r="O6" s="3">
        <f>N6+3</f>
        <v>9</v>
      </c>
      <c r="P6" s="47" t="s">
        <v>120</v>
      </c>
      <c r="Q6" s="15">
        <v>38</v>
      </c>
      <c r="R6" s="15">
        <f>_xlfn.IFNA(IF($E6="Robot",VLOOKUP(P6,[1]Weapon!$B$1:$G$300,6,FALSE)/2,VLOOKUP(P6,[1]Weapon!$B$1:$G$300,6,FALSE)),0)</f>
        <v>60</v>
      </c>
      <c r="S6" s="47" t="s">
        <v>121</v>
      </c>
      <c r="T6" s="23">
        <v>48</v>
      </c>
      <c r="U6" s="15">
        <f>_xlfn.IFNA(IF($E6="Robot",VLOOKUP(S6,[1]Weapon!$B$1:$G$300,6,FALSE)/2,VLOOKUP(S6,[1]Weapon!$B$1:$G$300,6,FALSE)),0)</f>
        <v>50</v>
      </c>
      <c r="V6" s="47" t="s">
        <v>116</v>
      </c>
      <c r="W6" s="36">
        <v>-1</v>
      </c>
      <c r="X6" s="15">
        <f>_xlfn.IFNA(IF($E6="Robot",VLOOKUP(V6,[1]Weapon!$B$1:$G$300,6,FALSE)/2,VLOOKUP(V6,[1]Weapon!$B$1:$G$300,6,FALSE)),0)</f>
        <v>-2</v>
      </c>
      <c r="Y6" s="47" t="s">
        <v>125</v>
      </c>
      <c r="Z6" s="36">
        <v>-1</v>
      </c>
      <c r="AA6" s="15">
        <f>_xlfn.IFNA(IF($E6="Robot",VLOOKUP(Y6,[1]Weapon!$B$1:$G$300,6,FALSE)/2,VLOOKUP(Y6,[1]Weapon!$B$1:$G$300,6,FALSE)),0)</f>
        <v>-2</v>
      </c>
      <c r="AB6" s="48" t="s">
        <v>143</v>
      </c>
      <c r="AC6" s="37">
        <v>2</v>
      </c>
      <c r="AD6" s="15">
        <f>_xlfn.IFNA(IF($E6="Robot",VLOOKUP(AB6,[1]Weapon!$B$1:$G$300,6,FALSE)/2,VLOOKUP(AB6,[1]Weapon!$B$1:$G$300,6,FALSE)),0)</f>
        <v>4</v>
      </c>
      <c r="AE6" s="59" t="s">
        <v>159</v>
      </c>
      <c r="AF6" s="22">
        <v>-1</v>
      </c>
      <c r="AG6" s="15">
        <f>_xlfn.IFNA(IF($E6="Robot",VLOOKUP(AE6,[1]Weapon!$B$1:$G$300,6,FALSE)/2,VLOOKUP(AE6,[1]Weapon!$B$1:$G$300,6,FALSE)),0)</f>
        <v>-2</v>
      </c>
      <c r="AH6" s="6" t="s">
        <v>141</v>
      </c>
      <c r="AI6" s="15">
        <v>-1</v>
      </c>
      <c r="AJ6" s="15">
        <f>_xlfn.IFNA(IF($E6="Robot",VLOOKUP(AH6,[1]Weapon!$B$1:$G$300,6,FALSE)/2,VLOOKUP(AH6,[1]Weapon!$B$1:$G$300,6,FALSE)),0)</f>
        <v>0</v>
      </c>
      <c r="AK6" s="6" t="s">
        <v>141</v>
      </c>
      <c r="AL6" s="15">
        <v>-1</v>
      </c>
      <c r="AM6" s="15">
        <f>_xlfn.IFNA(IF($E6="Robot",VLOOKUP(AK6,[1]Weapon!$B$1:$G$300,6,FALSE)/2,VLOOKUP(AK6,[1]Weapon!$B$1:$G$300,6,FALSE)),0)</f>
        <v>0</v>
      </c>
      <c r="AN6" s="9" t="s">
        <v>141</v>
      </c>
      <c r="AO6" s="20">
        <v>0</v>
      </c>
      <c r="AP6" s="15">
        <f>_xlfn.IFNA(IF($E6="Robot",VLOOKUP(AN6,[1]Weapon!$B$1:$G$300,6,FALSE)/2,VLOOKUP(AN6,[1]Weapon!$B$1:$G$300,6,FALSE)),0)</f>
        <v>0</v>
      </c>
      <c r="AQ6" s="4" t="s">
        <v>141</v>
      </c>
      <c r="AR6" s="1" t="s">
        <v>141</v>
      </c>
      <c r="AS6" s="1">
        <v>202</v>
      </c>
      <c r="AT6" s="1" t="s">
        <v>141</v>
      </c>
    </row>
    <row r="7" spans="1:46" x14ac:dyDescent="0.25">
      <c r="A7" s="1" t="str">
        <f t="shared" si="0"/>
        <v>Sandy</v>
      </c>
      <c r="B7" s="45" t="s">
        <v>85</v>
      </c>
      <c r="C7" s="41" t="s">
        <v>141</v>
      </c>
      <c r="D7" s="50" t="s">
        <v>86</v>
      </c>
      <c r="E7" s="45" t="s">
        <v>62</v>
      </c>
      <c r="F7" s="2">
        <v>104</v>
      </c>
      <c r="G7" s="3">
        <v>117</v>
      </c>
      <c r="H7" s="6">
        <v>4</v>
      </c>
      <c r="I7" s="13">
        <f>H7+10</f>
        <v>14</v>
      </c>
      <c r="J7" s="12">
        <v>0</v>
      </c>
      <c r="K7" s="3">
        <f>J7+_xlfn.IFNA(VLOOKUP($P7,[1]Weapon!$A$1:$M$301,9,FALSE),0)+_xlfn.IFNA(VLOOKUP($S7,[1]Weapon!$A$1:$M$301,9,FALSE),0)+_xlfn.IFNA(VLOOKUP($V7,[1]Weapon!$A$1:$M$301,9,FALSE),0)+_xlfn.IFNA(VLOOKUP($Y7,[1]Weapon!$A$1:$M$301,9,FALSE),0)+_xlfn.IFNA(VLOOKUP($AB7,[1]Weapon!$A$1:$M$301,9,FALSE),0)+_xlfn.IFNA(VLOOKUP($AE7,[1]Weapon!$A$1:$M$301,9,FALSE),0)+_xlfn.IFNA(VLOOKUP($AH7,[1]Weapon!$A$1:$M$301,9,FALSE),0)+_xlfn.IFNA(VLOOKUP($AK7,[1]Weapon!$A$1:$M$301,9,FALSE),0)</f>
        <v>11</v>
      </c>
      <c r="L7" s="6">
        <v>8</v>
      </c>
      <c r="M7" s="13">
        <f t="shared" ref="M7:M14" si="8">L7</f>
        <v>8</v>
      </c>
      <c r="N7" s="12">
        <v>10</v>
      </c>
      <c r="O7" s="3">
        <f t="shared" si="7"/>
        <v>10</v>
      </c>
      <c r="P7" s="47" t="s">
        <v>122</v>
      </c>
      <c r="Q7" s="15">
        <v>4</v>
      </c>
      <c r="R7" s="15">
        <f>_xlfn.IFNA(IF($E7="Robot",VLOOKUP(P7,[1]Weapon!$B$1:$G$300,6,FALSE)/2,VLOOKUP(P7,[1]Weapon!$B$1:$G$300,6,FALSE)),0)</f>
        <v>30</v>
      </c>
      <c r="S7" s="47" t="s">
        <v>123</v>
      </c>
      <c r="T7" s="15">
        <v>30</v>
      </c>
      <c r="U7" s="15">
        <f>_xlfn.IFNA(IF($E7="Robot",VLOOKUP(S7,[1]Weapon!$B$1:$G$300,6,FALSE)/2,VLOOKUP(S7,[1]Weapon!$B$1:$G$300,6,FALSE)),0)</f>
        <v>30</v>
      </c>
      <c r="V7" s="47" t="s">
        <v>124</v>
      </c>
      <c r="W7" s="36">
        <v>20</v>
      </c>
      <c r="X7" s="15">
        <f>_xlfn.IFNA(IF($E7="Robot",VLOOKUP(V7,[1]Weapon!$B$1:$G$300,6,FALSE)/2,VLOOKUP(V7,[1]Weapon!$B$1:$G$300,6,FALSE)),0)</f>
        <v>30</v>
      </c>
      <c r="Y7" s="47"/>
      <c r="Z7" s="15">
        <v>-1</v>
      </c>
      <c r="AA7" s="15">
        <f>_xlfn.IFNA(IF($E7="Robot",VLOOKUP(Y7,[1]Weapon!$B$1:$G$300,6,FALSE)/2,VLOOKUP(Y7,[1]Weapon!$B$1:$G$300,6,FALSE)),0)</f>
        <v>0</v>
      </c>
      <c r="AB7" s="47" t="s">
        <v>108</v>
      </c>
      <c r="AC7" s="15">
        <v>-1</v>
      </c>
      <c r="AD7" s="15">
        <f>_xlfn.IFNA(IF($E7="Robot",VLOOKUP(AB7,[1]Weapon!$B$1:$G$300,6,FALSE)/2,VLOOKUP(AB7,[1]Weapon!$B$1:$G$300,6,FALSE)),0)</f>
        <v>-2</v>
      </c>
      <c r="AE7" s="47" t="s">
        <v>109</v>
      </c>
      <c r="AF7" s="15">
        <v>50</v>
      </c>
      <c r="AG7" s="15">
        <f>_xlfn.IFNA(IF($E7="Robot",VLOOKUP(AE7,[1]Weapon!$B$1:$G$300,6,FALSE)/2,VLOOKUP(AE7,[1]Weapon!$B$1:$G$300,6,FALSE)),0)</f>
        <v>50</v>
      </c>
      <c r="AH7" s="59" t="s">
        <v>116</v>
      </c>
      <c r="AI7" s="15">
        <v>-1</v>
      </c>
      <c r="AJ7" s="15">
        <f>_xlfn.IFNA(IF($E7="Robot",VLOOKUP(AH7,[1]Weapon!$B$1:$G$300,6,FALSE)/2,VLOOKUP(AH7,[1]Weapon!$B$1:$G$300,6,FALSE)),0)</f>
        <v>-2</v>
      </c>
      <c r="AK7" s="59" t="s">
        <v>160</v>
      </c>
      <c r="AL7" s="15">
        <v>-1</v>
      </c>
      <c r="AM7" s="15">
        <f>_xlfn.IFNA(IF($E7="Robot",VLOOKUP(AK7,[1]Weapon!$B$1:$G$300,6,FALSE)/2,VLOOKUP(AK7,[1]Weapon!$B$1:$G$300,6,FALSE)),0)</f>
        <v>-2</v>
      </c>
      <c r="AN7" s="9" t="s">
        <v>141</v>
      </c>
      <c r="AO7" s="20">
        <v>0</v>
      </c>
      <c r="AP7" s="15">
        <f>_xlfn.IFNA(IF($E7="Robot",VLOOKUP(AN7,[1]Weapon!$B$1:$G$300,6,FALSE)/2,VLOOKUP(AN7,[1]Weapon!$B$1:$G$300,6,FALSE)),0)</f>
        <v>0</v>
      </c>
      <c r="AQ7" s="1" t="s">
        <v>141</v>
      </c>
      <c r="AR7" s="1" t="s">
        <v>141</v>
      </c>
      <c r="AS7" s="1">
        <v>379</v>
      </c>
      <c r="AT7" s="1" t="s">
        <v>141</v>
      </c>
    </row>
    <row r="8" spans="1:46" x14ac:dyDescent="0.25">
      <c r="A8" s="1" t="str">
        <f t="shared" si="0"/>
        <v>Astrid</v>
      </c>
      <c r="B8" s="45" t="s">
        <v>87</v>
      </c>
      <c r="C8" s="41" t="s">
        <v>141</v>
      </c>
      <c r="D8" s="50" t="s">
        <v>88</v>
      </c>
      <c r="E8" s="45" t="s">
        <v>63</v>
      </c>
      <c r="F8" s="38">
        <v>114</v>
      </c>
      <c r="G8" s="3">
        <v>114</v>
      </c>
      <c r="H8" s="6">
        <v>8</v>
      </c>
      <c r="I8" s="13">
        <f t="shared" ref="I8:I13" si="9">H8</f>
        <v>8</v>
      </c>
      <c r="J8" s="12">
        <v>0</v>
      </c>
      <c r="K8" s="3">
        <f>J8+_xlfn.IFNA(VLOOKUP($P8,[1]Weapon!$A$1:$M$301,9,FALSE),0)+_xlfn.IFNA(VLOOKUP($S8,[1]Weapon!$A$1:$M$301,9,FALSE),0)+_xlfn.IFNA(VLOOKUP($V8,[1]Weapon!$A$1:$M$301,9,FALSE),0)+_xlfn.IFNA(VLOOKUP($Y8,[1]Weapon!$A$1:$M$301,9,FALSE),0)+_xlfn.IFNA(VLOOKUP($AB8,[1]Weapon!$A$1:$M$301,9,FALSE),0)+_xlfn.IFNA(VLOOKUP($AE8,[1]Weapon!$A$1:$M$301,9,FALSE),0)+_xlfn.IFNA(VLOOKUP($AH8,[1]Weapon!$A$1:$M$301,9,FALSE),0)+_xlfn.IFNA(VLOOKUP($AK8,[1]Weapon!$A$1:$M$301,9,FALSE),0)</f>
        <v>11</v>
      </c>
      <c r="L8" s="6">
        <v>9</v>
      </c>
      <c r="M8" s="13">
        <f t="shared" si="8"/>
        <v>9</v>
      </c>
      <c r="N8" s="12">
        <v>9</v>
      </c>
      <c r="O8" s="3">
        <f t="shared" si="7"/>
        <v>9</v>
      </c>
      <c r="P8" s="47" t="s">
        <v>128</v>
      </c>
      <c r="Q8" s="17">
        <v>13</v>
      </c>
      <c r="R8" s="15">
        <f>_xlfn.IFNA(IF($E8="Robot",VLOOKUP(P8,[1]Weapon!$B$1:$G$300,6,FALSE)/2,VLOOKUP(P8,[1]Weapon!$B$1:$G$300,6,FALSE)),0)</f>
        <v>15</v>
      </c>
      <c r="S8" s="47" t="s">
        <v>127</v>
      </c>
      <c r="T8" s="24">
        <v>-1</v>
      </c>
      <c r="U8" s="15">
        <f>_xlfn.IFNA(IF($E8="Robot",VLOOKUP(S8,[1]Weapon!$B$1:$G$300,6,FALSE)/2,VLOOKUP(S8,[1]Weapon!$B$1:$G$300,6,FALSE)),0)</f>
        <v>-2</v>
      </c>
      <c r="V8" s="47" t="s">
        <v>129</v>
      </c>
      <c r="W8" s="25">
        <v>-1</v>
      </c>
      <c r="X8" s="15">
        <f>_xlfn.IFNA(IF($E8="Robot",VLOOKUP(V8,[1]Weapon!$B$1:$G$300,6,FALSE)/2,VLOOKUP(V8,[1]Weapon!$B$1:$G$300,6,FALSE)),0)</f>
        <v>-2</v>
      </c>
      <c r="Y8" s="10" t="s">
        <v>141</v>
      </c>
      <c r="Z8" s="25">
        <v>-1</v>
      </c>
      <c r="AA8" s="15">
        <f>_xlfn.IFNA(IF($E8="Robot",VLOOKUP(Y8,[1]Weapon!$B$1:$G$300,6,FALSE)/2,VLOOKUP(Y8,[1]Weapon!$B$1:$G$300,6,FALSE)),0)</f>
        <v>0</v>
      </c>
      <c r="AB8" s="47" t="s">
        <v>120</v>
      </c>
      <c r="AC8" s="15">
        <v>38</v>
      </c>
      <c r="AD8" s="15">
        <f>_xlfn.IFNA(IF($E8="Robot",VLOOKUP(AB8,[1]Weapon!$B$1:$G$300,6,FALSE)/2,VLOOKUP(AB8,[1]Weapon!$B$1:$G$300,6,FALSE)),0)</f>
        <v>60</v>
      </c>
      <c r="AE8" s="47" t="s">
        <v>117</v>
      </c>
      <c r="AF8" s="15">
        <v>-1</v>
      </c>
      <c r="AG8" s="15">
        <f>_xlfn.IFNA(IF($E8="Robot",VLOOKUP(AE8,[1]Weapon!$B$1:$G$300,6,FALSE)/2,VLOOKUP(AE8,[1]Weapon!$B$1:$G$300,6,FALSE)),0)</f>
        <v>-2</v>
      </c>
      <c r="AH8" s="59" t="s">
        <v>125</v>
      </c>
      <c r="AI8" s="15">
        <v>-1</v>
      </c>
      <c r="AJ8" s="15">
        <f>_xlfn.IFNA(IF($E8="Robot",VLOOKUP(AH8,[1]Weapon!$B$1:$G$300,6,FALSE)/2,VLOOKUP(AH8,[1]Weapon!$B$1:$G$300,6,FALSE)),0)</f>
        <v>-2</v>
      </c>
      <c r="AK8" s="6" t="s">
        <v>141</v>
      </c>
      <c r="AL8" s="15">
        <v>-1</v>
      </c>
      <c r="AM8" s="15">
        <f>_xlfn.IFNA(IF($E8="Robot",VLOOKUP(AK8,[1]Weapon!$B$1:$G$300,6,FALSE)/2,VLOOKUP(AK8,[1]Weapon!$B$1:$G$300,6,FALSE)),0)</f>
        <v>0</v>
      </c>
      <c r="AN8" s="6" t="s">
        <v>141</v>
      </c>
      <c r="AO8" s="15">
        <v>0</v>
      </c>
      <c r="AP8" s="15">
        <f>_xlfn.IFNA(IF($E8="Robot",VLOOKUP(AN8,[1]Weapon!$B$1:$G$300,6,FALSE)/2,VLOOKUP(AN8,[1]Weapon!$B$1:$G$300,6,FALSE)),0)</f>
        <v>0</v>
      </c>
      <c r="AQ8" s="1" t="s">
        <v>141</v>
      </c>
      <c r="AR8" s="1" t="s">
        <v>141</v>
      </c>
      <c r="AS8" s="1">
        <v>301</v>
      </c>
      <c r="AT8" s="1" t="s">
        <v>141</v>
      </c>
    </row>
    <row r="9" spans="1:46" x14ac:dyDescent="0.25">
      <c r="A9" s="1" t="str">
        <f t="shared" si="0"/>
        <v>Obrez</v>
      </c>
      <c r="B9" s="45" t="s">
        <v>89</v>
      </c>
      <c r="C9" s="41" t="s">
        <v>141</v>
      </c>
      <c r="D9" s="50" t="s">
        <v>90</v>
      </c>
      <c r="E9" s="45" t="s">
        <v>26</v>
      </c>
      <c r="F9" s="38">
        <v>132</v>
      </c>
      <c r="G9" s="3">
        <f>24+_xlfn.IFNA(VLOOKUP($P9,[1]Weapon!$A$1:$M$301,12,FALSE),0)+_xlfn.IFNA(VLOOKUP($S9,[1]Weapon!$A$1:$M$301,12,FALSE),0)+_xlfn.IFNA(VLOOKUP($V9,[1]Weapon!$A$1:$M$301,12,FALSE),0)+_xlfn.IFNA(VLOOKUP($Y9,[1]Weapon!$A$1:$M$301,12,FALSE),0)+_xlfn.IFNA(VLOOKUP($AB9,[1]Weapon!$A$1:$M$301,12,FALSE),0)+_xlfn.IFNA(VLOOKUP($AE9,[1]Weapon!$A$1:$M$301,12,FALSE),0)+_xlfn.IFNA(VLOOKUP($AH9,[1]Weapon!$A$1:$M$301,12,FALSE),0)+_xlfn.IFNA(VLOOKUP($AK9,[1]Weapon!$A$1:$M$301,12,FALSE),0)</f>
        <v>132</v>
      </c>
      <c r="H9" s="6">
        <v>0</v>
      </c>
      <c r="I9" s="13">
        <f>H9+6</f>
        <v>6</v>
      </c>
      <c r="J9" s="12">
        <v>6</v>
      </c>
      <c r="K9" s="3">
        <f>J9+4+2</f>
        <v>12</v>
      </c>
      <c r="L9" s="6">
        <v>5</v>
      </c>
      <c r="M9" s="13">
        <f t="shared" si="8"/>
        <v>5</v>
      </c>
      <c r="N9" s="12">
        <v>0</v>
      </c>
      <c r="O9" s="3">
        <f t="shared" si="7"/>
        <v>0</v>
      </c>
      <c r="P9" s="7" t="s">
        <v>105</v>
      </c>
      <c r="Q9" s="18">
        <v>-1</v>
      </c>
      <c r="R9" s="15">
        <f>_xlfn.IFNA(IF($E9="Robot",VLOOKUP(P9,[1]Weapon!$B$1:$G$300,6,FALSE)/2,VLOOKUP(P9,[1]Weapon!$B$1:$G$300,6,FALSE)),0)</f>
        <v>-1</v>
      </c>
      <c r="S9" s="47" t="s">
        <v>112</v>
      </c>
      <c r="T9" s="25">
        <v>24</v>
      </c>
      <c r="U9" s="15">
        <f>_xlfn.IFNA(IF($E9="Robot",VLOOKUP(S9,[1]Weapon!$B$1:$G$300,6,FALSE)/2,VLOOKUP(S9,[1]Weapon!$B$1:$G$300,6,FALSE)),0)</f>
        <v>25</v>
      </c>
      <c r="V9" s="47" t="s">
        <v>113</v>
      </c>
      <c r="W9" s="15">
        <v>7</v>
      </c>
      <c r="X9" s="15">
        <f>_xlfn.IFNA(IF($E9="Robot",VLOOKUP(V9,[1]Weapon!$B$1:$G$300,6,FALSE)/2,VLOOKUP(V9,[1]Weapon!$B$1:$G$300,6,FALSE)),0)</f>
        <v>10</v>
      </c>
      <c r="Y9" s="59" t="s">
        <v>111</v>
      </c>
      <c r="Z9" s="15">
        <v>-1</v>
      </c>
      <c r="AA9" s="15">
        <f>_xlfn.IFNA(IF($E9="Robot",VLOOKUP(Y9,[1]Weapon!$B$1:$G$300,6,FALSE)/2,VLOOKUP(Y9,[1]Weapon!$B$1:$G$300,6,FALSE)),0)</f>
        <v>-1</v>
      </c>
      <c r="AB9" s="6" t="s">
        <v>141</v>
      </c>
      <c r="AC9" s="15">
        <v>-1</v>
      </c>
      <c r="AD9" s="15">
        <f>_xlfn.IFNA(IF($E9="Robot",VLOOKUP(AB9,[1]Weapon!$B$1:$G$300,6,FALSE)/2,VLOOKUP(AB9,[1]Weapon!$B$1:$G$300,6,FALSE)),0)</f>
        <v>0</v>
      </c>
      <c r="AE9" s="6" t="s">
        <v>141</v>
      </c>
      <c r="AF9" s="15">
        <v>-1</v>
      </c>
      <c r="AG9" s="15">
        <f>_xlfn.IFNA(IF($E9="Robot",VLOOKUP(AE9,[1]Weapon!$B$1:$G$300,6,FALSE)/2,VLOOKUP(AE9,[1]Weapon!$B$1:$G$300,6,FALSE)),0)</f>
        <v>0</v>
      </c>
      <c r="AH9" s="6" t="s">
        <v>141</v>
      </c>
      <c r="AI9" s="15">
        <v>-1</v>
      </c>
      <c r="AJ9" s="15">
        <f>_xlfn.IFNA(IF($E9="Robot",VLOOKUP(AH9,[1]Weapon!$B$1:$G$300,6,FALSE)/2,VLOOKUP(AH9,[1]Weapon!$B$1:$G$300,6,FALSE)),0)</f>
        <v>0</v>
      </c>
      <c r="AK9" s="6" t="s">
        <v>141</v>
      </c>
      <c r="AL9" s="15">
        <v>-1</v>
      </c>
      <c r="AM9" s="15">
        <f>_xlfn.IFNA(IF($E9="Robot",VLOOKUP(AK9,[1]Weapon!$B$1:$G$300,6,FALSE)/2,VLOOKUP(AK9,[1]Weapon!$B$1:$G$300,6,FALSE)),0)</f>
        <v>0</v>
      </c>
      <c r="AN9" s="6" t="s">
        <v>141</v>
      </c>
      <c r="AO9" s="15">
        <v>0</v>
      </c>
      <c r="AP9" s="15">
        <f>_xlfn.IFNA(IF($E9="Robot",VLOOKUP(AN9,[1]Weapon!$B$1:$G$300,6,FALSE)/2,VLOOKUP(AN9,[1]Weapon!$B$1:$G$300,6,FALSE)),0)</f>
        <v>0</v>
      </c>
      <c r="AQ9" s="1" t="s">
        <v>141</v>
      </c>
      <c r="AR9" s="1" t="s">
        <v>141</v>
      </c>
      <c r="AS9" s="1">
        <v>414</v>
      </c>
      <c r="AT9" s="1" t="s">
        <v>141</v>
      </c>
    </row>
    <row r="10" spans="1:46" x14ac:dyDescent="0.25">
      <c r="A10" s="1" t="str">
        <f t="shared" si="0"/>
        <v>Elishar</v>
      </c>
      <c r="B10" s="45" t="s">
        <v>91</v>
      </c>
      <c r="C10" s="41" t="s">
        <v>141</v>
      </c>
      <c r="D10" s="50" t="s">
        <v>92</v>
      </c>
      <c r="E10" s="45" t="s">
        <v>26</v>
      </c>
      <c r="F10" s="38">
        <v>105</v>
      </c>
      <c r="G10" s="3">
        <f>24+_xlfn.IFNA(VLOOKUP($P10,[1]Weapon!$A$1:$M$301,12,FALSE),0)+_xlfn.IFNA(VLOOKUP($S10,[1]Weapon!$A$1:$M$301,12,FALSE),0)+_xlfn.IFNA(VLOOKUP($V10,[1]Weapon!$A$1:$M$301,12,FALSE),0)+_xlfn.IFNA(VLOOKUP($Y10,[1]Weapon!$A$1:$M$301,12,FALSE),0)+_xlfn.IFNA(VLOOKUP($AB10,[1]Weapon!$A$1:$M$301,12,FALSE),0)+_xlfn.IFNA(VLOOKUP($AE10,[1]Weapon!$A$1:$M$301,12,FALSE),0)+_xlfn.IFNA(VLOOKUP($AH10,[1]Weapon!$A$1:$M$301,12,FALSE),0)+_xlfn.IFNA(VLOOKUP($AK10,[1]Weapon!$A$1:$M$301,12,FALSE),0)</f>
        <v>105</v>
      </c>
      <c r="H10" s="6">
        <v>0</v>
      </c>
      <c r="I10" s="13">
        <f t="shared" si="9"/>
        <v>0</v>
      </c>
      <c r="J10" s="12">
        <v>6</v>
      </c>
      <c r="K10" s="3">
        <f>J10+4</f>
        <v>10</v>
      </c>
      <c r="L10" s="6">
        <v>5</v>
      </c>
      <c r="M10" s="13">
        <f>L10+4+4</f>
        <v>13</v>
      </c>
      <c r="N10" s="12">
        <v>0</v>
      </c>
      <c r="O10" s="3">
        <f t="shared" si="7"/>
        <v>0</v>
      </c>
      <c r="P10" s="8" t="s">
        <v>105</v>
      </c>
      <c r="Q10" s="19">
        <v>-1</v>
      </c>
      <c r="R10" s="15">
        <f>_xlfn.IFNA(IF($E10="Robot",VLOOKUP(P10,[1]Weapon!$B$1:$G$300,6,FALSE)/2,VLOOKUP(P10,[1]Weapon!$B$1:$G$300,6,FALSE)),0)</f>
        <v>-1</v>
      </c>
      <c r="S10" s="47" t="s">
        <v>110</v>
      </c>
      <c r="T10" s="15">
        <v>21</v>
      </c>
      <c r="U10" s="15">
        <f>_xlfn.IFNA(IF($E10="Robot",VLOOKUP(S10,[1]Weapon!$B$1:$G$300,6,FALSE)/2,VLOOKUP(S10,[1]Weapon!$B$1:$G$300,6,FALSE)),0)</f>
        <v>25</v>
      </c>
      <c r="V10" s="59" t="s">
        <v>156</v>
      </c>
      <c r="W10" s="15">
        <v>25</v>
      </c>
      <c r="X10" s="15">
        <f>_xlfn.IFNA(IF($E10="Robot",VLOOKUP(V10,[1]Weapon!$B$1:$G$300,6,FALSE)/2,VLOOKUP(V10,[1]Weapon!$B$1:$G$300,6,FALSE)),0)</f>
        <v>25</v>
      </c>
      <c r="Y10" s="47" t="s">
        <v>111</v>
      </c>
      <c r="Z10" s="15">
        <v>-1</v>
      </c>
      <c r="AA10" s="15">
        <f>_xlfn.IFNA(IF($E10="Robot",VLOOKUP(Y10,[1]Weapon!$B$1:$G$300,6,FALSE)/2,VLOOKUP(Y10,[1]Weapon!$B$1:$G$300,6,FALSE)),0)</f>
        <v>-1</v>
      </c>
      <c r="AB10" s="47" t="s">
        <v>141</v>
      </c>
      <c r="AC10" s="15">
        <v>-1</v>
      </c>
      <c r="AD10" s="15">
        <f>_xlfn.IFNA(IF($E10="Robot",VLOOKUP(AB10,[1]Weapon!$B$1:$G$300,6,FALSE)/2,VLOOKUP(AB10,[1]Weapon!$B$1:$G$300,6,FALSE)),0)</f>
        <v>0</v>
      </c>
      <c r="AE10" s="47" t="s">
        <v>141</v>
      </c>
      <c r="AF10" s="15">
        <v>-1</v>
      </c>
      <c r="AG10" s="15">
        <f>_xlfn.IFNA(IF($E10="Robot",VLOOKUP(AE10,[1]Weapon!$B$1:$G$300,6,FALSE)/2,VLOOKUP(AE10,[1]Weapon!$B$1:$G$300,6,FALSE)),0)</f>
        <v>0</v>
      </c>
      <c r="AH10" s="6" t="s">
        <v>141</v>
      </c>
      <c r="AI10" s="15">
        <v>-1</v>
      </c>
      <c r="AJ10" s="15">
        <f>_xlfn.IFNA(IF($E10="Robot",VLOOKUP(AH10,[1]Weapon!$B$1:$G$300,6,FALSE)/2,VLOOKUP(AH10,[1]Weapon!$B$1:$G$300,6,FALSE)),0)</f>
        <v>0</v>
      </c>
      <c r="AK10" s="6" t="s">
        <v>141</v>
      </c>
      <c r="AL10" s="15">
        <v>-1</v>
      </c>
      <c r="AM10" s="15">
        <f>_xlfn.IFNA(IF($E10="Robot",VLOOKUP(AK10,[1]Weapon!$B$1:$G$300,6,FALSE)/2,VLOOKUP(AK10,[1]Weapon!$B$1:$G$300,6,FALSE)),0)</f>
        <v>0</v>
      </c>
      <c r="AN10" s="6" t="s">
        <v>141</v>
      </c>
      <c r="AO10" s="15">
        <v>0</v>
      </c>
      <c r="AP10" s="15">
        <f>_xlfn.IFNA(IF($E10="Robot",VLOOKUP(AN10,[1]Weapon!$B$1:$G$300,6,FALSE)/2,VLOOKUP(AN10,[1]Weapon!$B$1:$G$300,6,FALSE)),0)</f>
        <v>0</v>
      </c>
      <c r="AQ10" s="1" t="s">
        <v>141</v>
      </c>
      <c r="AR10" s="58" t="s">
        <v>162</v>
      </c>
      <c r="AS10" s="1">
        <v>166</v>
      </c>
      <c r="AT10" s="1" t="s">
        <v>141</v>
      </c>
    </row>
    <row r="11" spans="1:46" x14ac:dyDescent="0.25">
      <c r="A11" s="1" t="str">
        <f t="shared" si="0"/>
        <v>Tapioca</v>
      </c>
      <c r="B11" s="45" t="s">
        <v>93</v>
      </c>
      <c r="C11" s="41" t="s">
        <v>141</v>
      </c>
      <c r="D11" s="50" t="s">
        <v>94</v>
      </c>
      <c r="E11" s="58" t="s">
        <v>154</v>
      </c>
      <c r="F11" s="38">
        <v>148</v>
      </c>
      <c r="G11" s="3">
        <f>IF(ISBLANK(VLOOKUP($E11,[1]Monster!$A$2:$X$257,10,FALSE)),"",VLOOKUP($E11,[1]Monster!$A$2:$X$257,10,FALSE))</f>
        <v>148</v>
      </c>
      <c r="H11" s="6">
        <f>IF(ISBLANK(VLOOKUP($E11,[1]Monster!$A$2:$X$257,11,FALSE)),"",VLOOKUP($E11,[1]Monster!$A$2:$X$257,11,FALSE))</f>
        <v>15</v>
      </c>
      <c r="I11" s="13">
        <f t="shared" si="9"/>
        <v>15</v>
      </c>
      <c r="J11" s="12">
        <f>IF(ISBLANK(VLOOKUP($E11,[1]Monster!$A$2:$X$257,14,FALSE)),"",VLOOKUP($E11,[1]Monster!$A$2:$X$257,14,FALSE))</f>
        <v>9</v>
      </c>
      <c r="K11" s="3">
        <f>J11+_xlfn.IFNA(VLOOKUP($P11,[1]Weapon!$A$1:$M$301,9,FALSE),0)+_xlfn.IFNA(VLOOKUP($S11,[1]Weapon!$A$1:$M$301,9,FALSE),0)+_xlfn.IFNA(VLOOKUP($V11,[1]Weapon!$A$1:$M$301,9,FALSE),0)+_xlfn.IFNA(VLOOKUP($Y11,[1]Weapon!$A$1:$M$301,9,FALSE),0)+_xlfn.IFNA(VLOOKUP($AB11,[1]Weapon!$A$1:$M$301,9,FALSE),0)+_xlfn.IFNA(VLOOKUP($AE11,[1]Weapon!$A$1:$M$301,9,FALSE),0)+_xlfn.IFNA(VLOOKUP($AH11,[1]Weapon!$A$1:$M$301,9,FALSE),0)+_xlfn.IFNA(VLOOKUP($AK11,[1]Weapon!$A$1:$M$301,9,FALSE),0)</f>
        <v>9</v>
      </c>
      <c r="L11" s="6">
        <f>IF(ISBLANK(VLOOKUP($E11,[1]Monster!$A$2:$X$257,12,FALSE)),"",VLOOKUP($E11,[1]Monster!$A$2:$X$257,12,FALSE))</f>
        <v>12</v>
      </c>
      <c r="M11" s="13">
        <f t="shared" ref="M11" si="10">L11</f>
        <v>12</v>
      </c>
      <c r="N11" s="12">
        <f>IF(ISBLANK(VLOOKUP($E11,[1]Monster!$A$2:$X$257,13,FALSE)),"",VLOOKUP($E11,[1]Monster!$A$2:$X$257,13,FALSE))</f>
        <v>12</v>
      </c>
      <c r="O11" s="3">
        <f t="shared" si="7"/>
        <v>12</v>
      </c>
      <c r="P11" s="6" t="str">
        <f>IF(ISBLANK(VLOOKUP($E11,[1]Monster!$A$2:$X$257,16,FALSE)),"",VLOOKUP($E11,[1]Monster!$A$2:$X$257,16,FALSE))</f>
        <v>Dissolve</v>
      </c>
      <c r="Q11" s="15">
        <v>15</v>
      </c>
      <c r="R11" s="15">
        <f>_xlfn.IFNA(IF($E11="Robot",VLOOKUP(P11,[1]Weapon!$B$1:$G$300,6,FALSE)/2,VLOOKUP(P11,[1]Weapon!$B$1:$G$300,6,FALSE)),0)</f>
        <v>15</v>
      </c>
      <c r="S11" s="6" t="str">
        <f>IF(ISBLANK(VLOOKUP($E11,[1]Monster!$A$2:$X$257,17,FALSE)),"",VLOOKUP($E11,[1]Monster!$A$2:$X$257,17,FALSE))</f>
        <v>Gas</v>
      </c>
      <c r="T11" s="15">
        <v>15</v>
      </c>
      <c r="U11" s="15">
        <f>_xlfn.IFNA(IF($E11="Robot",VLOOKUP(S11,[1]Weapon!$B$1:$G$300,6,FALSE)/2,VLOOKUP(S11,[1]Weapon!$B$1:$G$300,6,FALSE)),0)</f>
        <v>15</v>
      </c>
      <c r="V11" s="6" t="str">
        <f>IF(ISBLANK(VLOOKUP($E11,[1]Monster!$A$2:$X$257,18,FALSE)),"",VLOOKUP($E11,[1]Monster!$A$2:$X$257,18,FALSE))</f>
        <v>X-Thunder</v>
      </c>
      <c r="W11" s="34">
        <v>-1</v>
      </c>
      <c r="X11" s="15">
        <f>_xlfn.IFNA(IF($E11="Robot",VLOOKUP(V11,[1]Weapon!$B$1:$G$300,6,FALSE)/2,VLOOKUP(V11,[1]Weapon!$B$1:$G$300,6,FALSE)),0)</f>
        <v>-2</v>
      </c>
      <c r="Y11" s="56" t="s">
        <v>141</v>
      </c>
      <c r="Z11" s="15">
        <v>-1</v>
      </c>
      <c r="AA11" s="15">
        <f>_xlfn.IFNA(IF($E11="Robot",VLOOKUP(Y11,[1]Weapon!$B$1:$G$300,6,FALSE)/2,VLOOKUP(Y11,[1]Weapon!$B$1:$G$300,6,FALSE)),0)</f>
        <v>0</v>
      </c>
      <c r="AB11" s="6" t="s">
        <v>141</v>
      </c>
      <c r="AC11" s="15">
        <v>-1</v>
      </c>
      <c r="AD11" s="15">
        <f>_xlfn.IFNA(IF($E11="Robot",VLOOKUP(AB11,[1]Weapon!$B$1:$G$300,6,FALSE)/2,VLOOKUP(AB11,[1]Weapon!$B$1:$G$300,6,FALSE)),0)</f>
        <v>0</v>
      </c>
      <c r="AE11" s="6" t="s">
        <v>141</v>
      </c>
      <c r="AF11" s="15">
        <v>-1</v>
      </c>
      <c r="AG11" s="15">
        <f>_xlfn.IFNA(IF($E11="Robot",VLOOKUP(AE11,[1]Weapon!$B$1:$G$300,6,FALSE)/2,VLOOKUP(AE11,[1]Weapon!$B$1:$G$300,6,FALSE)),0)</f>
        <v>0</v>
      </c>
      <c r="AH11" s="6" t="s">
        <v>141</v>
      </c>
      <c r="AI11" s="15">
        <v>-1</v>
      </c>
      <c r="AJ11" s="15">
        <f>_xlfn.IFNA(IF($E11="Robot",VLOOKUP(AH11,[1]Weapon!$B$1:$G$300,6,FALSE)/2,VLOOKUP(AH11,[1]Weapon!$B$1:$G$300,6,FALSE)),0)</f>
        <v>0</v>
      </c>
      <c r="AK11" s="6" t="s">
        <v>141</v>
      </c>
      <c r="AL11" s="15">
        <v>-1</v>
      </c>
      <c r="AM11" s="15">
        <f>_xlfn.IFNA(IF($E11="Robot",VLOOKUP(AK11,[1]Weapon!$B$1:$G$300,6,FALSE)/2,VLOOKUP(AK11,[1]Weapon!$B$1:$G$300,6,FALSE)),0)</f>
        <v>0</v>
      </c>
      <c r="AN11" s="6" t="s">
        <v>141</v>
      </c>
      <c r="AO11" s="15">
        <v>0</v>
      </c>
      <c r="AP11" s="15">
        <f>_xlfn.IFNA(IF($E11="Robot",VLOOKUP(AN11,[1]Weapon!$B$1:$G$300,6,FALSE)/2,VLOOKUP(AN11,[1]Weapon!$B$1:$G$300,6,FALSE)),0)</f>
        <v>0</v>
      </c>
      <c r="AQ11" s="1" t="s">
        <v>141</v>
      </c>
      <c r="AR11" s="1" t="s">
        <v>141</v>
      </c>
      <c r="AS11" s="1">
        <v>301</v>
      </c>
      <c r="AT11" s="1" t="s">
        <v>141</v>
      </c>
    </row>
    <row r="12" spans="1:46" x14ac:dyDescent="0.25">
      <c r="A12" s="1" t="str">
        <f t="shared" si="0"/>
        <v>Terrance</v>
      </c>
      <c r="B12" s="45" t="s">
        <v>99</v>
      </c>
      <c r="C12" s="41" t="s">
        <v>141</v>
      </c>
      <c r="D12" s="50" t="s">
        <v>100</v>
      </c>
      <c r="E12" s="58" t="s">
        <v>153</v>
      </c>
      <c r="F12" s="38">
        <v>126</v>
      </c>
      <c r="G12" s="3">
        <f>IF(ISBLANK(VLOOKUP($E12,[1]Monster!$A$2:$X$257,10,FALSE)),"",VLOOKUP($E12,[1]Monster!$A$2:$X$257,10,FALSE))</f>
        <v>126</v>
      </c>
      <c r="H12" s="6">
        <f>IF(ISBLANK(VLOOKUP($E12,[1]Monster!$A$2:$X$257,11,FALSE)),"",VLOOKUP($E12,[1]Monster!$A$2:$X$257,11,FALSE))</f>
        <v>14</v>
      </c>
      <c r="I12" s="13">
        <f t="shared" ref="I12" si="11">H12</f>
        <v>14</v>
      </c>
      <c r="J12" s="12">
        <f>IF(ISBLANK(VLOOKUP($E12,[1]Monster!$A$2:$X$257,14,FALSE)),"",VLOOKUP($E12,[1]Monster!$A$2:$X$257,14,FALSE))</f>
        <v>13</v>
      </c>
      <c r="K12" s="3">
        <f>J12+_xlfn.IFNA(VLOOKUP($P12,[1]Weapon!$A$1:$M$301,9,FALSE),0)+_xlfn.IFNA(VLOOKUP($S12,[1]Weapon!$A$1:$M$301,9,FALSE),0)+_xlfn.IFNA(VLOOKUP($V12,[1]Weapon!$A$1:$M$301,9,FALSE),0)+_xlfn.IFNA(VLOOKUP($Y12,[1]Weapon!$A$1:$M$301,9,FALSE),0)+_xlfn.IFNA(VLOOKUP($AB12,[1]Weapon!$A$1:$M$301,9,FALSE),0)+_xlfn.IFNA(VLOOKUP($AE12,[1]Weapon!$A$1:$M$301,9,FALSE),0)+_xlfn.IFNA(VLOOKUP($AH12,[1]Weapon!$A$1:$M$301,9,FALSE),0)+_xlfn.IFNA(VLOOKUP($AK12,[1]Weapon!$A$1:$M$301,9,FALSE),0)</f>
        <v>13</v>
      </c>
      <c r="L12" s="6">
        <f>IF(ISBLANK(VLOOKUP($E12,[1]Monster!$A$2:$X$257,12,FALSE)),"",VLOOKUP($E12,[1]Monster!$A$2:$X$257,12,FALSE))</f>
        <v>14</v>
      </c>
      <c r="M12" s="13">
        <f t="shared" ref="M12" si="12">L12</f>
        <v>14</v>
      </c>
      <c r="N12" s="12">
        <f>IF(ISBLANK(VLOOKUP($E12,[1]Monster!$A$2:$X$257,13,FALSE)),"",VLOOKUP($E12,[1]Monster!$A$2:$X$257,13,FALSE))</f>
        <v>10</v>
      </c>
      <c r="O12" s="3">
        <f t="shared" ref="O12" si="13">N12</f>
        <v>10</v>
      </c>
      <c r="P12" s="6" t="str">
        <f>IF(ISBLANK(VLOOKUP($E12,[1]Monster!$A$2:$X$257,16,FALSE)),"",VLOOKUP($E12,[1]Monster!$A$2:$X$257,16,FALSE))</f>
        <v>Kick</v>
      </c>
      <c r="Q12" s="15">
        <v>14</v>
      </c>
      <c r="R12" s="15">
        <f>_xlfn.IFNA(IF($E12="Robot",VLOOKUP(P12,[1]Weapon!$B$1:$G$300,6,FALSE)/2,VLOOKUP(P12,[1]Weapon!$B$1:$G$300,6,FALSE)),0)</f>
        <v>15</v>
      </c>
      <c r="S12" s="6" t="str">
        <f>IF(ISBLANK(VLOOKUP($E12,[1]Monster!$A$2:$X$257,17,FALSE)),"",VLOOKUP($E12,[1]Monster!$A$2:$X$257,17,FALSE))</f>
        <v>Breath</v>
      </c>
      <c r="T12" s="15">
        <v>19</v>
      </c>
      <c r="U12" s="15">
        <f>_xlfn.IFNA(IF($E12="Robot",VLOOKUP(S12,[1]Weapon!$B$1:$G$300,6,FALSE)/2,VLOOKUP(S12,[1]Weapon!$B$1:$G$300,6,FALSE)),0)</f>
        <v>20</v>
      </c>
      <c r="V12" s="6" t="str">
        <f>IF(ISBLANK(VLOOKUP($E12,[1]Monster!$A$2:$X$257,18,FALSE)),"",VLOOKUP($E12,[1]Monster!$A$2:$X$257,18,FALSE))</f>
        <v/>
      </c>
      <c r="W12" s="34">
        <v>-1</v>
      </c>
      <c r="X12" s="15">
        <f>_xlfn.IFNA(IF($E12="Robot",VLOOKUP(V12,[1]Weapon!$B$1:$G$300,6,FALSE)/2,VLOOKUP(V12,[1]Weapon!$B$1:$G$300,6,FALSE)),0)</f>
        <v>0</v>
      </c>
      <c r="Y12" s="56" t="s">
        <v>141</v>
      </c>
      <c r="Z12" s="15">
        <v>-1</v>
      </c>
      <c r="AA12" s="15">
        <f>_xlfn.IFNA(IF($E12="Robot",VLOOKUP(Y12,[1]Weapon!$B$1:$G$300,6,FALSE)/2,VLOOKUP(Y12,[1]Weapon!$B$1:$G$300,6,FALSE)),0)</f>
        <v>0</v>
      </c>
      <c r="AB12" s="6" t="s">
        <v>141</v>
      </c>
      <c r="AC12" s="15">
        <v>-1</v>
      </c>
      <c r="AD12" s="15">
        <f>_xlfn.IFNA(IF($E12="Robot",VLOOKUP(AB12,[1]Weapon!$B$1:$G$300,6,FALSE)/2,VLOOKUP(AB12,[1]Weapon!$B$1:$G$300,6,FALSE)),0)</f>
        <v>0</v>
      </c>
      <c r="AE12" s="6" t="s">
        <v>141</v>
      </c>
      <c r="AF12" s="15">
        <v>-1</v>
      </c>
      <c r="AG12" s="15">
        <f>_xlfn.IFNA(IF($E12="Robot",VLOOKUP(AE12,[1]Weapon!$B$1:$G$300,6,FALSE)/2,VLOOKUP(AE12,[1]Weapon!$B$1:$G$300,6,FALSE)),0)</f>
        <v>0</v>
      </c>
      <c r="AH12" s="6" t="s">
        <v>141</v>
      </c>
      <c r="AI12" s="15">
        <v>-1</v>
      </c>
      <c r="AJ12" s="15">
        <f>_xlfn.IFNA(IF($E12="Robot",VLOOKUP(AH12,[1]Weapon!$B$1:$G$300,6,FALSE)/2,VLOOKUP(AH12,[1]Weapon!$B$1:$G$300,6,FALSE)),0)</f>
        <v>0</v>
      </c>
      <c r="AK12" s="6" t="s">
        <v>141</v>
      </c>
      <c r="AL12" s="15">
        <v>-1</v>
      </c>
      <c r="AM12" s="15">
        <f>_xlfn.IFNA(IF($E12="Robot",VLOOKUP(AK12,[1]Weapon!$B$1:$G$300,6,FALSE)/2,VLOOKUP(AK12,[1]Weapon!$B$1:$G$300,6,FALSE)),0)</f>
        <v>0</v>
      </c>
      <c r="AN12" s="6" t="s">
        <v>141</v>
      </c>
      <c r="AO12" s="15">
        <v>0</v>
      </c>
      <c r="AP12" s="15">
        <f>_xlfn.IFNA(IF($E12="Robot",VLOOKUP(AN12,[1]Weapon!$B$1:$G$300,6,FALSE)/2,VLOOKUP(AN12,[1]Weapon!$B$1:$G$300,6,FALSE)),0)</f>
        <v>0</v>
      </c>
      <c r="AQ12" s="1" t="s">
        <v>141</v>
      </c>
      <c r="AR12" s="1" t="s">
        <v>141</v>
      </c>
      <c r="AS12" s="1">
        <v>210</v>
      </c>
      <c r="AT12" s="1" t="s">
        <v>141</v>
      </c>
    </row>
    <row r="13" spans="1:46" x14ac:dyDescent="0.25">
      <c r="A13" s="1" t="str">
        <f t="shared" si="0"/>
        <v>Tsumetai</v>
      </c>
      <c r="B13" s="45" t="s">
        <v>95</v>
      </c>
      <c r="C13" s="41" t="s">
        <v>141</v>
      </c>
      <c r="D13" s="50" t="s">
        <v>96</v>
      </c>
      <c r="E13" s="45" t="s">
        <v>63</v>
      </c>
      <c r="F13" s="38">
        <v>99</v>
      </c>
      <c r="G13" s="3">
        <v>99</v>
      </c>
      <c r="H13" s="6">
        <v>4</v>
      </c>
      <c r="I13" s="13">
        <f t="shared" si="9"/>
        <v>4</v>
      </c>
      <c r="J13" s="12">
        <v>0</v>
      </c>
      <c r="K13" s="3">
        <f>J13+_xlfn.IFNA(VLOOKUP($P13,[1]Weapon!$A$1:$M$301,9,FALSE),0)+_xlfn.IFNA(VLOOKUP($S13,[1]Weapon!$A$1:$M$301,9,FALSE),0)+_xlfn.IFNA(VLOOKUP($V13,[1]Weapon!$A$1:$M$301,9,FALSE),0)+_xlfn.IFNA(VLOOKUP($Y13,[1]Weapon!$A$1:$M$301,9,FALSE),0)+_xlfn.IFNA(VLOOKUP($AB13,[1]Weapon!$A$1:$M$301,9,FALSE),0)+_xlfn.IFNA(VLOOKUP($AE13,[1]Weapon!$A$1:$M$301,9,FALSE),0)+_xlfn.IFNA(VLOOKUP($AH13,[1]Weapon!$A$1:$M$301,9,FALSE),0)+_xlfn.IFNA(VLOOKUP($AK13,[1]Weapon!$A$1:$M$301,9,FALSE),0)</f>
        <v>11</v>
      </c>
      <c r="L13" s="6">
        <v>13</v>
      </c>
      <c r="M13" s="13">
        <f t="shared" si="8"/>
        <v>13</v>
      </c>
      <c r="N13" s="12">
        <v>8</v>
      </c>
      <c r="O13" s="3">
        <f t="shared" si="7"/>
        <v>8</v>
      </c>
      <c r="P13" s="47" t="s">
        <v>130</v>
      </c>
      <c r="Q13" s="21">
        <v>13</v>
      </c>
      <c r="R13" s="15">
        <f>_xlfn.IFNA(IF($E13="Robot",VLOOKUP(P13,[1]Weapon!$B$1:$G$300,6,FALSE)/2,VLOOKUP(P13,[1]Weapon!$B$1:$G$300,6,FALSE)),0)</f>
        <v>15</v>
      </c>
      <c r="S13" s="47" t="s">
        <v>131</v>
      </c>
      <c r="T13" s="21">
        <v>-1</v>
      </c>
      <c r="U13" s="15">
        <f>_xlfn.IFNA(IF($E13="Robot",VLOOKUP(S13,[1]Weapon!$B$1:$G$300,6,FALSE)/2,VLOOKUP(S13,[1]Weapon!$B$1:$G$300,6,FALSE)),0)</f>
        <v>-2</v>
      </c>
      <c r="V13" s="47" t="s">
        <v>133</v>
      </c>
      <c r="W13" s="25">
        <v>15</v>
      </c>
      <c r="X13" s="15">
        <f>_xlfn.IFNA(IF($E13="Robot",VLOOKUP(V13,[1]Weapon!$B$1:$G$300,6,FALSE)/2,VLOOKUP(V13,[1]Weapon!$B$1:$G$300,6,FALSE)),0)</f>
        <v>15</v>
      </c>
      <c r="Y13" s="10" t="s">
        <v>141</v>
      </c>
      <c r="Z13" s="25">
        <v>-1</v>
      </c>
      <c r="AA13" s="15">
        <f>_xlfn.IFNA(IF($E13="Robot",VLOOKUP(Y13,[1]Weapon!$B$1:$G$300,6,FALSE)/2,VLOOKUP(Y13,[1]Weapon!$B$1:$G$300,6,FALSE)),0)</f>
        <v>0</v>
      </c>
      <c r="AB13" s="47" t="s">
        <v>110</v>
      </c>
      <c r="AC13" s="15">
        <v>44</v>
      </c>
      <c r="AD13" s="15">
        <f>_xlfn.IFNA(IF($E13="Robot",VLOOKUP(AB13,[1]Weapon!$B$1:$G$300,6,FALSE)/2,VLOOKUP(AB13,[1]Weapon!$B$1:$G$300,6,FALSE)),0)</f>
        <v>50</v>
      </c>
      <c r="AE13" s="59" t="s">
        <v>117</v>
      </c>
      <c r="AF13" s="15">
        <v>-1</v>
      </c>
      <c r="AG13" s="15">
        <f>_xlfn.IFNA(IF($E13="Robot",VLOOKUP(AE13,[1]Weapon!$B$1:$G$300,6,FALSE)/2,VLOOKUP(AE13,[1]Weapon!$B$1:$G$300,6,FALSE)),0)</f>
        <v>-2</v>
      </c>
      <c r="AH13" s="47" t="s">
        <v>125</v>
      </c>
      <c r="AI13" s="15">
        <v>-1</v>
      </c>
      <c r="AJ13" s="15">
        <f>_xlfn.IFNA(IF($E13="Robot",VLOOKUP(AH13,[1]Weapon!$B$1:$G$300,6,FALSE)/2,VLOOKUP(AH13,[1]Weapon!$B$1:$G$300,6,FALSE)),0)</f>
        <v>-2</v>
      </c>
      <c r="AK13" s="6" t="s">
        <v>141</v>
      </c>
      <c r="AL13" s="15">
        <v>-1</v>
      </c>
      <c r="AM13" s="15">
        <f>_xlfn.IFNA(IF($E13="Robot",VLOOKUP(AK13,[1]Weapon!$B$1:$G$300,6,FALSE)/2,VLOOKUP(AK13,[1]Weapon!$B$1:$G$300,6,FALSE)),0)</f>
        <v>0</v>
      </c>
      <c r="AN13" s="6" t="s">
        <v>141</v>
      </c>
      <c r="AO13" s="15">
        <v>0</v>
      </c>
      <c r="AP13" s="15">
        <f>_xlfn.IFNA(IF($E13="Robot",VLOOKUP(AN13,[1]Weapon!$B$1:$G$300,6,FALSE)/2,VLOOKUP(AN13,[1]Weapon!$B$1:$G$300,6,FALSE)),0)</f>
        <v>0</v>
      </c>
      <c r="AQ13" s="1" t="s">
        <v>141</v>
      </c>
      <c r="AR13" s="1" t="s">
        <v>141</v>
      </c>
      <c r="AS13" s="1">
        <v>134</v>
      </c>
      <c r="AT13" s="1" t="s">
        <v>141</v>
      </c>
    </row>
    <row r="14" spans="1:46" x14ac:dyDescent="0.25">
      <c r="A14" s="1" t="str">
        <f t="shared" si="0"/>
        <v>Phil</v>
      </c>
      <c r="B14" s="45" t="s">
        <v>97</v>
      </c>
      <c r="C14" s="41" t="s">
        <v>141</v>
      </c>
      <c r="D14" s="50" t="s">
        <v>98</v>
      </c>
      <c r="E14" s="46" t="s">
        <v>63</v>
      </c>
      <c r="F14" s="5">
        <v>107</v>
      </c>
      <c r="G14" s="3">
        <v>107</v>
      </c>
      <c r="H14" s="6">
        <v>10</v>
      </c>
      <c r="I14" s="13">
        <f>H14+5</f>
        <v>15</v>
      </c>
      <c r="J14" s="12">
        <v>1</v>
      </c>
      <c r="K14" s="3">
        <f>J14+_xlfn.IFNA(VLOOKUP($P14,[1]Weapon!$A$1:$M$301,9,FALSE),0)+_xlfn.IFNA(VLOOKUP($S14,[1]Weapon!$A$1:$M$301,9,FALSE),0)+_xlfn.IFNA(VLOOKUP($V14,[1]Weapon!$A$1:$M$301,9,FALSE),0)+_xlfn.IFNA(VLOOKUP($Y14,[1]Weapon!$A$1:$M$301,9,FALSE),0)+_xlfn.IFNA(VLOOKUP($AB14,[1]Weapon!$A$1:$M$301,9,FALSE),0)+_xlfn.IFNA(VLOOKUP($AE14,[1]Weapon!$A$1:$M$301,9,FALSE),0)+_xlfn.IFNA(VLOOKUP($AH14,[1]Weapon!$A$1:$M$301,9,FALSE),0)+_xlfn.IFNA(VLOOKUP($AK14,[1]Weapon!$A$1:$M$301,9,FALSE),0)</f>
        <v>10</v>
      </c>
      <c r="L14" s="6">
        <v>7</v>
      </c>
      <c r="M14" s="13">
        <f t="shared" si="8"/>
        <v>7</v>
      </c>
      <c r="N14" s="12">
        <v>7</v>
      </c>
      <c r="O14" s="3">
        <f t="shared" si="7"/>
        <v>7</v>
      </c>
      <c r="P14" s="47" t="s">
        <v>126</v>
      </c>
      <c r="Q14" s="15">
        <v>13</v>
      </c>
      <c r="R14" s="15">
        <f>_xlfn.IFNA(IF($E14="Robot",VLOOKUP(P14,[1]Weapon!$B$1:$G$300,6,FALSE)/2,VLOOKUP(P14,[1]Weapon!$B$1:$G$300,6,FALSE)),0)</f>
        <v>15</v>
      </c>
      <c r="S14" s="47" t="s">
        <v>132</v>
      </c>
      <c r="T14" s="15">
        <v>-1</v>
      </c>
      <c r="U14" s="15">
        <f>_xlfn.IFNA(IF($E14="Robot",VLOOKUP(S14,[1]Weapon!$B$1:$G$300,6,FALSE)/2,VLOOKUP(S14,[1]Weapon!$B$1:$G$300,6,FALSE)),0)</f>
        <v>-2</v>
      </c>
      <c r="V14" s="47" t="s">
        <v>134</v>
      </c>
      <c r="W14" s="15">
        <v>30</v>
      </c>
      <c r="X14" s="15">
        <f>_xlfn.IFNA(IF($E14="Robot",VLOOKUP(V14,[1]Weapon!$B$1:$G$300,6,FALSE)/2,VLOOKUP(V14,[1]Weapon!$B$1:$G$300,6,FALSE)),0)</f>
        <v>30</v>
      </c>
      <c r="Y14" s="57" t="s">
        <v>131</v>
      </c>
      <c r="Z14" s="15">
        <v>-1</v>
      </c>
      <c r="AA14" s="15">
        <f>_xlfn.IFNA(IF($E14="Robot",VLOOKUP(Y14,[1]Weapon!$B$1:$G$300,6,FALSE)/2,VLOOKUP(Y14,[1]Weapon!$B$1:$G$300,6,FALSE)),0)</f>
        <v>-2</v>
      </c>
      <c r="AB14" s="47" t="s">
        <v>43</v>
      </c>
      <c r="AC14" s="15">
        <v>46</v>
      </c>
      <c r="AD14" s="15">
        <f>_xlfn.IFNA(IF($E14="Robot",VLOOKUP(AB14,[1]Weapon!$B$1:$G$300,6,FALSE)/2,VLOOKUP(AB14,[1]Weapon!$B$1:$G$300,6,FALSE)),0)</f>
        <v>50</v>
      </c>
      <c r="AE14" s="47" t="s">
        <v>116</v>
      </c>
      <c r="AF14" s="15">
        <v>-1</v>
      </c>
      <c r="AG14" s="15">
        <f>_xlfn.IFNA(IF($E14="Robot",VLOOKUP(AE14,[1]Weapon!$B$1:$G$300,6,FALSE)/2,VLOOKUP(AE14,[1]Weapon!$B$1:$G$300,6,FALSE)),0)</f>
        <v>-2</v>
      </c>
      <c r="AH14" s="47" t="s">
        <v>125</v>
      </c>
      <c r="AI14" s="15">
        <v>-1</v>
      </c>
      <c r="AJ14" s="15">
        <f>_xlfn.IFNA(IF($E14="Robot",VLOOKUP(AH14,[1]Weapon!$B$1:$G$300,6,FALSE)/2,VLOOKUP(AH14,[1]Weapon!$B$1:$G$300,6,FALSE)),0)</f>
        <v>-2</v>
      </c>
      <c r="AK14" s="59" t="s">
        <v>161</v>
      </c>
      <c r="AL14" s="15">
        <v>-1</v>
      </c>
      <c r="AM14" s="15">
        <f>_xlfn.IFNA(IF($E14="Robot",VLOOKUP(AK14,[1]Weapon!$B$1:$G$300,6,FALSE)/2,VLOOKUP(AK14,[1]Weapon!$B$1:$G$300,6,FALSE)),0)</f>
        <v>-2</v>
      </c>
      <c r="AN14" s="6" t="s">
        <v>141</v>
      </c>
      <c r="AO14" s="15">
        <v>0</v>
      </c>
      <c r="AP14" s="15">
        <f>_xlfn.IFNA(IF($E14="Robot",VLOOKUP(AN14,[1]Weapon!$B$1:$G$300,6,FALSE)/2,VLOOKUP(AN14,[1]Weapon!$B$1:$G$300,6,FALSE)),0)</f>
        <v>0</v>
      </c>
      <c r="AQ14" s="1" t="s">
        <v>141</v>
      </c>
      <c r="AR14" s="1" t="s">
        <v>141</v>
      </c>
      <c r="AS14" s="1">
        <v>227</v>
      </c>
      <c r="AT14" s="1" t="s">
        <v>141</v>
      </c>
    </row>
    <row r="15" spans="1:46" x14ac:dyDescent="0.25">
      <c r="A15" s="1" t="str">
        <f t="shared" si="0"/>
        <v>BYTE</v>
      </c>
      <c r="B15" s="46" t="s">
        <v>101</v>
      </c>
      <c r="C15" s="41" t="s">
        <v>141</v>
      </c>
      <c r="D15" s="51" t="s">
        <v>102</v>
      </c>
      <c r="E15" s="46" t="s">
        <v>26</v>
      </c>
      <c r="F15" s="11">
        <v>114</v>
      </c>
      <c r="G15" s="3">
        <f>24+_xlfn.IFNA(VLOOKUP($P15,[1]Weapon!$A$1:$M$301,12,FALSE),0)+_xlfn.IFNA(VLOOKUP($S15,[1]Weapon!$A$1:$M$301,12,FALSE),0)+_xlfn.IFNA(VLOOKUP($V15,[1]Weapon!$A$1:$M$301,12,FALSE),0)+_xlfn.IFNA(VLOOKUP($Y15,[1]Weapon!$A$1:$M$301,12,FALSE),0)+_xlfn.IFNA(VLOOKUP($AB15,[1]Weapon!$A$1:$M$301,12,FALSE),0)+_xlfn.IFNA(VLOOKUP($AE15,[1]Weapon!$A$1:$M$301,12,FALSE),0)+_xlfn.IFNA(VLOOKUP($AH15,[1]Weapon!$A$1:$M$301,12,FALSE),0)+_xlfn.IFNA(VLOOKUP($AK15,[1]Weapon!$A$1:$M$301,12,FALSE),0)</f>
        <v>114</v>
      </c>
      <c r="H15" s="6">
        <v>0</v>
      </c>
      <c r="I15" s="13">
        <f>H15+10+4</f>
        <v>14</v>
      </c>
      <c r="J15" s="12">
        <v>6</v>
      </c>
      <c r="K15" s="3">
        <f>J15+2</f>
        <v>8</v>
      </c>
      <c r="L15" s="6">
        <v>5</v>
      </c>
      <c r="M15" s="13">
        <f>L15+5</f>
        <v>10</v>
      </c>
      <c r="N15" s="12">
        <v>0</v>
      </c>
      <c r="O15" s="3">
        <f t="shared" si="7"/>
        <v>0</v>
      </c>
      <c r="P15" s="47" t="s">
        <v>105</v>
      </c>
      <c r="Q15" s="15">
        <v>-1</v>
      </c>
      <c r="R15" s="15">
        <f>_xlfn.IFNA(IF($E15="Robot",VLOOKUP(P15,[1]Weapon!$B$1:$G$300,6,FALSE)/2,VLOOKUP(P15,[1]Weapon!$B$1:$G$300,6,FALSE)),0)</f>
        <v>-1</v>
      </c>
      <c r="S15" s="47" t="s">
        <v>104</v>
      </c>
      <c r="T15" s="15">
        <v>8</v>
      </c>
      <c r="U15" s="15">
        <f>_xlfn.IFNA(IF($E15="Robot",VLOOKUP(S15,[1]Weapon!$B$1:$G$300,6,FALSE)/2,VLOOKUP(S15,[1]Weapon!$B$1:$G$300,6,FALSE)),0)</f>
        <v>15</v>
      </c>
      <c r="V15" s="47" t="s">
        <v>106</v>
      </c>
      <c r="W15" s="15">
        <v>-1</v>
      </c>
      <c r="X15" s="15">
        <f>_xlfn.IFNA(IF($E15="Robot",VLOOKUP(V15,[1]Weapon!$B$1:$G$300,6,FALSE)/2,VLOOKUP(V15,[1]Weapon!$B$1:$G$300,6,FALSE)),0)</f>
        <v>-1</v>
      </c>
      <c r="Y15" s="59" t="s">
        <v>43</v>
      </c>
      <c r="Z15" s="15">
        <v>25</v>
      </c>
      <c r="AA15" s="15">
        <f>_xlfn.IFNA(IF($E15="Robot",VLOOKUP(Y15,[1]Weapon!$B$1:$G$300,6,FALSE)/2,VLOOKUP(Y15,[1]Weapon!$B$1:$G$300,6,FALSE)),0)</f>
        <v>25</v>
      </c>
      <c r="AB15" s="47" t="s">
        <v>141</v>
      </c>
      <c r="AC15" s="15">
        <v>-1</v>
      </c>
      <c r="AD15" s="15">
        <f>_xlfn.IFNA(IF($E15="Robot",VLOOKUP(AB15,[1]Weapon!$B$1:$G$300,6,FALSE)/2,VLOOKUP(AB15,[1]Weapon!$B$1:$G$300,6,FALSE)),0)</f>
        <v>0</v>
      </c>
      <c r="AE15" s="47" t="s">
        <v>141</v>
      </c>
      <c r="AF15" s="15">
        <v>-1</v>
      </c>
      <c r="AG15" s="15">
        <f>_xlfn.IFNA(IF($E15="Robot",VLOOKUP(AE15,[1]Weapon!$B$1:$G$300,6,FALSE)/2,VLOOKUP(AE15,[1]Weapon!$B$1:$G$300,6,FALSE)),0)</f>
        <v>0</v>
      </c>
      <c r="AH15" s="6" t="s">
        <v>141</v>
      </c>
      <c r="AI15" s="15">
        <v>-1</v>
      </c>
      <c r="AJ15" s="15">
        <f>_xlfn.IFNA(IF($E15="Robot",VLOOKUP(AH15,[1]Weapon!$B$1:$G$300,6,FALSE)/2,VLOOKUP(AH15,[1]Weapon!$B$1:$G$300,6,FALSE)),0)</f>
        <v>0</v>
      </c>
      <c r="AK15" s="6" t="s">
        <v>141</v>
      </c>
      <c r="AL15" s="15">
        <v>-1</v>
      </c>
      <c r="AM15" s="15">
        <f>_xlfn.IFNA(IF($E15="Robot",VLOOKUP(AK15,[1]Weapon!$B$1:$G$300,6,FALSE)/2,VLOOKUP(AK15,[1]Weapon!$B$1:$G$300,6,FALSE)),0)</f>
        <v>0</v>
      </c>
      <c r="AN15" s="6" t="s">
        <v>141</v>
      </c>
      <c r="AO15" s="15">
        <v>0</v>
      </c>
      <c r="AP15" s="15">
        <f>_xlfn.IFNA(IF($E15="Robot",VLOOKUP(AN15,[1]Weapon!$B$1:$G$300,6,FALSE)/2,VLOOKUP(AN15,[1]Weapon!$B$1:$G$300,6,FALSE)),0)</f>
        <v>0</v>
      </c>
      <c r="AQ15" s="1" t="s">
        <v>141</v>
      </c>
      <c r="AR15" s="1" t="s">
        <v>141</v>
      </c>
      <c r="AS15" s="1">
        <v>134</v>
      </c>
      <c r="AT15" s="1" t="s">
        <v>141</v>
      </c>
    </row>
    <row r="16" spans="1:46" x14ac:dyDescent="0.25">
      <c r="A16" s="1" t="str">
        <f t="shared" si="0"/>
        <v>Ursula</v>
      </c>
      <c r="B16" s="46" t="s">
        <v>136</v>
      </c>
      <c r="C16" s="41" t="s">
        <v>141</v>
      </c>
      <c r="D16" s="52" t="s">
        <v>137</v>
      </c>
      <c r="E16" s="46" t="s">
        <v>62</v>
      </c>
      <c r="F16" s="38">
        <v>110</v>
      </c>
      <c r="G16" s="3">
        <v>110</v>
      </c>
      <c r="H16" s="6">
        <v>5</v>
      </c>
      <c r="I16" s="13">
        <f>H16+5</f>
        <v>10</v>
      </c>
      <c r="J16" s="12">
        <v>0</v>
      </c>
      <c r="K16" s="3">
        <f>J16+_xlfn.IFNA(VLOOKUP($P16,[1]Weapon!$A$1:$M$301,9,FALSE),0)+_xlfn.IFNA(VLOOKUP($S16,[1]Weapon!$A$1:$M$301,9,FALSE),0)+_xlfn.IFNA(VLOOKUP($V16,[1]Weapon!$A$1:$M$301,9,FALSE),0)+_xlfn.IFNA(VLOOKUP($Y16,[1]Weapon!$A$1:$M$301,9,FALSE),0)+_xlfn.IFNA(VLOOKUP($AB16,[1]Weapon!$A$1:$M$301,9,FALSE),0)+_xlfn.IFNA(VLOOKUP($AE16,[1]Weapon!$A$1:$M$301,9,FALSE),0)+_xlfn.IFNA(VLOOKUP($AH16,[1]Weapon!$A$1:$M$301,9,FALSE),0)+_xlfn.IFNA(VLOOKUP($AK16,[1]Weapon!$A$1:$M$301,9,FALSE),0)</f>
        <v>9</v>
      </c>
      <c r="L16" s="6">
        <v>12</v>
      </c>
      <c r="M16" s="13">
        <f t="shared" ref="M16:M17" si="14">L16</f>
        <v>12</v>
      </c>
      <c r="N16" s="12">
        <v>4</v>
      </c>
      <c r="O16" s="3">
        <f t="shared" si="7"/>
        <v>4</v>
      </c>
      <c r="P16" s="47" t="s">
        <v>110</v>
      </c>
      <c r="Q16" s="15">
        <v>48</v>
      </c>
      <c r="R16" s="15">
        <f>_xlfn.IFNA(IF($E16="Robot",VLOOKUP(P16,[1]Weapon!$B$1:$G$300,6,FALSE)/2,VLOOKUP(P16,[1]Weapon!$B$1:$G$300,6,FALSE)),0)</f>
        <v>50</v>
      </c>
      <c r="S16" s="47" t="s">
        <v>138</v>
      </c>
      <c r="T16" s="15">
        <v>9</v>
      </c>
      <c r="U16" s="15">
        <f>_xlfn.IFNA(IF($E16="Robot",VLOOKUP(S16,[1]Weapon!$B$1:$G$300,6,FALSE)/2,VLOOKUP(S16,[1]Weapon!$B$1:$G$300,6,FALSE)),0)</f>
        <v>30</v>
      </c>
      <c r="V16" s="47" t="s">
        <v>125</v>
      </c>
      <c r="W16" s="15">
        <v>-1</v>
      </c>
      <c r="X16" s="15">
        <f>_xlfn.IFNA(IF($E16="Robot",VLOOKUP(V16,[1]Weapon!$B$1:$G$300,6,FALSE)/2,VLOOKUP(V16,[1]Weapon!$B$1:$G$300,6,FALSE)),0)</f>
        <v>-2</v>
      </c>
      <c r="Y16" s="47" t="s">
        <v>116</v>
      </c>
      <c r="Z16" s="15">
        <v>-1</v>
      </c>
      <c r="AA16" s="15">
        <f>_xlfn.IFNA(IF($E16="Robot",VLOOKUP(Y16,[1]Weapon!$B$1:$G$300,6,FALSE)/2,VLOOKUP(Y16,[1]Weapon!$B$1:$G$300,6,FALSE)),0)</f>
        <v>-2</v>
      </c>
      <c r="AB16" s="59" t="s">
        <v>161</v>
      </c>
      <c r="AC16" s="15">
        <v>-1</v>
      </c>
      <c r="AD16" s="15">
        <f>_xlfn.IFNA(IF($E16="Robot",VLOOKUP(AB16,[1]Weapon!$B$1:$G$300,6,FALSE)/2,VLOOKUP(AB16,[1]Weapon!$B$1:$G$300,6,FALSE)),0)</f>
        <v>-2</v>
      </c>
      <c r="AE16" s="6" t="s">
        <v>141</v>
      </c>
      <c r="AF16" s="15">
        <v>-1</v>
      </c>
      <c r="AG16" s="15">
        <f>_xlfn.IFNA(IF($E16="Robot",VLOOKUP(AE16,[1]Weapon!$B$1:$G$300,6,FALSE)/2,VLOOKUP(AE16,[1]Weapon!$B$1:$G$300,6,FALSE)),0)</f>
        <v>0</v>
      </c>
      <c r="AH16" s="6" t="s">
        <v>141</v>
      </c>
      <c r="AI16" s="15">
        <v>-1</v>
      </c>
      <c r="AJ16" s="15">
        <f>_xlfn.IFNA(IF($E16="Robot",VLOOKUP(AH16,[1]Weapon!$B$1:$G$300,6,FALSE)/2,VLOOKUP(AH16,[1]Weapon!$B$1:$G$300,6,FALSE)),0)</f>
        <v>0</v>
      </c>
      <c r="AK16" s="6" t="s">
        <v>141</v>
      </c>
      <c r="AL16" s="15">
        <v>-1</v>
      </c>
      <c r="AM16" s="15">
        <f>_xlfn.IFNA(IF($E16="Robot",VLOOKUP(AK16,[1]Weapon!$B$1:$G$300,6,FALSE)/2,VLOOKUP(AK16,[1]Weapon!$B$1:$G$300,6,FALSE)),0)</f>
        <v>0</v>
      </c>
      <c r="AN16" s="6" t="s">
        <v>141</v>
      </c>
      <c r="AO16" s="15">
        <v>0</v>
      </c>
      <c r="AP16" s="15">
        <f>_xlfn.IFNA(IF($E16="Robot",VLOOKUP(AN16,[1]Weapon!$B$1:$G$300,6,FALSE)/2,VLOOKUP(AN16,[1]Weapon!$B$1:$G$300,6,FALSE)),0)</f>
        <v>0</v>
      </c>
      <c r="AQ16" s="1" t="s">
        <v>141</v>
      </c>
      <c r="AR16" s="58" t="s">
        <v>162</v>
      </c>
      <c r="AS16" s="1">
        <v>368</v>
      </c>
      <c r="AT16" s="1" t="s">
        <v>141</v>
      </c>
    </row>
    <row r="17" spans="1:46" x14ac:dyDescent="0.25">
      <c r="A17" s="1" t="str">
        <f t="shared" si="0"/>
        <v>Squard</v>
      </c>
      <c r="B17" s="46" t="s">
        <v>140</v>
      </c>
      <c r="C17" s="49" t="s">
        <v>141</v>
      </c>
      <c r="D17" s="51" t="s">
        <v>139</v>
      </c>
      <c r="E17" s="58" t="s">
        <v>155</v>
      </c>
      <c r="F17" s="38">
        <v>115</v>
      </c>
      <c r="G17" s="3">
        <f>IF(ISBLANK(VLOOKUP($E17,[1]Monster!$A$2:$X$257,10,FALSE)),"",VLOOKUP($E17,[1]Monster!$A$2:$X$257,10,FALSE))</f>
        <v>115</v>
      </c>
      <c r="H17" s="6">
        <f>IF(ISBLANK(VLOOKUP($E17,[1]Monster!$A$2:$X$257,11,FALSE)),"",VLOOKUP($E17,[1]Monster!$A$2:$X$257,11,FALSE))</f>
        <v>10</v>
      </c>
      <c r="I17" s="13">
        <f t="shared" ref="I17" si="15">H17</f>
        <v>10</v>
      </c>
      <c r="J17" s="12">
        <f>IF(ISBLANK(VLOOKUP($E17,[1]Monster!$A$2:$X$257,14,FALSE)),"",VLOOKUP($E17,[1]Monster!$A$2:$X$257,14,FALSE))</f>
        <v>17</v>
      </c>
      <c r="K17" s="3">
        <f>J17+_xlfn.IFNA(VLOOKUP($P17,[1]Weapon!$A$1:$M$301,9,FALSE),0)+_xlfn.IFNA(VLOOKUP($S17,[1]Weapon!$A$1:$M$301,9,FALSE),0)+_xlfn.IFNA(VLOOKUP($V17,[1]Weapon!$A$1:$M$301,9,FALSE),0)+_xlfn.IFNA(VLOOKUP($Y17,[1]Weapon!$A$1:$M$301,9,FALSE),0)+_xlfn.IFNA(VLOOKUP($AB17,[1]Weapon!$A$1:$M$301,9,FALSE),0)+_xlfn.IFNA(VLOOKUP($AE17,[1]Weapon!$A$1:$M$301,9,FALSE),0)+_xlfn.IFNA(VLOOKUP($AH17,[1]Weapon!$A$1:$M$301,9,FALSE),0)+_xlfn.IFNA(VLOOKUP($AK17,[1]Weapon!$A$1:$M$301,9,FALSE),0)</f>
        <v>17</v>
      </c>
      <c r="L17" s="6">
        <f>IF(ISBLANK(VLOOKUP($E17,[1]Monster!$A$2:$X$257,12,FALSE)),"",VLOOKUP($E17,[1]Monster!$A$2:$X$257,12,FALSE))</f>
        <v>12</v>
      </c>
      <c r="M17" s="13">
        <f t="shared" si="14"/>
        <v>12</v>
      </c>
      <c r="N17" s="12">
        <f>IF(ISBLANK(VLOOKUP($E17,[1]Monster!$A$2:$X$257,13,FALSE)),"",VLOOKUP($E17,[1]Monster!$A$2:$X$257,13,FALSE))</f>
        <v>13</v>
      </c>
      <c r="O17" s="3">
        <f t="shared" ref="O17" si="16">N17</f>
        <v>13</v>
      </c>
      <c r="P17" s="6" t="str">
        <f>IF(ISBLANK(VLOOKUP($E17,[1]Monster!$A$2:$X$257,16,FALSE)),"",VLOOKUP($E17,[1]Monster!$A$2:$X$257,16,FALSE))</f>
        <v>W-Pincer</v>
      </c>
      <c r="Q17" s="15">
        <v>15</v>
      </c>
      <c r="R17" s="15">
        <f>_xlfn.IFNA(IF($E17="Robot",VLOOKUP(P17,[1]Weapon!$B$1:$G$300,6,FALSE)/2,VLOOKUP(P17,[1]Weapon!$B$1:$G$300,6,FALSE)),0)</f>
        <v>15</v>
      </c>
      <c r="S17" s="6" t="str">
        <f>IF(ISBLANK(VLOOKUP($E17,[1]Monster!$A$2:$X$257,17,FALSE)),"",VLOOKUP($E17,[1]Monster!$A$2:$X$257,17,FALSE))</f>
        <v>Shell</v>
      </c>
      <c r="T17" s="15">
        <v>30</v>
      </c>
      <c r="U17" s="15">
        <f>_xlfn.IFNA(IF($E17="Robot",VLOOKUP(S17,[1]Weapon!$B$1:$G$300,6,FALSE)/2,VLOOKUP(S17,[1]Weapon!$B$1:$G$300,6,FALSE)),0)</f>
        <v>30</v>
      </c>
      <c r="V17" s="6" t="str">
        <f>IF(ISBLANK(VLOOKUP($E17,[1]Monster!$A$2:$X$257,18,FALSE)),"",VLOOKUP($E17,[1]Monster!$A$2:$X$257,18,FALSE))</f>
        <v>X-Thunder</v>
      </c>
      <c r="W17" s="34">
        <v>-1</v>
      </c>
      <c r="X17" s="15">
        <f>_xlfn.IFNA(IF($E17="Robot",VLOOKUP(V17,[1]Weapon!$B$1:$G$300,6,FALSE)/2,VLOOKUP(V17,[1]Weapon!$B$1:$G$300,6,FALSE)),0)</f>
        <v>-2</v>
      </c>
      <c r="Y17" s="56" t="s">
        <v>141</v>
      </c>
      <c r="Z17" s="15">
        <v>-1</v>
      </c>
      <c r="AA17" s="15">
        <f>_xlfn.IFNA(IF($E17="Robot",VLOOKUP(Y17,[1]Weapon!$B$1:$G$300,6,FALSE)/2,VLOOKUP(Y17,[1]Weapon!$B$1:$G$300,6,FALSE)),0)</f>
        <v>0</v>
      </c>
      <c r="AB17" s="6" t="s">
        <v>141</v>
      </c>
      <c r="AC17" s="15">
        <v>-1</v>
      </c>
      <c r="AD17" s="15">
        <f>_xlfn.IFNA(IF($E17="Robot",VLOOKUP(AB17,[1]Weapon!$B$1:$G$300,6,FALSE)/2,VLOOKUP(AB17,[1]Weapon!$B$1:$G$300,6,FALSE)),0)</f>
        <v>0</v>
      </c>
      <c r="AE17" s="6" t="s">
        <v>141</v>
      </c>
      <c r="AF17" s="15">
        <v>-1</v>
      </c>
      <c r="AG17" s="15">
        <f>_xlfn.IFNA(IF($E17="Robot",VLOOKUP(AE17,[1]Weapon!$B$1:$G$300,6,FALSE)/2,VLOOKUP(AE17,[1]Weapon!$B$1:$G$300,6,FALSE)),0)</f>
        <v>0</v>
      </c>
      <c r="AH17" s="6" t="s">
        <v>141</v>
      </c>
      <c r="AI17" s="15">
        <v>-1</v>
      </c>
      <c r="AJ17" s="15">
        <f>_xlfn.IFNA(IF($E17="Robot",VLOOKUP(AH17,[1]Weapon!$B$1:$G$300,6,FALSE)/2,VLOOKUP(AH17,[1]Weapon!$B$1:$G$300,6,FALSE)),0)</f>
        <v>0</v>
      </c>
      <c r="AK17" s="6" t="s">
        <v>141</v>
      </c>
      <c r="AL17" s="15">
        <v>-1</v>
      </c>
      <c r="AM17" s="15">
        <f>_xlfn.IFNA(IF($E17="Robot",VLOOKUP(AK17,[1]Weapon!$B$1:$G$300,6,FALSE)/2,VLOOKUP(AK17,[1]Weapon!$B$1:$G$300,6,FALSE)),0)</f>
        <v>0</v>
      </c>
      <c r="AN17" s="6" t="s">
        <v>141</v>
      </c>
      <c r="AO17" s="15">
        <v>0</v>
      </c>
      <c r="AP17" s="15">
        <f>_xlfn.IFNA(IF($E17="Robot",VLOOKUP(AN17,[1]Weapon!$B$1:$G$300,6,FALSE)/2,VLOOKUP(AN17,[1]Weapon!$B$1:$G$300,6,FALSE)),0)</f>
        <v>0</v>
      </c>
      <c r="AQ17" s="1" t="s">
        <v>141</v>
      </c>
      <c r="AR17" s="1" t="s">
        <v>141</v>
      </c>
      <c r="AS17" s="1">
        <v>227</v>
      </c>
      <c r="AT17" s="1" t="s">
        <v>141</v>
      </c>
    </row>
    <row r="18" spans="1:46" x14ac:dyDescent="0.25">
      <c r="A18" s="1">
        <f t="shared" si="0"/>
        <v>0</v>
      </c>
      <c r="B18" s="43"/>
      <c r="E18" s="43"/>
      <c r="I18" s="13">
        <f t="shared" ref="I18" si="17">H18</f>
        <v>0</v>
      </c>
      <c r="K18" s="3">
        <f>J18+_xlfn.IFNA(VLOOKUP(P18,[1]Weapon!$A$1:$M$260,9,FALSE),0)+_xlfn.IFNA(VLOOKUP(S18,[1]Weapon!$A$1:$M$260,9,FALSE),0)+_xlfn.IFNA(VLOOKUP(V18,[1]Weapon!$A$1:$M$260,9,FALSE),0)+_xlfn.IFNA(VLOOKUP(Y18,[1]Weapon!$A$1:$M$260,9,FALSE),0)+_xlfn.IFNA(VLOOKUP(AB18,[1]Weapon!$A$1:$M$260,9,FALSE),0)+_xlfn.IFNA(VLOOKUP(AE18,[1]Weapon!$A$1:$M$260,9,FALSE),0)+_xlfn.IFNA(VLOOKUP(AH18,[1]Weapon!$A$1:$M$260,9,FALSE),0)+_xlfn.IFNA(VLOOKUP(AK18,[1]Weapon!$A$1:$M$260,9,FALSE),0)</f>
        <v>0</v>
      </c>
      <c r="M18" s="13">
        <f t="shared" ref="M18" si="18">L18</f>
        <v>0</v>
      </c>
      <c r="O18" s="3">
        <f t="shared" ref="O18" si="19">N18</f>
        <v>0</v>
      </c>
      <c r="P18" s="44"/>
      <c r="R18" s="15">
        <f>_xlfn.IFNA(IF($E18="Robot",VLOOKUP(P18,[1]Weapon!$B$1:$G$300,6,FALSE)/2,VLOOKUP(P18,[1]Weapon!$B$1:$G$300,6,FALSE)),0)</f>
        <v>0</v>
      </c>
      <c r="S18" s="44"/>
      <c r="U18" s="15">
        <f>_xlfn.IFNA(IF($E18="Robot",VLOOKUP(S18,[1]Weapon!$B$1:$G$300,6,FALSE)/2,VLOOKUP(S18,[1]Weapon!$B$1:$G$300,6,FALSE)),0)</f>
        <v>0</v>
      </c>
      <c r="V18" s="44"/>
      <c r="X18" s="15">
        <f>_xlfn.IFNA(IF($E18="Robot",VLOOKUP(V18,[1]Weapon!$B$1:$G$300,6,FALSE)/2,VLOOKUP(V18,[1]Weapon!$B$1:$G$300,6,FALSE)),0)</f>
        <v>0</v>
      </c>
      <c r="Y18" s="44"/>
      <c r="AA18" s="15">
        <f>_xlfn.IFNA(IF($E18="Robot",VLOOKUP(Y18,[1]Weapon!$B$1:$G$300,6,FALSE)/2,VLOOKUP(Y18,[1]Weapon!$B$1:$G$300,6,FALSE)),0)</f>
        <v>0</v>
      </c>
      <c r="AD18" s="15">
        <f>_xlfn.IFNA(IF($E18="Robot",VLOOKUP(AB18,[1]Weapon!$B$1:$G$300,6,FALSE)/2,VLOOKUP(AB18,[1]Weapon!$B$1:$G$300,6,FALSE)),0)</f>
        <v>0</v>
      </c>
      <c r="AG18" s="15">
        <f>_xlfn.IFNA(IF($E18="Robot",VLOOKUP(AE18,[1]Weapon!$B$1:$G$300,6,FALSE)/2,VLOOKUP(AE18,[1]Weapon!$B$1:$G$300,6,FALSE)),0)</f>
        <v>0</v>
      </c>
      <c r="AH18" s="44"/>
      <c r="AJ18" s="15">
        <f>_xlfn.IFNA(IF($E18="Robot",VLOOKUP(AH18,[1]Weapon!$B$1:$G$300,6,FALSE)/2,VLOOKUP(AH18,[1]Weapon!$B$1:$G$300,6,FALSE)),0)</f>
        <v>0</v>
      </c>
      <c r="AK18" s="44"/>
      <c r="AM18" s="15">
        <f>_xlfn.IFNA(IF($E18="Robot",VLOOKUP(AK18,[1]Weapon!$B$1:$G$300,6,FALSE)/2,VLOOKUP(AK18,[1]Weapon!$B$1:$G$300,6,FALSE)),0)</f>
        <v>0</v>
      </c>
      <c r="AO18" s="15">
        <v>0</v>
      </c>
      <c r="AP18" s="15">
        <f>_xlfn.IFNA(IF($E18="Robot",VLOOKUP(AN18,[1]Weapon!$B$1:$G$300,6,FALSE)/2,VLOOKUP(AN18,[1]Weapon!$B$1:$G$300,6,FALSE)),0)</f>
        <v>0</v>
      </c>
      <c r="AS18" s="1">
        <v>0</v>
      </c>
    </row>
  </sheetData>
  <conditionalFormatting sqref="A1:A1048576">
    <cfRule type="notContainsBlanks" dxfId="5" priority="11">
      <formula>LEN(TRIM(A1))&gt;0</formula>
    </cfRule>
  </conditionalFormatting>
  <conditionalFormatting sqref="R1:R2 U1:U2 X1:X2 AA1:AA2 AD1:AD2 AG1:AG2 AJ1:AJ2 AM1:AM2 AP1:AP2 AP4:AP1048576 AM4:AM10 AJ4:AJ10 AG4:AG10 AD4:AD10 AA4:AA10 X4:X10 U4:U10 R4:R10 R13:R16 U13:U16 X13:X16 AA13:AA16 AD13:AD16 AG13:AG16 AJ13:AJ16 AM13:AM16 AM18:AM1048576 AJ18:AJ1048576 AG18:AG1048576 AD18:AD1048576 AA18:AA1048576 X18:X1048576 U18:U1048576 R18:R1048576">
    <cfRule type="cellIs" dxfId="4" priority="9" operator="lessThan">
      <formula>0</formula>
    </cfRule>
  </conditionalFormatting>
  <conditionalFormatting sqref="R3 U3 X3 AM3 AJ3 AG3 AD3 AA3 AP3">
    <cfRule type="cellIs" dxfId="3" priority="4" operator="lessThan">
      <formula>0</formula>
    </cfRule>
  </conditionalFormatting>
  <conditionalFormatting sqref="AM11 AJ11 AG11 AD11 AA11 X11 U11 R11">
    <cfRule type="cellIs" dxfId="2" priority="3" operator="lessThan">
      <formula>0</formula>
    </cfRule>
  </conditionalFormatting>
  <conditionalFormatting sqref="AM12 AJ12 AG12 AD12 AA12 X12 U12 R12">
    <cfRule type="cellIs" dxfId="1" priority="2" operator="lessThan">
      <formula>0</formula>
    </cfRule>
  </conditionalFormatting>
  <conditionalFormatting sqref="AM17 AJ17 AG17 AD17 AA17 X17 U17 R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4"/>
  <sheetViews>
    <sheetView workbookViewId="0">
      <selection activeCell="E20" sqref="E2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</v>
      </c>
      <c r="B2" t="s">
        <v>17</v>
      </c>
      <c r="C2">
        <v>1</v>
      </c>
      <c r="D2">
        <v>2</v>
      </c>
      <c r="K2" t="s">
        <v>43</v>
      </c>
    </row>
    <row r="3" spans="1:21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1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 xr:uid="{00000000-0002-0000-0100-000000000000}">
      <formula1>$A$2:$A$30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1"/>
  <sheetViews>
    <sheetView workbookViewId="0">
      <selection activeCell="T2" sqref="T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79</v>
      </c>
      <c r="B2" t="s">
        <v>17</v>
      </c>
      <c r="C2">
        <v>1</v>
      </c>
      <c r="D2">
        <v>1</v>
      </c>
      <c r="E2">
        <v>21</v>
      </c>
      <c r="F2">
        <v>116</v>
      </c>
      <c r="G2">
        <v>18</v>
      </c>
      <c r="H2">
        <v>20</v>
      </c>
      <c r="I2">
        <v>21</v>
      </c>
      <c r="J2">
        <v>17</v>
      </c>
      <c r="K2" t="s">
        <v>167</v>
      </c>
      <c r="L2" t="s">
        <v>163</v>
      </c>
      <c r="T2" t="s">
        <v>175</v>
      </c>
      <c r="U2" t="s">
        <v>176</v>
      </c>
    </row>
    <row r="3" spans="1:21" x14ac:dyDescent="0.2">
      <c r="A3" t="s">
        <v>81</v>
      </c>
      <c r="B3" t="s">
        <v>17</v>
      </c>
      <c r="C3">
        <v>1</v>
      </c>
      <c r="D3">
        <v>6</v>
      </c>
      <c r="E3">
        <v>16.64</v>
      </c>
      <c r="F3">
        <v>111</v>
      </c>
      <c r="G3">
        <v>13</v>
      </c>
      <c r="H3">
        <v>16</v>
      </c>
      <c r="I3">
        <v>3</v>
      </c>
      <c r="J3">
        <v>10</v>
      </c>
      <c r="K3" t="s">
        <v>43</v>
      </c>
      <c r="L3" t="s">
        <v>163</v>
      </c>
      <c r="T3" t="s">
        <v>177</v>
      </c>
      <c r="U3" t="s">
        <v>176</v>
      </c>
    </row>
    <row r="4" spans="1:21" x14ac:dyDescent="0.2">
      <c r="A4" t="s">
        <v>163</v>
      </c>
      <c r="B4" t="s">
        <v>18</v>
      </c>
      <c r="C4">
        <v>0</v>
      </c>
      <c r="D4">
        <v>2</v>
      </c>
      <c r="E4">
        <v>15.82</v>
      </c>
      <c r="F4">
        <v>0</v>
      </c>
      <c r="G4">
        <v>14</v>
      </c>
      <c r="H4">
        <v>14</v>
      </c>
      <c r="I4">
        <v>8</v>
      </c>
      <c r="J4">
        <v>13</v>
      </c>
      <c r="K4" t="s">
        <v>172</v>
      </c>
      <c r="L4" t="s">
        <v>146</v>
      </c>
      <c r="N4" t="s">
        <v>147</v>
      </c>
      <c r="O4" t="s">
        <v>147</v>
      </c>
      <c r="P4" t="s">
        <v>147</v>
      </c>
      <c r="Q4" t="s">
        <v>147</v>
      </c>
      <c r="R4" t="s">
        <v>147</v>
      </c>
      <c r="S4" t="s">
        <v>147</v>
      </c>
      <c r="T4" t="s">
        <v>112</v>
      </c>
      <c r="U4" t="s">
        <v>148</v>
      </c>
    </row>
    <row r="5" spans="1:21" x14ac:dyDescent="0.2">
      <c r="A5" t="s">
        <v>99</v>
      </c>
      <c r="B5" t="s">
        <v>17</v>
      </c>
      <c r="C5">
        <v>1</v>
      </c>
      <c r="D5">
        <v>3</v>
      </c>
      <c r="E5">
        <v>15.68</v>
      </c>
      <c r="F5">
        <v>126</v>
      </c>
      <c r="G5">
        <v>14</v>
      </c>
      <c r="H5">
        <v>14</v>
      </c>
      <c r="I5">
        <v>10</v>
      </c>
      <c r="J5">
        <v>13</v>
      </c>
      <c r="K5" t="s">
        <v>172</v>
      </c>
      <c r="L5" t="s">
        <v>164</v>
      </c>
      <c r="T5" t="s">
        <v>178</v>
      </c>
      <c r="U5" t="s">
        <v>179</v>
      </c>
    </row>
    <row r="6" spans="1:21" x14ac:dyDescent="0.2">
      <c r="A6" t="s">
        <v>163</v>
      </c>
      <c r="B6" t="s">
        <v>18</v>
      </c>
      <c r="C6">
        <v>0</v>
      </c>
      <c r="D6">
        <v>1</v>
      </c>
      <c r="E6">
        <v>15.12</v>
      </c>
      <c r="F6">
        <v>0</v>
      </c>
      <c r="G6">
        <v>14</v>
      </c>
      <c r="H6">
        <v>14</v>
      </c>
      <c r="I6">
        <v>8</v>
      </c>
      <c r="J6">
        <v>13</v>
      </c>
      <c r="K6" t="s">
        <v>145</v>
      </c>
      <c r="L6" t="s">
        <v>146</v>
      </c>
      <c r="N6" t="s">
        <v>147</v>
      </c>
      <c r="O6" t="s">
        <v>147</v>
      </c>
      <c r="P6" t="s">
        <v>147</v>
      </c>
      <c r="Q6" t="s">
        <v>147</v>
      </c>
      <c r="R6" t="s">
        <v>147</v>
      </c>
      <c r="S6" t="s">
        <v>147</v>
      </c>
      <c r="T6" t="s">
        <v>112</v>
      </c>
      <c r="U6" t="s">
        <v>148</v>
      </c>
    </row>
    <row r="7" spans="1:21" x14ac:dyDescent="0.2">
      <c r="A7" t="s">
        <v>103</v>
      </c>
      <c r="B7" t="s">
        <v>17</v>
      </c>
      <c r="C7">
        <v>0</v>
      </c>
      <c r="D7">
        <v>4</v>
      </c>
      <c r="E7">
        <v>14.88</v>
      </c>
      <c r="F7">
        <v>0</v>
      </c>
      <c r="G7">
        <v>11</v>
      </c>
      <c r="H7">
        <v>12</v>
      </c>
      <c r="I7">
        <v>9</v>
      </c>
      <c r="J7">
        <v>10</v>
      </c>
      <c r="K7" t="s">
        <v>121</v>
      </c>
      <c r="L7" t="s">
        <v>164</v>
      </c>
      <c r="N7" t="s">
        <v>147</v>
      </c>
      <c r="O7" t="s">
        <v>147</v>
      </c>
      <c r="P7" t="s">
        <v>147</v>
      </c>
      <c r="Q7" t="s">
        <v>147</v>
      </c>
      <c r="R7" t="s">
        <v>147</v>
      </c>
      <c r="S7" t="s">
        <v>147</v>
      </c>
      <c r="T7" t="s">
        <v>121</v>
      </c>
      <c r="U7" t="s">
        <v>171</v>
      </c>
    </row>
    <row r="8" spans="1:21" x14ac:dyDescent="0.2">
      <c r="A8" t="s">
        <v>164</v>
      </c>
      <c r="B8" t="s">
        <v>18</v>
      </c>
      <c r="C8">
        <v>0</v>
      </c>
      <c r="D8">
        <v>1</v>
      </c>
      <c r="E8">
        <v>13.08</v>
      </c>
      <c r="F8">
        <v>0</v>
      </c>
      <c r="G8">
        <v>16</v>
      </c>
      <c r="H8">
        <v>12</v>
      </c>
      <c r="I8">
        <v>13</v>
      </c>
      <c r="J8">
        <v>13</v>
      </c>
      <c r="K8" t="s">
        <v>145</v>
      </c>
      <c r="N8" t="s">
        <v>147</v>
      </c>
      <c r="O8" t="s">
        <v>147</v>
      </c>
      <c r="P8" t="s">
        <v>147</v>
      </c>
      <c r="Q8" t="s">
        <v>147</v>
      </c>
      <c r="R8" t="s">
        <v>147</v>
      </c>
      <c r="S8" t="s">
        <v>147</v>
      </c>
    </row>
    <row r="9" spans="1:21" x14ac:dyDescent="0.2">
      <c r="A9" t="s">
        <v>164</v>
      </c>
      <c r="B9" t="s">
        <v>18</v>
      </c>
      <c r="C9">
        <v>0</v>
      </c>
      <c r="D9">
        <v>2</v>
      </c>
      <c r="E9">
        <v>12.12</v>
      </c>
      <c r="F9">
        <v>0</v>
      </c>
      <c r="G9">
        <v>16</v>
      </c>
      <c r="H9">
        <v>12</v>
      </c>
      <c r="I9">
        <v>13</v>
      </c>
      <c r="J9">
        <v>13</v>
      </c>
      <c r="K9" t="s">
        <v>180</v>
      </c>
      <c r="L9" t="s">
        <v>146</v>
      </c>
      <c r="N9" t="s">
        <v>147</v>
      </c>
      <c r="O9" t="s">
        <v>147</v>
      </c>
      <c r="P9" t="s">
        <v>147</v>
      </c>
      <c r="Q9" t="s">
        <v>147</v>
      </c>
      <c r="R9" t="s">
        <v>147</v>
      </c>
      <c r="S9" t="s">
        <v>147</v>
      </c>
      <c r="T9" t="s">
        <v>181</v>
      </c>
      <c r="U9" t="s">
        <v>176</v>
      </c>
    </row>
    <row r="10" spans="1:21" x14ac:dyDescent="0.2">
      <c r="A10" t="s">
        <v>85</v>
      </c>
      <c r="B10" t="s">
        <v>17</v>
      </c>
      <c r="C10">
        <v>1</v>
      </c>
      <c r="D10">
        <v>5</v>
      </c>
      <c r="E10">
        <v>8.7200000000000006</v>
      </c>
      <c r="F10">
        <v>104</v>
      </c>
      <c r="G10">
        <v>14</v>
      </c>
      <c r="H10">
        <v>8</v>
      </c>
      <c r="I10">
        <v>10</v>
      </c>
      <c r="J10">
        <v>11</v>
      </c>
      <c r="K10" t="s">
        <v>124</v>
      </c>
      <c r="L10" t="s">
        <v>164</v>
      </c>
      <c r="T10" t="s">
        <v>182</v>
      </c>
      <c r="U10" t="s">
        <v>183</v>
      </c>
    </row>
    <row r="11" spans="1:21" x14ac:dyDescent="0.2">
      <c r="A11" t="s">
        <v>89</v>
      </c>
      <c r="B11" t="s">
        <v>17</v>
      </c>
      <c r="C11">
        <v>1</v>
      </c>
      <c r="D11">
        <v>2</v>
      </c>
      <c r="E11">
        <v>-1.1100000000000001</v>
      </c>
      <c r="F11">
        <v>132</v>
      </c>
      <c r="G11">
        <v>6</v>
      </c>
      <c r="H11">
        <v>5</v>
      </c>
      <c r="I11">
        <v>0</v>
      </c>
      <c r="J11">
        <v>12</v>
      </c>
      <c r="K11" t="s">
        <v>112</v>
      </c>
      <c r="L11" t="s">
        <v>163</v>
      </c>
      <c r="T11" t="s">
        <v>112</v>
      </c>
      <c r="U11" t="s">
        <v>148</v>
      </c>
    </row>
  </sheetData>
  <dataValidations count="1">
    <dataValidation type="list" allowBlank="1" showInputMessage="1" showErrorMessage="1" sqref="L2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0"/>
  <sheetViews>
    <sheetView workbookViewId="0">
      <selection activeCell="A2" sqref="A2:U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165</v>
      </c>
      <c r="B2" t="s">
        <v>18</v>
      </c>
      <c r="C2">
        <v>1</v>
      </c>
      <c r="D2">
        <v>1</v>
      </c>
      <c r="E2">
        <v>14.95</v>
      </c>
      <c r="F2">
        <v>8</v>
      </c>
      <c r="G2">
        <v>14</v>
      </c>
      <c r="H2">
        <v>14</v>
      </c>
      <c r="I2">
        <v>8</v>
      </c>
      <c r="J2">
        <v>15</v>
      </c>
      <c r="K2" t="s">
        <v>145</v>
      </c>
      <c r="L2" t="s">
        <v>146</v>
      </c>
      <c r="T2" t="s">
        <v>177</v>
      </c>
      <c r="U2" t="s">
        <v>176</v>
      </c>
    </row>
    <row r="3" spans="1:21" x14ac:dyDescent="0.2">
      <c r="A3" t="s">
        <v>136</v>
      </c>
      <c r="B3" t="s">
        <v>17</v>
      </c>
      <c r="C3">
        <v>1</v>
      </c>
      <c r="D3">
        <v>5</v>
      </c>
      <c r="E3">
        <v>14.52</v>
      </c>
      <c r="F3">
        <v>37</v>
      </c>
      <c r="G3">
        <v>10</v>
      </c>
      <c r="H3">
        <v>12</v>
      </c>
      <c r="I3">
        <v>4</v>
      </c>
      <c r="J3">
        <v>9</v>
      </c>
      <c r="K3" t="s">
        <v>138</v>
      </c>
      <c r="L3" t="s">
        <v>165</v>
      </c>
      <c r="Q3" t="s">
        <v>150</v>
      </c>
    </row>
    <row r="4" spans="1:21" x14ac:dyDescent="0.2">
      <c r="A4" t="s">
        <v>165</v>
      </c>
      <c r="B4" t="s">
        <v>18</v>
      </c>
      <c r="C4">
        <v>1</v>
      </c>
      <c r="D4">
        <v>2</v>
      </c>
      <c r="E4">
        <v>14.3</v>
      </c>
      <c r="F4">
        <v>53</v>
      </c>
      <c r="G4">
        <v>14</v>
      </c>
      <c r="H4">
        <v>14</v>
      </c>
      <c r="I4">
        <v>8</v>
      </c>
      <c r="J4">
        <v>15</v>
      </c>
      <c r="K4" t="s">
        <v>145</v>
      </c>
      <c r="L4" t="s">
        <v>146</v>
      </c>
      <c r="T4" t="s">
        <v>177</v>
      </c>
      <c r="U4" t="s">
        <v>176</v>
      </c>
    </row>
    <row r="5" spans="1:21" x14ac:dyDescent="0.2">
      <c r="A5" t="s">
        <v>153</v>
      </c>
      <c r="B5" t="s">
        <v>18</v>
      </c>
      <c r="C5">
        <v>0</v>
      </c>
      <c r="D5">
        <v>2</v>
      </c>
      <c r="E5">
        <v>14.28</v>
      </c>
      <c r="F5">
        <v>0</v>
      </c>
      <c r="G5">
        <v>14</v>
      </c>
      <c r="H5">
        <v>14</v>
      </c>
      <c r="I5">
        <v>10</v>
      </c>
      <c r="J5">
        <v>13</v>
      </c>
      <c r="K5" t="s">
        <v>145</v>
      </c>
      <c r="L5" t="s">
        <v>146</v>
      </c>
      <c r="N5" t="s">
        <v>147</v>
      </c>
      <c r="O5" t="s">
        <v>147</v>
      </c>
      <c r="P5" t="s">
        <v>147</v>
      </c>
      <c r="Q5" t="s">
        <v>147</v>
      </c>
      <c r="R5" t="s">
        <v>147</v>
      </c>
      <c r="S5" t="s">
        <v>147</v>
      </c>
      <c r="T5" t="s">
        <v>170</v>
      </c>
      <c r="U5" t="s">
        <v>149</v>
      </c>
    </row>
    <row r="6" spans="1:21" x14ac:dyDescent="0.2">
      <c r="A6" t="s">
        <v>153</v>
      </c>
      <c r="B6" t="s">
        <v>18</v>
      </c>
      <c r="C6">
        <v>0</v>
      </c>
      <c r="D6">
        <v>1</v>
      </c>
      <c r="E6">
        <v>14.14</v>
      </c>
      <c r="F6">
        <v>0</v>
      </c>
      <c r="G6">
        <v>14</v>
      </c>
      <c r="H6">
        <v>14</v>
      </c>
      <c r="I6">
        <v>10</v>
      </c>
      <c r="J6">
        <v>13</v>
      </c>
      <c r="K6" t="s">
        <v>145</v>
      </c>
      <c r="L6" t="s">
        <v>146</v>
      </c>
      <c r="N6" t="s">
        <v>147</v>
      </c>
      <c r="O6" t="s">
        <v>147</v>
      </c>
      <c r="P6" t="s">
        <v>147</v>
      </c>
      <c r="Q6" t="s">
        <v>147</v>
      </c>
      <c r="R6" t="s">
        <v>147</v>
      </c>
      <c r="S6" t="s">
        <v>147</v>
      </c>
      <c r="T6" t="s">
        <v>172</v>
      </c>
      <c r="U6" t="s">
        <v>144</v>
      </c>
    </row>
    <row r="7" spans="1:21" x14ac:dyDescent="0.2">
      <c r="A7" t="s">
        <v>93</v>
      </c>
      <c r="B7" t="s">
        <v>17</v>
      </c>
      <c r="C7">
        <v>0</v>
      </c>
      <c r="D7">
        <v>1</v>
      </c>
      <c r="E7">
        <v>14.04</v>
      </c>
      <c r="F7">
        <v>0</v>
      </c>
      <c r="G7">
        <v>15</v>
      </c>
      <c r="H7">
        <v>12</v>
      </c>
      <c r="I7">
        <v>12</v>
      </c>
      <c r="J7">
        <v>9</v>
      </c>
      <c r="K7" t="s">
        <v>174</v>
      </c>
      <c r="L7" t="s">
        <v>165</v>
      </c>
      <c r="N7" t="s">
        <v>147</v>
      </c>
      <c r="O7" t="s">
        <v>147</v>
      </c>
      <c r="P7" t="s">
        <v>147</v>
      </c>
      <c r="Q7" t="s">
        <v>147</v>
      </c>
      <c r="R7" t="s">
        <v>147</v>
      </c>
      <c r="S7" t="s">
        <v>147</v>
      </c>
      <c r="T7" t="s">
        <v>169</v>
      </c>
      <c r="U7" t="s">
        <v>149</v>
      </c>
    </row>
    <row r="8" spans="1:21" x14ac:dyDescent="0.2">
      <c r="A8" t="s">
        <v>87</v>
      </c>
      <c r="B8" t="s">
        <v>17</v>
      </c>
      <c r="C8">
        <v>1</v>
      </c>
      <c r="D8">
        <v>3</v>
      </c>
      <c r="E8">
        <v>6.24</v>
      </c>
      <c r="F8">
        <v>58</v>
      </c>
      <c r="G8">
        <v>8</v>
      </c>
      <c r="H8">
        <v>9</v>
      </c>
      <c r="I8">
        <v>9</v>
      </c>
      <c r="J8">
        <v>11</v>
      </c>
      <c r="K8" t="s">
        <v>128</v>
      </c>
      <c r="L8" t="s">
        <v>165</v>
      </c>
      <c r="T8" t="s">
        <v>184</v>
      </c>
      <c r="U8" t="s">
        <v>183</v>
      </c>
    </row>
    <row r="9" spans="1:21" x14ac:dyDescent="0.2">
      <c r="A9" t="s">
        <v>77</v>
      </c>
      <c r="B9" t="s">
        <v>17</v>
      </c>
      <c r="C9">
        <v>1</v>
      </c>
      <c r="D9">
        <v>4</v>
      </c>
      <c r="E9">
        <v>3.54</v>
      </c>
      <c r="F9">
        <v>54</v>
      </c>
      <c r="G9">
        <v>3</v>
      </c>
      <c r="H9">
        <v>11</v>
      </c>
      <c r="I9">
        <v>12</v>
      </c>
      <c r="J9">
        <v>11</v>
      </c>
      <c r="K9" t="s">
        <v>142</v>
      </c>
      <c r="L9" t="s">
        <v>165</v>
      </c>
      <c r="T9" t="s">
        <v>185</v>
      </c>
      <c r="U9" t="s">
        <v>183</v>
      </c>
    </row>
    <row r="10" spans="1:21" x14ac:dyDescent="0.2">
      <c r="A10" t="s">
        <v>91</v>
      </c>
      <c r="B10" t="s">
        <v>17</v>
      </c>
      <c r="C10">
        <v>1</v>
      </c>
      <c r="D10">
        <v>2</v>
      </c>
      <c r="E10">
        <v>3.51</v>
      </c>
      <c r="F10">
        <v>105</v>
      </c>
      <c r="G10">
        <v>0</v>
      </c>
      <c r="H10">
        <v>13</v>
      </c>
      <c r="I10">
        <v>0</v>
      </c>
      <c r="J10">
        <v>10</v>
      </c>
      <c r="K10" t="s">
        <v>156</v>
      </c>
      <c r="L10" t="s">
        <v>165</v>
      </c>
      <c r="T10" t="s">
        <v>186</v>
      </c>
      <c r="U10" t="s">
        <v>187</v>
      </c>
    </row>
  </sheetData>
  <dataValidations count="1">
    <dataValidation type="list" allowBlank="1" showInputMessage="1" showErrorMessage="1" sqref="L2:L15" xr:uid="{00000000-0002-0000-0300-000000000000}">
      <formula1>$A$2:$A$15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7"/>
  <sheetViews>
    <sheetView workbookViewId="0">
      <selection activeCell="A9" sqref="A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53" t="s">
        <v>0</v>
      </c>
      <c r="B1" s="53" t="s">
        <v>7</v>
      </c>
      <c r="C1" s="53" t="s">
        <v>8</v>
      </c>
      <c r="D1" s="53" t="s">
        <v>5</v>
      </c>
      <c r="E1" t="s">
        <v>6</v>
      </c>
      <c r="F1" s="53" t="s">
        <v>9</v>
      </c>
      <c r="G1" t="s">
        <v>10</v>
      </c>
      <c r="H1" t="s">
        <v>11</v>
      </c>
      <c r="I1" t="s">
        <v>12</v>
      </c>
      <c r="J1" t="s">
        <v>13</v>
      </c>
      <c r="K1" s="53" t="s">
        <v>14</v>
      </c>
      <c r="L1" s="53" t="s">
        <v>15</v>
      </c>
      <c r="M1" t="s">
        <v>25</v>
      </c>
      <c r="N1" t="s">
        <v>20</v>
      </c>
      <c r="O1" t="s">
        <v>24</v>
      </c>
      <c r="P1" t="s">
        <v>44</v>
      </c>
      <c r="Q1" t="s">
        <v>21</v>
      </c>
      <c r="R1" t="s">
        <v>22</v>
      </c>
      <c r="S1" t="s">
        <v>23</v>
      </c>
      <c r="T1" t="s">
        <v>16</v>
      </c>
      <c r="U1" t="s">
        <v>61</v>
      </c>
    </row>
    <row r="2" spans="1:21" x14ac:dyDescent="0.2">
      <c r="A2" t="s">
        <v>166</v>
      </c>
      <c r="B2" t="s">
        <v>18</v>
      </c>
      <c r="C2">
        <v>1</v>
      </c>
      <c r="D2">
        <v>1</v>
      </c>
      <c r="E2">
        <v>17.22</v>
      </c>
      <c r="F2">
        <v>196</v>
      </c>
      <c r="G2">
        <v>19</v>
      </c>
      <c r="H2">
        <v>14</v>
      </c>
      <c r="I2">
        <v>16</v>
      </c>
      <c r="J2">
        <v>12</v>
      </c>
      <c r="K2" t="s">
        <v>145</v>
      </c>
      <c r="L2" t="s">
        <v>173</v>
      </c>
      <c r="T2" t="s">
        <v>188</v>
      </c>
      <c r="U2" t="s">
        <v>183</v>
      </c>
    </row>
    <row r="3" spans="1:21" x14ac:dyDescent="0.2">
      <c r="A3" t="s">
        <v>101</v>
      </c>
      <c r="B3" t="s">
        <v>17</v>
      </c>
      <c r="C3">
        <v>1</v>
      </c>
      <c r="D3">
        <v>3</v>
      </c>
      <c r="E3">
        <v>10.8</v>
      </c>
      <c r="F3">
        <v>31</v>
      </c>
      <c r="G3">
        <v>14</v>
      </c>
      <c r="H3">
        <v>10</v>
      </c>
      <c r="I3">
        <v>0</v>
      </c>
      <c r="J3">
        <v>8</v>
      </c>
      <c r="K3" t="s">
        <v>43</v>
      </c>
      <c r="L3" t="s">
        <v>166</v>
      </c>
      <c r="T3" t="s">
        <v>189</v>
      </c>
      <c r="U3" t="s">
        <v>176</v>
      </c>
    </row>
    <row r="4" spans="1:21" x14ac:dyDescent="0.2">
      <c r="A4" t="s">
        <v>82</v>
      </c>
      <c r="B4" t="s">
        <v>17</v>
      </c>
      <c r="C4">
        <v>1</v>
      </c>
      <c r="D4">
        <v>2</v>
      </c>
      <c r="E4">
        <v>7.44</v>
      </c>
      <c r="F4">
        <v>67</v>
      </c>
      <c r="G4">
        <v>13</v>
      </c>
      <c r="H4">
        <v>8</v>
      </c>
      <c r="I4">
        <v>13</v>
      </c>
      <c r="J4">
        <v>15</v>
      </c>
      <c r="K4" t="s">
        <v>172</v>
      </c>
      <c r="L4" t="s">
        <v>166</v>
      </c>
      <c r="T4" t="s">
        <v>190</v>
      </c>
      <c r="U4" t="s">
        <v>176</v>
      </c>
    </row>
    <row r="5" spans="1:21" x14ac:dyDescent="0.2">
      <c r="A5" t="s">
        <v>97</v>
      </c>
      <c r="B5" t="s">
        <v>17</v>
      </c>
      <c r="C5">
        <v>1</v>
      </c>
      <c r="D5">
        <v>4</v>
      </c>
      <c r="E5">
        <v>7.3500000000000014</v>
      </c>
      <c r="F5">
        <v>21</v>
      </c>
      <c r="G5">
        <v>25</v>
      </c>
      <c r="H5">
        <v>7</v>
      </c>
      <c r="I5">
        <v>7</v>
      </c>
      <c r="J5">
        <v>10</v>
      </c>
      <c r="K5" t="s">
        <v>134</v>
      </c>
      <c r="L5" t="s">
        <v>97</v>
      </c>
      <c r="M5" t="s">
        <v>147</v>
      </c>
      <c r="N5" t="s">
        <v>147</v>
      </c>
      <c r="O5" t="s">
        <v>147</v>
      </c>
      <c r="P5" t="s">
        <v>147</v>
      </c>
      <c r="Q5" t="s">
        <v>147</v>
      </c>
      <c r="R5" t="s">
        <v>147</v>
      </c>
      <c r="S5" t="s">
        <v>147</v>
      </c>
      <c r="T5" t="s">
        <v>191</v>
      </c>
      <c r="U5" t="s">
        <v>183</v>
      </c>
    </row>
    <row r="6" spans="1:21" x14ac:dyDescent="0.2">
      <c r="A6" t="s">
        <v>95</v>
      </c>
      <c r="B6" t="s">
        <v>17</v>
      </c>
      <c r="C6">
        <v>1</v>
      </c>
      <c r="D6">
        <v>5</v>
      </c>
      <c r="E6">
        <v>6.6000000000000014</v>
      </c>
      <c r="F6">
        <v>15</v>
      </c>
      <c r="G6">
        <v>4</v>
      </c>
      <c r="H6">
        <v>23</v>
      </c>
      <c r="I6">
        <v>8</v>
      </c>
      <c r="J6">
        <v>11</v>
      </c>
      <c r="K6" t="s">
        <v>130</v>
      </c>
      <c r="T6" t="s">
        <v>192</v>
      </c>
      <c r="U6" t="s">
        <v>183</v>
      </c>
    </row>
    <row r="7" spans="1:21" x14ac:dyDescent="0.2">
      <c r="A7" t="s">
        <v>140</v>
      </c>
      <c r="B7" t="s">
        <v>17</v>
      </c>
      <c r="C7">
        <v>1</v>
      </c>
      <c r="D7">
        <v>1</v>
      </c>
      <c r="E7">
        <v>5.85</v>
      </c>
      <c r="F7">
        <v>28</v>
      </c>
      <c r="G7">
        <v>10</v>
      </c>
      <c r="H7">
        <v>12</v>
      </c>
      <c r="I7">
        <v>13</v>
      </c>
      <c r="J7">
        <v>17</v>
      </c>
      <c r="K7" t="s">
        <v>168</v>
      </c>
      <c r="L7" t="s">
        <v>166</v>
      </c>
      <c r="T7" t="s">
        <v>193</v>
      </c>
      <c r="U7" t="s">
        <v>176</v>
      </c>
    </row>
  </sheetData>
  <dataValidations count="1">
    <dataValidation type="list" allowBlank="1" showInputMessage="1" showErrorMessage="1" sqref="L2:L30" xr:uid="{00000000-0002-0000-0400-000000000000}">
      <formula1>$A$2:$A$30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Players</vt:lpstr>
      <vt:lpstr>Template</vt:lpstr>
      <vt:lpstr>Stand</vt:lpstr>
      <vt:lpstr>Defend</vt:lpstr>
      <vt:lpstr>Brave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2019-06-18T16:13:25Z</dcterms:modified>
</cp:coreProperties>
</file>