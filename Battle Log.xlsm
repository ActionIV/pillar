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4F21E3FC-E862-4A1D-B6A5-3A033B120E6B}" xr6:coauthVersionLast="45" xr6:coauthVersionMax="45" xr10:uidLastSave="{00000000-0000-0000-0000-000000000000}"/>
  <bookViews>
    <workbookView xWindow="28680" yWindow="-120" windowWidth="29040" windowHeight="15840" tabRatio="838" activeTab="1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On Deadl-E Ground" sheetId="32" r:id="rId5"/>
    <sheet name="Dark Territory" sheetId="33" r:id="rId6"/>
  </sheets>
  <externalReferences>
    <externalReference r:id="rId7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33" l="1"/>
  <c r="L5" i="33"/>
  <c r="K6" i="33"/>
  <c r="L6" i="33"/>
  <c r="K7" i="33"/>
  <c r="L7" i="33"/>
  <c r="K5" i="32"/>
  <c r="L5" i="32"/>
  <c r="K6" i="32"/>
  <c r="L6" i="32"/>
  <c r="K5" i="31"/>
  <c r="L5" i="31"/>
  <c r="S18" i="30" l="1"/>
  <c r="U18" i="30" s="1"/>
  <c r="X18" i="16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S4" i="30"/>
  <c r="U4" i="30" s="1"/>
  <c r="S5" i="30"/>
  <c r="U5" i="30" s="1"/>
  <c r="S6" i="30"/>
  <c r="U6" i="30" s="1"/>
  <c r="S7" i="30"/>
  <c r="U7" i="30" s="1"/>
  <c r="S8" i="30"/>
  <c r="U8" i="30" s="1"/>
  <c r="S9" i="30"/>
  <c r="U9" i="30" s="1"/>
  <c r="S10" i="30"/>
  <c r="U10" i="30" s="1"/>
  <c r="S11" i="30"/>
  <c r="U11" i="30" s="1"/>
  <c r="S12" i="30"/>
  <c r="U12" i="30" s="1"/>
  <c r="S13" i="30"/>
  <c r="U13" i="30" s="1"/>
  <c r="S14" i="30"/>
  <c r="U14" i="30" s="1"/>
  <c r="S15" i="30"/>
  <c r="U15" i="30" s="1"/>
  <c r="S16" i="30"/>
  <c r="U16" i="30" s="1"/>
  <c r="S17" i="30"/>
  <c r="U17" i="30" s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1" l="1"/>
  <c r="L3" i="31"/>
  <c r="K4" i="31"/>
  <c r="L4" i="31"/>
  <c r="K3" i="32"/>
  <c r="L3" i="32"/>
  <c r="K4" i="32"/>
  <c r="L4" i="32"/>
  <c r="K3" i="33"/>
  <c r="L3" i="33"/>
  <c r="K4" i="33"/>
  <c r="L4" i="33"/>
  <c r="K2" i="31"/>
  <c r="L2" i="31"/>
  <c r="S3" i="30" l="1"/>
  <c r="U3" i="30" s="1"/>
  <c r="R30" i="30"/>
  <c r="R29" i="30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1" i="30"/>
  <c r="M7" i="30"/>
  <c r="M13" i="30"/>
  <c r="M10" i="30"/>
  <c r="M14" i="30"/>
  <c r="M16" i="30"/>
  <c r="M12" i="30"/>
  <c r="M3" i="30"/>
  <c r="M6" i="30"/>
  <c r="M15" i="30"/>
  <c r="M9" i="30"/>
  <c r="M17" i="30"/>
  <c r="M8" i="30"/>
  <c r="M5" i="30"/>
  <c r="M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2" i="33" l="1"/>
  <c r="K2" i="33"/>
  <c r="K2" i="32"/>
  <c r="L2" i="32"/>
  <c r="R26" i="30"/>
  <c r="R32" i="30"/>
  <c r="R28" i="30"/>
  <c r="R33" i="30"/>
  <c r="R34" i="30"/>
  <c r="R31" i="30"/>
  <c r="R27" i="30"/>
  <c r="B4" i="30" l="1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5" i="16" l="1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H7" i="30" s="1"/>
  <c r="I7" i="30" s="1"/>
  <c r="I11" i="16"/>
  <c r="O10" i="16"/>
  <c r="M10" i="16"/>
  <c r="I10" i="16"/>
  <c r="O9" i="16"/>
  <c r="M9" i="16"/>
  <c r="M8" i="16"/>
  <c r="I9" i="16"/>
  <c r="O8" i="16"/>
  <c r="I8" i="16"/>
  <c r="O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<sst xmlns="http://schemas.openxmlformats.org/spreadsheetml/2006/main" count="444" uniqueCount="172">
  <si>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</si>
  <si>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</si>
  <si>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</si>
  <si>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</si>
  <si>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</si>
  <si>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</si>
  <si>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</si>
  <si>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</si>
  <si>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</si>
  <si>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</si>
  <si>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</si>
  <si>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</si>
  <si>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</si>
  <si>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</si>
  <si>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</si>
  <si>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</si>
  <si>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</si>
  <si>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</si>
  <si>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</si>
  <si>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</si>
  <si>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</si>
  <si>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</si>
  <si>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</si>
  <si>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</si>
  <si>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</si>
  <si>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</si>
  <si>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</si>
  <si>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</si>
  <si>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</si>
  <si>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</si>
  <si>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</si>
  <si>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</si>
  <si>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</si>
  <si>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</si>
  <si>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</si>
  <si>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</si>
  <si>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</si>
  <si>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</si>
  <si>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</si>
  <si>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</si>
  <si>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</si>
  <si>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</si>
  <si>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</si>
  <si>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</si>
  <si>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</si>
  <si>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</si>
  <si>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</si>
  <si>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</si>
  <si>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</si>
  <si>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</si>
  <si>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</si>
  <si>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</si>
  <si>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</si>
  <si>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</si>
  <si>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</si>
  <si>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</si>
  <si>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</si>
  <si>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</si>
  <si>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</si>
  <si>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</si>
  <si>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</si>
  <si>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</si>
  <si>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</si>
  <si>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</si>
  <si>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</si>
  <si>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</si>
  <si>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</si>
  <si>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</si>
  <si>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</si>
  <si>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</si>
  <si>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</si>
  <si>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</si>
  <si>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</si>
  <si>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</si>
  <si>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</si>
  <si>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</si>
  <si>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</si>
  <si>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</si>
  <si>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</si>
  <si>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</si>
  <si>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</si>
  <si>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</si>
  <si>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</si>
  <si>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</si>
  <si>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</si>
  <si>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</si>
  <si>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</si>
  <si>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</si>
  <si>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</si>
  <si>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</si>
  <si>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</si>
  <si>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</si>
  <si>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</si>
  <si>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</si>
  <si>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</si>
  <si>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</si>
  <si>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</si>
  <si>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</si>
  <si>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</si>
  <si>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</si>
  <si>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</si>
  <si>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</si>
  <si>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</si>
  <si>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</si>
  <si>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</si>
  <si>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</si>
  <si>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</si>
  <si>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</si>
  <si>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</si>
  <si>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</si>
  <si>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</si>
  <si>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</si>
  <si>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</si>
  <si>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</si>
  <si>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</si>
  <si>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</si>
  <si>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</si>
  <si>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</si>
  <si>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</si>
  <si>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</si>
  <si>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</si>
  <si>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</si>
  <si>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</si>
  <si>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</si>
  <si>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</si>
  <si>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</si>
  <si>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</si>
  <si>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</si>
  <si>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</si>
  <si>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</si>
  <si>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</si>
  <si>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</si>
  <si>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</si>
  <si>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</si>
  <si>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</si>
  <si>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</si>
  <si>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</si>
  <si>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</si>
  <si>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</si>
  <si>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</si>
  <si>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</si>
  <si>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</si>
  <si>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</si>
  <si>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</si>
  <si>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</si>
  <si>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</si>
  <si>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</si>
  <si>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</si>
  <si>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</si>
  <si>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</si>
  <si>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</si>
  <si>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</si>
  <si>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</si>
  <si>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</si>
  <si>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</si>
  <si>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</si>
  <si>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</si>
  <si>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</si>
  <si>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Silver</t>
  </si>
  <si>
    <t>Jaguar</t>
  </si>
  <si>
    <t>Skelton</t>
  </si>
  <si>
    <t>Asigaru</t>
  </si>
  <si>
    <t>Odd Eye</t>
  </si>
  <si>
    <t>Kick</t>
  </si>
  <si>
    <t>Bronze Glove</t>
  </si>
  <si>
    <t>Doma</t>
  </si>
  <si>
    <t>Blaargv131</t>
  </si>
  <si>
    <t>Cure Potion - 4, Vitamin B - 3</t>
  </si>
  <si>
    <t>Cure Potion - 4, Cure Potion - 4</t>
  </si>
  <si>
    <t>Below the Law</t>
  </si>
  <si>
    <t>On Deadl-E Ground</t>
  </si>
  <si>
    <t>Dark Territory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</si>
</sst>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3" fillId="0" borderId="0"/>
  </cellStyleXfs>
  <cellXfs count="109">
    <xf numFmtId="0" fontId="0" fillId="0" borderId="0" xfId="0"/>
    <xf numFmtId="0" fontId="33" fillId="0" borderId="0" xfId="1"/>
    <xf numFmtId="0" fontId="33" fillId="2" borderId="0" xfId="1" applyFill="1"/>
    <xf numFmtId="0" fontId="33" fillId="0" borderId="1" xfId="1" applyBorder="1"/>
    <xf numFmtId="0" fontId="33" fillId="0" borderId="0" xfId="1" applyBorder="1"/>
    <xf numFmtId="0" fontId="33" fillId="2" borderId="5" xfId="1" applyFill="1" applyBorder="1"/>
    <xf numFmtId="0" fontId="33" fillId="0" borderId="0" xfId="1" applyAlignment="1">
      <alignment horizontal="center"/>
    </xf>
    <xf numFmtId="0" fontId="27" fillId="0" borderId="0" xfId="1" applyFont="1" applyAlignment="1">
      <alignment horizontal="center"/>
    </xf>
    <xf numFmtId="0" fontId="0" fillId="3" borderId="0" xfId="0" applyFill="1"/>
    <xf numFmtId="0" fontId="24" fillId="0" borderId="0" xfId="1" applyFont="1"/>
    <xf numFmtId="0" fontId="33" fillId="0" borderId="0" xfId="1" applyAlignment="1">
      <alignment horizontal="center" textRotation="90"/>
    </xf>
    <xf numFmtId="0" fontId="33" fillId="0" borderId="2" xfId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33" fillId="2" borderId="2" xfId="1" applyFill="1" applyBorder="1" applyAlignment="1">
      <alignment horizontal="center" textRotation="90" wrapText="1"/>
    </xf>
    <xf numFmtId="0" fontId="31" fillId="0" borderId="3" xfId="1" applyFont="1" applyBorder="1" applyAlignment="1">
      <alignment horizontal="center" textRotation="90" wrapText="1"/>
    </xf>
    <xf numFmtId="0" fontId="33" fillId="2" borderId="4" xfId="1" applyFill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26" fillId="0" borderId="0" xfId="1" applyFont="1" applyAlignment="1">
      <alignment horizontal="center" textRotation="90" wrapText="1"/>
    </xf>
    <xf numFmtId="0" fontId="33" fillId="0" borderId="0" xfId="1" applyAlignment="1">
      <alignment horizontal="center" textRotation="90" wrapText="1"/>
    </xf>
    <xf numFmtId="0" fontId="33" fillId="5" borderId="3" xfId="1" applyFill="1" applyBorder="1" applyAlignment="1">
      <alignment horizontal="center" textRotation="90" wrapText="1"/>
    </xf>
    <xf numFmtId="0" fontId="33" fillId="5" borderId="1" xfId="1" applyFill="1" applyBorder="1"/>
    <xf numFmtId="0" fontId="25" fillId="5" borderId="1" xfId="1" applyFont="1" applyFill="1" applyBorder="1"/>
    <xf numFmtId="0" fontId="24" fillId="5" borderId="1" xfId="1" applyFont="1" applyFill="1" applyBorder="1"/>
    <xf numFmtId="0" fontId="31" fillId="5" borderId="3" xfId="1" applyFont="1" applyFill="1" applyBorder="1" applyAlignment="1">
      <alignment horizontal="center" textRotation="90" wrapText="1"/>
    </xf>
    <xf numFmtId="0" fontId="31" fillId="5" borderId="1" xfId="1" applyFont="1" applyFill="1" applyBorder="1"/>
    <xf numFmtId="0" fontId="28" fillId="0" borderId="4" xfId="1" applyFont="1" applyBorder="1" applyAlignment="1">
      <alignment horizontal="center" textRotation="90" wrapText="1"/>
    </xf>
    <xf numFmtId="0" fontId="33" fillId="0" borderId="5" xfId="1" applyBorder="1" applyAlignment="1">
      <alignment horizontal="center"/>
    </xf>
    <xf numFmtId="0" fontId="23" fillId="0" borderId="0" xfId="1" applyFont="1"/>
    <xf numFmtId="0" fontId="23" fillId="0" borderId="0" xfId="1" applyFont="1" applyFill="1"/>
    <xf numFmtId="0" fontId="23" fillId="5" borderId="3" xfId="1" applyFont="1" applyFill="1" applyBorder="1" applyAlignment="1">
      <alignment horizontal="center" textRotation="90" wrapText="1"/>
    </xf>
    <xf numFmtId="0" fontId="23" fillId="0" borderId="2" xfId="1" applyFont="1" applyBorder="1" applyAlignment="1">
      <alignment horizontal="center" textRotation="90" wrapText="1"/>
    </xf>
    <xf numFmtId="0" fontId="23" fillId="5" borderId="1" xfId="1" applyFont="1" applyFill="1" applyBorder="1"/>
    <xf numFmtId="0" fontId="22" fillId="5" borderId="1" xfId="1" applyFont="1" applyFill="1" applyBorder="1"/>
    <xf numFmtId="0" fontId="21" fillId="5" borderId="1" xfId="1" applyFont="1" applyFill="1" applyBorder="1"/>
    <xf numFmtId="0" fontId="21" fillId="0" borderId="0" xfId="1" applyFont="1"/>
    <xf numFmtId="0" fontId="20" fillId="0" borderId="0" xfId="1" applyFont="1" applyFill="1"/>
    <xf numFmtId="0" fontId="20" fillId="0" borderId="0" xfId="1" applyFont="1"/>
    <xf numFmtId="0" fontId="20" fillId="5" borderId="1" xfId="1" applyFont="1" applyFill="1" applyBorder="1"/>
    <xf numFmtId="0" fontId="19" fillId="0" borderId="0" xfId="1" applyFont="1" applyFill="1"/>
    <xf numFmtId="0" fontId="19" fillId="0" borderId="0" xfId="1" applyFont="1"/>
    <xf numFmtId="0" fontId="19" fillId="5" borderId="1" xfId="1" applyFont="1" applyFill="1" applyBorder="1"/>
    <xf numFmtId="0" fontId="18" fillId="5" borderId="1" xfId="1" applyFont="1" applyFill="1" applyBorder="1"/>
    <xf numFmtId="0" fontId="18" fillId="0" borderId="0" xfId="1" applyFont="1" applyFill="1"/>
    <xf numFmtId="0" fontId="35" fillId="2" borderId="5" xfId="1" applyFont="1" applyFill="1" applyBorder="1"/>
    <xf numFmtId="0" fontId="17" fillId="0" borderId="0" xfId="1" applyFont="1" applyFill="1"/>
    <xf numFmtId="0" fontId="0" fillId="0" borderId="11" xfId="0" applyBorder="1"/>
    <xf numFmtId="0" fontId="0" fillId="0" borderId="9" xfId="0" applyBorder="1"/>
    <xf numFmtId="0" fontId="20" fillId="0" borderId="9" xfId="1" applyFont="1" applyFill="1" applyBorder="1"/>
    <xf numFmtId="0" fontId="19" fillId="0" borderId="9" xfId="1" applyFont="1" applyFill="1" applyBorder="1"/>
    <xf numFmtId="0" fontId="17" fillId="0" borderId="9" xfId="1" applyFont="1" applyFill="1" applyBorder="1"/>
    <xf numFmtId="0" fontId="37" fillId="0" borderId="9" xfId="0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7" fillId="3" borderId="6" xfId="0" applyFont="1" applyFill="1" applyBorder="1"/>
    <xf numFmtId="0" fontId="37" fillId="0" borderId="7" xfId="0" applyFont="1" applyBorder="1"/>
    <xf numFmtId="0" fontId="37" fillId="3" borderId="7" xfId="0" applyFont="1" applyFill="1" applyBorder="1"/>
    <xf numFmtId="0" fontId="37" fillId="4" borderId="8" xfId="0" applyFont="1" applyFill="1" applyBorder="1"/>
    <xf numFmtId="0" fontId="16" fillId="0" borderId="0" xfId="1" applyFont="1" applyFill="1"/>
    <xf numFmtId="0" fontId="15" fillId="0" borderId="0" xfId="1" applyFont="1"/>
    <xf numFmtId="0" fontId="33" fillId="6" borderId="0" xfId="1" applyFill="1"/>
    <xf numFmtId="0" fontId="0" fillId="0" borderId="0" xfId="0" applyBorder="1"/>
    <xf numFmtId="0" fontId="0" fillId="0" borderId="12" xfId="0" applyBorder="1"/>
    <xf numFmtId="0" fontId="14" fillId="5" borderId="1" xfId="1" applyFont="1" applyFill="1" applyBorder="1"/>
    <xf numFmtId="0" fontId="0" fillId="0" borderId="0" xfId="0" applyAlignment="1">
      <alignment horizontal="center"/>
    </xf>
    <xf numFmtId="0" fontId="20" fillId="7" borderId="0" xfId="1" applyFont="1" applyFill="1"/>
    <xf numFmtId="0" fontId="19" fillId="7" borderId="0" xfId="1" applyFont="1" applyFill="1"/>
    <xf numFmtId="0" fontId="19" fillId="8" borderId="0" xfId="1" applyFont="1" applyFill="1"/>
    <xf numFmtId="0" fontId="18" fillId="8" borderId="0" xfId="1" applyFont="1" applyFill="1"/>
    <xf numFmtId="0" fontId="16" fillId="8" borderId="0" xfId="1" applyFont="1" applyFill="1"/>
    <xf numFmtId="0" fontId="13" fillId="5" borderId="1" xfId="1" applyFont="1" applyFill="1" applyBorder="1"/>
    <xf numFmtId="0" fontId="12" fillId="5" borderId="1" xfId="1" applyFont="1" applyFill="1" applyBorder="1"/>
    <xf numFmtId="0" fontId="11" fillId="5" borderId="1" xfId="1" applyFont="1" applyFill="1" applyBorder="1"/>
    <xf numFmtId="0" fontId="11" fillId="0" borderId="0" xfId="1" applyFont="1"/>
    <xf numFmtId="0" fontId="10" fillId="5" borderId="1" xfId="1" applyFont="1" applyFill="1" applyBorder="1"/>
    <xf numFmtId="0" fontId="18" fillId="0" borderId="17" xfId="1" applyFont="1" applyBorder="1"/>
    <xf numFmtId="0" fontId="9" fillId="5" borderId="1" xfId="1" applyFont="1" applyFill="1" applyBorder="1"/>
    <xf numFmtId="0" fontId="8" fillId="0" borderId="0" xfId="1" applyFont="1"/>
    <xf numFmtId="0" fontId="7" fillId="5" borderId="1" xfId="1" applyFont="1" applyFill="1" applyBorder="1"/>
    <xf numFmtId="0" fontId="6" fillId="5" borderId="1" xfId="1" applyFont="1" applyFill="1" applyBorder="1"/>
    <xf numFmtId="0" fontId="0" fillId="0" borderId="10" xfId="0" applyBorder="1"/>
    <xf numFmtId="0" fontId="0" fillId="0" borderId="13" xfId="0" applyBorder="1"/>
    <xf numFmtId="0" fontId="37" fillId="0" borderId="9" xfId="0" applyFont="1" applyBorder="1"/>
    <xf numFmtId="0" fontId="37" fillId="0" borderId="0" xfId="0" applyFont="1" applyBorder="1"/>
    <xf numFmtId="0" fontId="37" fillId="0" borderId="10" xfId="0" applyFont="1" applyBorder="1"/>
    <xf numFmtId="0" fontId="5" fillId="5" borderId="1" xfId="1" applyFont="1" applyFill="1" applyBorder="1"/>
    <xf numFmtId="0" fontId="5" fillId="0" borderId="0" xfId="1" applyFont="1"/>
    <xf numFmtId="0" fontId="4" fillId="8" borderId="0" xfId="1" applyFont="1" applyFill="1"/>
    <xf numFmtId="0" fontId="4" fillId="0" borderId="0" xfId="1" applyFon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2" fillId="5" borderId="1" xfId="1" applyFont="1" applyFill="1" applyBorder="1"/>
    <xf numFmtId="0" fontId="35" fillId="0" borderId="1" xfId="1" applyFont="1" applyBorder="1"/>
    <xf numFmtId="0" fontId="2" fillId="0" borderId="0" xfId="1" applyFont="1" applyFill="1"/>
    <xf numFmtId="0" fontId="2" fillId="0" borderId="0" xfId="1" applyFont="1"/>
    <xf numFmtId="0" fontId="36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36" fillId="0" borderId="16" xfId="0" applyFont="1" applyBorder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1" fillId="0" borderId="0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  <cell r="N35" t="str">
            <v>Str</v>
          </cell>
          <cell r="O35" t="str">
            <v>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  <cell r="N36" t="str">
            <v>Def</v>
          </cell>
          <cell r="O36">
            <v>4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  <cell r="N38" t="str">
            <v>Str</v>
          </cell>
          <cell r="O38" t="str">
            <v>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  <cell r="N39">
            <v>0</v>
          </cell>
          <cell r="O39">
            <v>0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  <cell r="N40" t="str">
            <v>Agl</v>
          </cell>
          <cell r="O40">
            <v>3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  <cell r="N41">
            <v>0</v>
          </cell>
          <cell r="O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  <cell r="N43" t="str">
            <v>Def</v>
          </cell>
          <cell r="O43">
            <v>4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  <cell r="N44" t="str">
            <v>Def</v>
          </cell>
          <cell r="O44" t="str">
            <v>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  <cell r="N45" t="str">
            <v>Str</v>
          </cell>
          <cell r="O45" t="str">
            <v>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  <cell r="N46" t="str">
            <v>Agl</v>
          </cell>
          <cell r="O46">
            <v>4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  <cell r="N47" t="str">
            <v>Def</v>
          </cell>
          <cell r="O47">
            <v>8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  <cell r="N48" t="str">
            <v>Def</v>
          </cell>
          <cell r="O48" t="str">
            <v>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  <cell r="N49">
            <v>0</v>
          </cell>
          <cell r="O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  <cell r="N52" t="str">
            <v>Str</v>
          </cell>
          <cell r="O52" t="str">
            <v>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  <cell r="N53" t="str">
            <v>Agl</v>
          </cell>
          <cell r="O53">
            <v>5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  <cell r="N54" t="str">
            <v>Def</v>
          </cell>
          <cell r="O54">
            <v>8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  <cell r="N55">
            <v>0</v>
          </cell>
          <cell r="O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  <cell r="N62" t="str">
            <v>Def</v>
          </cell>
          <cell r="O62">
            <v>8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  <cell r="N63" t="str">
            <v>Def</v>
          </cell>
          <cell r="O63" t="str">
            <v>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  <cell r="N64" t="str">
            <v>Agl</v>
          </cell>
          <cell r="O64">
            <v>5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6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  <cell r="N67">
            <v>0</v>
          </cell>
          <cell r="O67">
            <v>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  <cell r="N68">
            <v>0</v>
          </cell>
          <cell r="O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  <cell r="N71" t="str">
            <v>Str</v>
          </cell>
          <cell r="O71" t="str">
            <v>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  <cell r="N73" t="str">
            <v>Str</v>
          </cell>
          <cell r="O73" t="str">
            <v>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  <cell r="N74" t="str">
            <v>Def</v>
          </cell>
          <cell r="O74" t="str">
            <v>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  <cell r="N75" t="str">
            <v>Def</v>
          </cell>
          <cell r="O75" t="str">
            <v>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  <cell r="N76" t="str">
            <v>Def</v>
          </cell>
          <cell r="O76">
            <v>8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  <cell r="N77">
            <v>0</v>
          </cell>
          <cell r="O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  <cell r="N78" t="str">
            <v>Str</v>
          </cell>
          <cell r="O78" t="str">
            <v>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  <cell r="N81" t="str">
            <v>Str</v>
          </cell>
          <cell r="O81" t="str">
            <v>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  <cell r="N82" t="str">
            <v>Agl</v>
          </cell>
          <cell r="O82">
            <v>10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 t="str">
            <v>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  <cell r="N84" t="str">
            <v>Str</v>
          </cell>
          <cell r="O84" t="str">
            <v>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  <cell r="N87" t="str">
            <v>Def</v>
          </cell>
          <cell r="O87" t="str">
            <v>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  <cell r="N89">
            <v>0</v>
          </cell>
          <cell r="O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  <cell r="N92" t="str">
            <v>Def</v>
          </cell>
          <cell r="O92" t="str">
            <v>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  <cell r="N93" t="str">
            <v>Str</v>
          </cell>
          <cell r="O93" t="str">
            <v>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  <cell r="N94">
            <v>0</v>
          </cell>
          <cell r="O94">
            <v>0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  <cell r="N95">
            <v>0</v>
          </cell>
          <cell r="O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  <cell r="N97" t="str">
            <v>Def</v>
          </cell>
          <cell r="O97">
            <v>13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  <cell r="N98" t="str">
            <v>Def</v>
          </cell>
          <cell r="O98">
            <v>13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  <cell r="N99">
            <v>0</v>
          </cell>
          <cell r="O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  <cell r="N100" t="str">
            <v>Def</v>
          </cell>
          <cell r="O100">
            <v>13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  <cell r="N101" t="str">
            <v>Def</v>
          </cell>
          <cell r="O101">
            <v>20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  <cell r="N102" t="str">
            <v>Str</v>
          </cell>
          <cell r="O102" t="str">
            <v>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  <cell r="N104" t="str">
            <v>Def</v>
          </cell>
          <cell r="O104">
            <v>20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  <cell r="N105">
            <v>0</v>
          </cell>
          <cell r="O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  <cell r="N106" t="str">
            <v>Def</v>
          </cell>
          <cell r="O106">
            <v>13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  <cell r="N107" t="str">
            <v>Def</v>
          </cell>
          <cell r="O107" t="str">
            <v>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  <cell r="N108" t="str">
            <v>Str</v>
          </cell>
          <cell r="O108" t="str">
            <v>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  <cell r="N109" t="str">
            <v>Agl</v>
          </cell>
          <cell r="O109" t="str">
            <v>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  <cell r="N110" t="str">
            <v>Str</v>
          </cell>
          <cell r="O110" t="str">
            <v>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  <cell r="N111" t="str">
            <v>Def</v>
          </cell>
          <cell r="O111" t="str">
            <v>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  <cell r="N112">
            <v>0</v>
          </cell>
          <cell r="O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  <cell r="N113" t="str">
            <v>Def</v>
          </cell>
          <cell r="O113">
            <v>20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  <cell r="N114" t="str">
            <v>Agl</v>
          </cell>
          <cell r="O114" t="str">
            <v>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  <cell r="N115">
            <v>0</v>
          </cell>
          <cell r="O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  <cell r="N116" t="str">
            <v>Def</v>
          </cell>
          <cell r="O116">
            <v>20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  <cell r="N117">
            <v>0</v>
          </cell>
          <cell r="O117">
            <v>0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  <cell r="N118">
            <v>0</v>
          </cell>
          <cell r="O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  <cell r="N120" t="str">
            <v>Agl</v>
          </cell>
          <cell r="O120" t="str">
            <v>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  <cell r="N121" t="str">
            <v>Def</v>
          </cell>
          <cell r="O121" t="str">
            <v>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  <cell r="N122" t="str">
            <v>Str</v>
          </cell>
          <cell r="O122" t="str">
            <v>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  <cell r="N124">
            <v>0</v>
          </cell>
          <cell r="O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  <cell r="N125">
            <v>0</v>
          </cell>
          <cell r="O125">
            <v>0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  <cell r="N126" t="str">
            <v>Str</v>
          </cell>
          <cell r="O126" t="str">
            <v>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  <cell r="N127" t="str">
            <v xml:space="preserve"> Mana</v>
          </cell>
          <cell r="O127" t="str">
            <v>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  <cell r="N128">
            <v>0</v>
          </cell>
          <cell r="O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  <cell r="N129" t="str">
            <v>Str</v>
          </cell>
          <cell r="O129" t="str">
            <v>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  <cell r="N130" t="str">
            <v>Def</v>
          </cell>
          <cell r="O130" t="str">
            <v>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  <cell r="N156" t="str">
            <v xml:space="preserve"> Mana</v>
          </cell>
          <cell r="O156" t="str">
            <v>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  <cell r="N157" t="str">
            <v>Def</v>
          </cell>
          <cell r="O157" t="str">
            <v>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  <cell r="N159" t="str">
            <v xml:space="preserve"> Mana</v>
          </cell>
          <cell r="O159" t="str">
            <v>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  <cell r="N168" t="str">
            <v xml:space="preserve"> Mana</v>
          </cell>
          <cell r="O168" t="str">
            <v>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  <cell r="N182" t="str">
            <v xml:space="preserve"> Mana</v>
          </cell>
          <cell r="O182" t="str">
            <v>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  <cell r="N192">
            <v>0</v>
          </cell>
          <cell r="O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  <cell r="N196" t="str">
            <v xml:space="preserve"> Mana</v>
          </cell>
          <cell r="O196" t="str">
            <v>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  <cell r="N201" t="str">
            <v xml:space="preserve"> Mana</v>
          </cell>
          <cell r="O201" t="str">
            <v>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  <cell r="N207" t="str">
            <v xml:space="preserve"> Mana</v>
          </cell>
          <cell r="O207" t="str">
            <v>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  <cell r="N214" t="str">
            <v xml:space="preserve"> Mana</v>
          </cell>
          <cell r="O214" t="str">
            <v>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  <cell r="N222" t="str">
            <v>Agl</v>
          </cell>
          <cell r="O222" t="str">
            <v>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  <cell r="N228">
            <v>0</v>
          </cell>
          <cell r="O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  <cell r="N251" t="str">
            <v>Str</v>
          </cell>
          <cell r="O251" t="str">
            <v>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  <cell r="N252">
            <v>0</v>
          </cell>
          <cell r="O252">
            <v>0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  <cell r="N254" t="str">
            <v>Def</v>
          </cell>
          <cell r="O254" t="str">
            <v>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  <cell r="N259">
            <v>0</v>
          </cell>
          <cell r="O259">
            <v>0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  <cell r="N260">
            <v>0</v>
          </cell>
          <cell r="O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  <cell r="N261" t="str">
            <v>Str</v>
          </cell>
          <cell r="O261">
            <v>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  <cell r="N262">
            <v>0</v>
          </cell>
          <cell r="O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  <cell r="N263">
            <v>0</v>
          </cell>
          <cell r="O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  <cell r="N269" t="str">
            <v>Def</v>
          </cell>
          <cell r="O269">
            <v>18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  <cell r="N270">
            <v>0</v>
          </cell>
          <cell r="O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  <cell r="H278">
            <v>11000</v>
          </cell>
          <cell r="L278">
            <v>63</v>
          </cell>
          <cell r="N278" t="str">
            <v>Agl</v>
          </cell>
          <cell r="O278">
            <v>10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5">
          <cell r="G285" t="str">
            <v>Uses</v>
          </cell>
        </row>
        <row r="286">
          <cell r="D286" t="str">
            <v>Strike</v>
          </cell>
          <cell r="G286">
            <v>60</v>
          </cell>
        </row>
        <row r="287">
          <cell r="D287" t="str">
            <v>M-Strike</v>
          </cell>
        </row>
        <row r="288">
          <cell r="D288" t="str">
            <v>Strike Base</v>
          </cell>
          <cell r="G288">
            <v>80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2" sqref="Q2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9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32" t="s">
        <v>28</v>
      </c>
      <c r="AC1" s="33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6" t="s">
        <v>48</v>
      </c>
      <c r="AO1" s="17" t="s">
        <v>51</v>
      </c>
      <c r="AP1" s="28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6" t="str">
        <f t="shared" ref="A2:A12" si="0">B2</f>
        <v>Rando</v>
      </c>
      <c r="B2" s="64" t="s">
        <v>92</v>
      </c>
      <c r="C2" s="95"/>
      <c r="D2" s="39" t="s">
        <v>75</v>
      </c>
      <c r="E2" s="83" t="s">
        <v>145</v>
      </c>
      <c r="F2">
        <v>59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4" t="str">
        <f>IF(ISBLANK(VLOOKUP($E2,[1]Monster!$A$2:$X$256,16,FALSE)),"",VLOOKUP($E2,[1]Monster!$A$2:$X$256,16,FALSE))</f>
        <v>Tusk</v>
      </c>
      <c r="Q2">
        <v>15</v>
      </c>
      <c r="R2" s="6">
        <f>_xlfn.IFNA(IF($E2="Robot",VLOOKUP(P2,[1]Weapon!$B$1:$G$351,6,FALSE)/2,VLOOKUP(P2,[1]Weapon!$B$1:$G$351,6,FALSE)),0)</f>
        <v>15</v>
      </c>
      <c r="S2" s="34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_xlfn.IFNA(IF($E2="Robot",VLOOKUP(S2,[1]Weapon!$B$1:$G$351,6,FALSE)/2,VLOOKUP(S2,[1]Weapon!$B$1:$G$351,6,FALSE)),0)</f>
        <v>15</v>
      </c>
      <c r="V2" s="34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_xlfn.IFNA(IF($E2="Robot",VLOOKUP(V2,[1]Weapon!$B$1:$G$351,6,FALSE)/2,VLOOKUP(V2,[1]Weapon!$B$1:$G$351,6,FALSE)),0)</f>
        <v>-2</v>
      </c>
      <c r="Y2" s="35"/>
      <c r="Z2">
        <v>0</v>
      </c>
      <c r="AA2" s="6">
        <f>_xlfn.IFNA(IF($E2="Robot",VLOOKUP(Y2,[1]Weapon!$B$1:$G$351,6,FALSE)/2,VLOOKUP(Y2,[1]Weapon!$B$1:$G$351,6,FALSE)),0)</f>
        <v>0</v>
      </c>
      <c r="AB2" s="34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4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4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34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_xlfn.IFNA(IF($E2="Robot",VLOOKUP(AK2,[1]Weapon!$B$1:$G$351,6,FALSE)/2,VLOOKUP(AK2,[1]Weapon!$B$1:$G$351,6,FALSE)),0)</f>
        <v>0</v>
      </c>
      <c r="AN2" s="27"/>
      <c r="AO2">
        <v>0</v>
      </c>
      <c r="AP2" s="6">
        <f>_xlfn.IFNA(IF($E2="Robot",VLOOKUP(AN2,[1]Weapon!$B$1:$G$351,6,FALSE)/2,VLOOKUP(AN2,[1]Weapon!$B$1:$G$351,6,FALSE)),0)</f>
        <v>0</v>
      </c>
      <c r="AQ2" s="81"/>
      <c r="AR2" s="106" t="s">
        <v>168</v>
      </c>
      <c r="AS2">
        <f>VLOOKUP(B2,Toolkit!$Q$3:$U$22,2,FALSE)</f>
        <v>281</v>
      </c>
    </row>
    <row r="3" spans="1:46" x14ac:dyDescent="0.25">
      <c r="A3" s="66" t="str">
        <f t="shared" si="0"/>
        <v>Grace</v>
      </c>
      <c r="B3" s="38" t="s">
        <v>93</v>
      </c>
      <c r="C3" s="95"/>
      <c r="D3" s="38" t="s">
        <v>94</v>
      </c>
      <c r="E3" s="71" t="s">
        <v>91</v>
      </c>
      <c r="F3">
        <v>33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0" t="s">
        <v>89</v>
      </c>
      <c r="Q3">
        <v>14</v>
      </c>
      <c r="R3" s="6">
        <f>_xlfn.IFNA(IF($E3="Robot",VLOOKUP(P3,[1]Weapon!$B$1:$G$351,6,FALSE)/2,VLOOKUP(P3,[1]Weapon!$B$1:$G$351,6,FALSE)),0)</f>
        <v>15</v>
      </c>
      <c r="S3" s="80" t="s">
        <v>140</v>
      </c>
      <c r="T3">
        <v>15</v>
      </c>
      <c r="U3" s="6">
        <f>_xlfn.IFNA(IF($E3="Robot",VLOOKUP(S3,[1]Weapon!$B$1:$G$351,6,FALSE)/2,VLOOKUP(S3,[1]Weapon!$B$1:$G$351,6,FALSE)),0)</f>
        <v>15</v>
      </c>
      <c r="V3" s="35"/>
      <c r="W3">
        <v>0</v>
      </c>
      <c r="X3" s="6">
        <f>_xlfn.IFNA(IF($E3="Robot",VLOOKUP(V3,[1]Weapon!$B$1:$G$351,6,FALSE)/2,VLOOKUP(V3,[1]Weapon!$B$1:$G$351,6,FALSE)),0)</f>
        <v>0</v>
      </c>
      <c r="Y3" s="35"/>
      <c r="Z3">
        <v>0</v>
      </c>
      <c r="AA3" s="6">
        <f>_xlfn.IFNA(IF($E3="Robot",VLOOKUP(Y3,[1]Weapon!$B$1:$G$351,6,FALSE)/2,VLOOKUP(Y3,[1]Weapon!$B$1:$G$351,6,FALSE)),0)</f>
        <v>0</v>
      </c>
      <c r="AB3" s="40" t="s">
        <v>95</v>
      </c>
      <c r="AC3">
        <v>50</v>
      </c>
      <c r="AD3" s="6">
        <f>_xlfn.IFNA(IF($E3="Robot",VLOOKUP(AB3,[1]Weapon!$B$1:$G$351,6,FALSE)/2,VLOOKUP(AB3,[1]Weapon!$B$1:$G$351,6,FALSE)),0)</f>
        <v>50</v>
      </c>
      <c r="AE3" s="40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96" t="s">
        <v>142</v>
      </c>
      <c r="AI3">
        <v>-1</v>
      </c>
      <c r="AJ3" s="6">
        <f>_xlfn.IFNA(IF($E3="Robot",VLOOKUP(AH3,[1]Weapon!$B$1:$G$351,6,FALSE)/2,VLOOKUP(AH3,[1]Weapon!$B$1:$G$351,6,FALSE)),0)</f>
        <v>-2</v>
      </c>
      <c r="AK3" s="96" t="s">
        <v>164</v>
      </c>
      <c r="AL3">
        <v>-1</v>
      </c>
      <c r="AM3" s="6">
        <f>_xlfn.IFNA(IF($E3="Robot",VLOOKUP(AK3,[1]Weapon!$B$1:$G$351,6,FALSE)/2,VLOOKUP(AK3,[1]Weapon!$B$1:$G$351,6,FALSE)),0)</f>
        <v>-2</v>
      </c>
      <c r="AN3" s="34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106" t="s">
        <v>168</v>
      </c>
      <c r="AS3">
        <f>VLOOKUP(B3,Toolkit!$Q$3:$U$22,2,FALSE)</f>
        <v>215</v>
      </c>
    </row>
    <row r="4" spans="1:46" x14ac:dyDescent="0.25">
      <c r="A4" s="66" t="str">
        <f t="shared" si="0"/>
        <v>Astrid</v>
      </c>
      <c r="B4" s="38" t="s">
        <v>97</v>
      </c>
      <c r="C4" s="95"/>
      <c r="D4" s="38" t="s">
        <v>78</v>
      </c>
      <c r="E4" s="71" t="s">
        <v>91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5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0" t="s">
        <v>88</v>
      </c>
      <c r="Q4">
        <v>15</v>
      </c>
      <c r="R4" s="6">
        <f>_xlfn.IFNA(IF($E4="Robot",VLOOKUP(P4,[1]Weapon!$B$1:$G$351,6,FALSE)/2,VLOOKUP(P4,[1]Weapon!$B$1:$G$351,6,FALSE)),0)</f>
        <v>15</v>
      </c>
      <c r="S4" s="76" t="s">
        <v>144</v>
      </c>
      <c r="T4">
        <v>-2</v>
      </c>
      <c r="U4" s="6">
        <f>_xlfn.IFNA(IF($E4="Robot",VLOOKUP(S4,[1]Weapon!$B$1:$G$351,6,FALSE)/2,VLOOKUP(S4,[1]Weapon!$B$1:$G$351,6,FALSE)),0)</f>
        <v>-2</v>
      </c>
      <c r="V4" s="82" t="s">
        <v>147</v>
      </c>
      <c r="W4">
        <v>-2</v>
      </c>
      <c r="X4" s="6">
        <f>_xlfn.IFNA(IF($E4="Robot",VLOOKUP(V4,[1]Weapon!$B$1:$G$351,6,FALSE)/2,VLOOKUP(V4,[1]Weapon!$B$1:$G$351,6,FALSE)),0)</f>
        <v>-2</v>
      </c>
      <c r="Y4" s="35"/>
      <c r="Z4">
        <v>0</v>
      </c>
      <c r="AA4" s="6">
        <f>_xlfn.IFNA(IF($E4="Robot",VLOOKUP(Y4,[1]Weapon!$B$1:$G$351,6,FALSE)/2,VLOOKUP(Y4,[1]Weapon!$B$1:$G$351,6,FALSE)),0)</f>
        <v>0</v>
      </c>
      <c r="AB4" s="40" t="s">
        <v>95</v>
      </c>
      <c r="AC4">
        <v>45</v>
      </c>
      <c r="AD4" s="6">
        <f>_xlfn.IFNA(IF($E4="Robot",VLOOKUP(AB4,[1]Weapon!$B$1:$G$351,6,FALSE)/2,VLOOKUP(AB4,[1]Weapon!$B$1:$G$351,6,FALSE)),0)</f>
        <v>50</v>
      </c>
      <c r="AE4" s="40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96" t="s">
        <v>142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106" t="s">
        <v>143</v>
      </c>
      <c r="AS4">
        <f>VLOOKUP(B4,Toolkit!$Q$3:$U$22,2,FALSE)</f>
        <v>243</v>
      </c>
    </row>
    <row r="5" spans="1:46" x14ac:dyDescent="0.25">
      <c r="A5" s="66" t="str">
        <f t="shared" si="0"/>
        <v>Cuthbert</v>
      </c>
      <c r="B5" s="38" t="s">
        <v>98</v>
      </c>
      <c r="C5" s="95"/>
      <c r="D5" s="38" t="s">
        <v>99</v>
      </c>
      <c r="E5" s="65" t="s">
        <v>139</v>
      </c>
      <c r="F5">
        <v>81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4" t="str">
        <f>IF(ISBLANK(VLOOKUP($E5,[1]Monster!$A$2:$X$256,16,FALSE)),"",VLOOKUP($E5,[1]Monster!$A$2:$X$256,16,FALSE))</f>
        <v>Beak</v>
      </c>
      <c r="Q5">
        <v>30</v>
      </c>
      <c r="R5" s="6">
        <f>_xlfn.IFNA(IF($E5="Robot",VLOOKUP(P5,[1]Weapon!$B$1:$G$351,6,FALSE)/2,VLOOKUP(P5,[1]Weapon!$B$1:$G$351,6,FALSE)),0)</f>
        <v>30</v>
      </c>
      <c r="S5" s="34" t="str">
        <f>IF(ISBLANK(VLOOKUP($E5,[1]Monster!$A$2:$X$256,17,FALSE)),"",VLOOKUP($E5,[1]Monster!$A$2:$X$256,17,FALSE))</f>
        <v>O-Quake</v>
      </c>
      <c r="T5">
        <v>-2</v>
      </c>
      <c r="U5" s="6">
        <f>_xlfn.IFNA(IF($E5="Robot",VLOOKUP(S5,[1]Weapon!$B$1:$G$351,6,FALSE)/2,VLOOKUP(S5,[1]Weapon!$B$1:$G$351,6,FALSE)),0)</f>
        <v>-2</v>
      </c>
      <c r="V5" s="77"/>
      <c r="W5">
        <v>0</v>
      </c>
      <c r="X5" s="6">
        <f>_xlfn.IFNA(IF($E5="Robot",VLOOKUP(V5,[1]Weapon!$B$1:$G$351,6,FALSE)/2,VLOOKUP(V5,[1]Weapon!$B$1:$G$351,6,FALSE)),0)</f>
        <v>0</v>
      </c>
      <c r="Y5" s="35"/>
      <c r="Z5">
        <v>0</v>
      </c>
      <c r="AA5" s="6">
        <f>_xlfn.IFNA(IF($E5="Robot",VLOOKUP(Y5,[1]Weapon!$B$1:$G$351,6,FALSE)/2,VLOOKUP(Y5,[1]Weapon!$B$1:$G$351,6,FALSE)),0)</f>
        <v>0</v>
      </c>
      <c r="AB5" s="34" t="str">
        <f>IF(ISBLANK(VLOOKUP($E5,[1]Monster!$A$2:$X$256,20,FALSE)),"",VLOOKUP($E5,[1]Monster!$A$2:$X$256,20,FALSE))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4" t="str">
        <f>IF(ISBLANK(VLOOKUP($E5,[1]Monster!$A$2:$X$256,21,FALSE)),"",VLOOKUP($E5,[1]Monster!$A$2:$X$256,21,FALSE))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4" t="str">
        <f>IF(ISBLANK(VLOOKUP($E5,[1]Monster!$A$2:$X$256,22,FALSE)),"",VLOOKUP($E5,[1]Monster!$A$2:$X$256,22,FALSE))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4" t="str">
        <f>IF(ISBLANK(VLOOKUP($E5,[1]Monster!$A$2:$X$256,23,FALSE)),"",VLOOKUP($E5,[1]Monster!$A$2:$X$256,23,FALSE))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106" t="s">
        <v>143</v>
      </c>
      <c r="AS5">
        <f>VLOOKUP(B5,Toolkit!$Q$3:$U$22,2,FALSE)</f>
        <v>315</v>
      </c>
    </row>
    <row r="6" spans="1:46" x14ac:dyDescent="0.25">
      <c r="A6" s="66" t="str">
        <f t="shared" si="0"/>
        <v>Sandy</v>
      </c>
      <c r="B6" s="38" t="s">
        <v>76</v>
      </c>
      <c r="C6" s="95"/>
      <c r="D6" s="38" t="s">
        <v>77</v>
      </c>
      <c r="E6" s="71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6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4" t="s">
        <v>121</v>
      </c>
      <c r="Q6">
        <v>58</v>
      </c>
      <c r="R6" s="6">
        <f>_xlfn.IFNA(IF($E6="Robot",VLOOKUP(P6,[1]Weapon!$B$1:$G$351,6,FALSE)/2,VLOOKUP(P6,[1]Weapon!$B$1:$G$351,6,FALSE)),0)</f>
        <v>70</v>
      </c>
      <c r="S6" s="40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84" t="s">
        <v>41</v>
      </c>
      <c r="W6">
        <v>48</v>
      </c>
      <c r="X6" s="6">
        <f>_xlfn.IFNA(IF($E6="Robot",VLOOKUP(V6,[1]Weapon!$B$1:$G$351,6,FALSE)/2,VLOOKUP(V6,[1]Weapon!$B$1:$G$351,6,FALSE)),0)</f>
        <v>50</v>
      </c>
      <c r="Y6" s="91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96" t="s">
        <v>164</v>
      </c>
      <c r="AC6">
        <v>-1</v>
      </c>
      <c r="AD6" s="6">
        <f>_xlfn.IFNA(IF($E6="Robot",VLOOKUP(AB6,[1]Weapon!$B$1:$G$351,6,FALSE)/2,VLOOKUP(AB6,[1]Weapon!$B$1:$G$351,6,FALSE)),0)</f>
        <v>-2</v>
      </c>
      <c r="AE6" s="34"/>
      <c r="AF6">
        <v>-1</v>
      </c>
      <c r="AG6" s="6">
        <f>_xlfn.IFNA(IF($E6="Robot",VLOOKUP(AE6,[1]Weapon!$B$1:$G$351,6,FALSE)/2,VLOOKUP(AE6,[1]Weapon!$B$1:$G$351,6,FALSE)),0)</f>
        <v>0</v>
      </c>
      <c r="AH6" s="34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106" t="s">
        <v>168</v>
      </c>
      <c r="AS6">
        <f>VLOOKUP(B6,Toolkit!$Q$3:$U$22,2,FALSE)</f>
        <v>334</v>
      </c>
    </row>
    <row r="7" spans="1:46" x14ac:dyDescent="0.25">
      <c r="A7" s="66" t="str">
        <f t="shared" si="0"/>
        <v>Roy</v>
      </c>
      <c r="B7" s="41" t="s">
        <v>101</v>
      </c>
      <c r="C7" s="95"/>
      <c r="D7" s="41" t="s">
        <v>102</v>
      </c>
      <c r="E7" s="73" t="s">
        <v>90</v>
      </c>
      <c r="F7">
        <v>105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105</v>
      </c>
      <c r="H7" s="97">
        <v>0</v>
      </c>
      <c r="I7" s="46">
        <f>H7+_xlfn.IFNA(IF(VLOOKUP($P7,[1]Weapon!$B$2:$O$283,13,FALSE)="Str",VLOOKUP($P7,[1]Weapon!$B$2:$O$283,14,FALSE),0),0)+_xlfn.IFNA(IF(VLOOKUP($S7,[1]Weapon!$B$2:$O$283,13,FALSE)="Str",VLOOKUP($S7,[1]Weapon!$B$2:$O$283,14,FALSE),0),0)+_xlfn.IFNA(IF(VLOOKUP($V7,[1]Weapon!$B$2:$O$283,13,FALSE)="Str",VLOOKUP($V7,[1]Weapon!$B$2:$O$283,14,FALSE),0),0)+_xlfn.IFNA(IF(VLOOKUP($Y7,[1]Weapon!$B$2:$O$283,13,FALSE)="Str",VLOOKUP($Y7,[1]Weapon!$B$2:$O$283,14,FALSE),0),0)+_xlfn.IFNA(IF(VLOOKUP($AB7,[1]Weapon!$B$2:$O$283,13,FALSE)="Str",VLOOKUP($AB7,[1]Weapon!$B$2:$O$283,14,FALSE),0),0)+_xlfn.IFNA(IF(VLOOKUP($AE7,[1]Weapon!$B$2:$O$283,13,FALSE)="Str",VLOOKUP($AE7,[1]Weapon!$B$2:$O$283,14,FALSE),0),0)+_xlfn.IFNA(IF(VLOOKUP($AH7,[1]Weapon!$B$2:$O$283,13,FALSE)="Str",VLOOKUP($AH7,[1]Weapon!$B$2:$O$283,14,FALSE),0),0)+_xlfn.IFNA(IF(VLOOKUP($AK7,[1]Weapon!$B$2:$O$283,13,FALSE)="Str",VLOOKUP($AK7,[1]Weapon!$B$2:$O$283,14,FALSE),0),0)</f>
        <v>6</v>
      </c>
      <c r="J7" s="4">
        <v>6</v>
      </c>
      <c r="K7" s="2">
        <f>J7+_xlfn.IFNA(IF(VLOOKUP($P7,[1]Weapon!$B$2:$O$283,13,FALSE)="Def",VLOOKUP($P7,[1]Weapon!$B$2:$O$283,14,FALSE),0),0)+_xlfn.IFNA(IF(VLOOKUP($S7,[1]Weapon!$B$2:$O$283,13,FALSE)="Def",VLOOKUP($S7,[1]Weapon!$B$2:$O$283,14,FALSE),0),0)+_xlfn.IFNA(IF(VLOOKUP($V7,[1]Weapon!$B$2:$O$283,13,FALSE)="Def",VLOOKUP($V7,[1]Weapon!$B$2:$O$283,14,FALSE),0),0)+_xlfn.IFNA(IF(VLOOKUP($Y7,[1]Weapon!$B$2:$O$283,13,FALSE)="Def",VLOOKUP($Y7,[1]Weapon!$B$2:$O$283,14,FALSE),0),0)+_xlfn.IFNA(IF(VLOOKUP($AB7,[1]Weapon!$B$2:$O$283,13,FALSE)="Def",VLOOKUP($AB7,[1]Weapon!$B$2:$O$283,14,FALSE),0),0)+_xlfn.IFNA(IF(VLOOKUP($AE7,[1]Weapon!$B$2:$O$283,13,FALSE)="Def",VLOOKUP($AE7,[1]Weapon!$B$2:$O$283,14,FALSE),0),0)+_xlfn.IFNA(IF(VLOOKUP($AH7,[1]Weapon!$B$2:$O$283,13,FALSE)="Def",VLOOKUP($AH7,[1]Weapon!$B$2:$O$283,14,FALSE),0),0)+_xlfn.IFNA(IF(VLOOKUP($AK7,[1]Weapon!$B$2:$O$283,13,FALSE)="Def",VLOOKUP($AK7,[1]Weapon!$B$2:$O$283,14,FALSE),0),0)</f>
        <v>14</v>
      </c>
      <c r="L7" s="3">
        <v>5</v>
      </c>
      <c r="M7" s="5">
        <f>L7+_xlfn.IFNA(IF(VLOOKUP($P7,[1]Weapon!$B$2:$O$283,13,FALSE)="Agl",VLOOKUP($P7,[1]Weapon!$B$2:$O$283,14,FALSE),0),0)+_xlfn.IFNA(IF(VLOOKUP($S7,[1]Weapon!$B$2:$O$283,13,FALSE)="Agl",VLOOKUP($S7,[1]Weapon!$B$2:$O$283,14,FALSE),0),0)+_xlfn.IFNA(IF(VLOOKUP($V7,[1]Weapon!$B$2:$O$283,13,FALSE)="Agl",VLOOKUP($V7,[1]Weapon!$B$2:$O$283,14,FALSE),0),0)+_xlfn.IFNA(IF(VLOOKUP($Y7,[1]Weapon!$B$2:$O$283,13,FALSE)="Agl",VLOOKUP($Y7,[1]Weapon!$B$2:$O$283,14,FALSE),0),0)+_xlfn.IFNA(IF(VLOOKUP($AB7,[1]Weapon!$B$2:$O$283,13,FALSE)="Agl",VLOOKUP($AB7,[1]Weapon!$B$2:$O$283,14,FALSE),0),0)+_xlfn.IFNA(IF(VLOOKUP($AE7,[1]Weapon!$B$2:$O$283,13,FALSE)="Agl",VLOOKUP($AE7,[1]Weapon!$B$2:$O$283,14,FALSE),0),0)+_xlfn.IFNA(IF(VLOOKUP($AH7,[1]Weapon!$B$2:$O$283,13,FALSE)="Agl",VLOOKUP($AH7,[1]Weapon!$B$2:$O$283,14,FALSE),0),0)+_xlfn.IFNA(IF(VLOOKUP($AK7,[1]Weapon!$B$2:$O$283,13,FALSE)="Agl",VLOOKUP($AK7,[1]Weapon!$B$2:$O$283,14,FALSE),0),0)</f>
        <v>6</v>
      </c>
      <c r="N7" s="4">
        <v>0</v>
      </c>
      <c r="O7" s="2">
        <f t="shared" ref="O7:O16" si="7">N7</f>
        <v>0</v>
      </c>
      <c r="P7" s="43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43" t="s">
        <v>104</v>
      </c>
      <c r="T7">
        <v>24</v>
      </c>
      <c r="U7" s="6">
        <f>_xlfn.IFNA(IF($E7="Robot",VLOOKUP(S7,[1]Weapon!$B$1:$G$351,6,FALSE)/2,VLOOKUP(S7,[1]Weapon!$B$1:$G$351,6,FALSE)),0)</f>
        <v>25</v>
      </c>
      <c r="V7" s="78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96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96" t="s">
        <v>164</v>
      </c>
      <c r="AC7">
        <v>-1</v>
      </c>
      <c r="AD7" s="6">
        <f>_xlfn.IFNA(IF($E7="Robot",VLOOKUP(AB7,[1]Weapon!$B$1:$G$351,6,FALSE)/2,VLOOKUP(AB7,[1]Weapon!$B$1:$G$351,6,FALSE)),0)</f>
        <v>-1</v>
      </c>
      <c r="AE7" s="96" t="s">
        <v>164</v>
      </c>
      <c r="AF7">
        <v>-1</v>
      </c>
      <c r="AG7" s="6">
        <f>_xlfn.IFNA(IF($E7="Robot",VLOOKUP(AE7,[1]Weapon!$B$1:$G$351,6,FALSE)/2,VLOOKUP(AE7,[1]Weapon!$B$1:$G$351,6,FALSE)),0)</f>
        <v>-1</v>
      </c>
      <c r="AH7" s="96" t="s">
        <v>164</v>
      </c>
      <c r="AI7">
        <v>-1</v>
      </c>
      <c r="AJ7" s="6">
        <f>_xlfn.IFNA(IF($E7="Robot",VLOOKUP(AH7,[1]Weapon!$B$1:$G$351,6,FALSE)/2,VLOOKUP(AH7,[1]Weapon!$B$1:$G$351,6,FALSE)),0)</f>
        <v>-1</v>
      </c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106" t="s">
        <v>143</v>
      </c>
      <c r="AS7">
        <f>VLOOKUP(B7,Toolkit!$Q$3:$U$22,2,FALSE)</f>
        <v>168</v>
      </c>
    </row>
    <row r="8" spans="1:46" x14ac:dyDescent="0.25">
      <c r="A8" s="66" t="str">
        <f t="shared" si="0"/>
        <v>Saffron</v>
      </c>
      <c r="B8" s="41" t="s">
        <v>105</v>
      </c>
      <c r="C8" s="95"/>
      <c r="D8" s="41" t="s">
        <v>106</v>
      </c>
      <c r="E8" s="72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43" t="s">
        <v>41</v>
      </c>
      <c r="Q8">
        <v>39</v>
      </c>
      <c r="R8" s="6">
        <f>_xlfn.IFNA(IF($E8="Robot",VLOOKUP(P8,[1]Weapon!$B$1:$G$351,6,FALSE)/2,VLOOKUP(P8,[1]Weapon!$B$1:$G$351,6,FALSE)),0)</f>
        <v>50</v>
      </c>
      <c r="S8" s="43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91" t="s">
        <v>95</v>
      </c>
      <c r="W8">
        <v>46</v>
      </c>
      <c r="X8" s="6">
        <f>_xlfn.IFNA(IF($E8="Robot",VLOOKUP(V8,[1]Weapon!$B$1:$G$351,6,FALSE)/2,VLOOKUP(V8,[1]Weapon!$B$1:$G$351,6,FALSE)),0)</f>
        <v>50</v>
      </c>
      <c r="Y8" s="96" t="s">
        <v>142</v>
      </c>
      <c r="Z8">
        <v>-1</v>
      </c>
      <c r="AA8" s="6">
        <f>_xlfn.IFNA(IF($E8="Robot",VLOOKUP(Y8,[1]Weapon!$B$1:$G$351,6,FALSE)/2,VLOOKUP(Y8,[1]Weapon!$B$1:$G$351,6,FALSE)),0)</f>
        <v>-2</v>
      </c>
      <c r="AB8" s="96" t="s">
        <v>164</v>
      </c>
      <c r="AC8">
        <v>-1</v>
      </c>
      <c r="AD8" s="6">
        <f>_xlfn.IFNA(IF($E8="Robot",VLOOKUP(AB8,[1]Weapon!$B$1:$G$351,6,FALSE)/2,VLOOKUP(AB8,[1]Weapon!$B$1:$G$351,6,FALSE)),0)</f>
        <v>-2</v>
      </c>
      <c r="AE8" s="34"/>
      <c r="AF8">
        <v>-1</v>
      </c>
      <c r="AG8" s="6">
        <f>_xlfn.IFNA(IF($E8="Robot",VLOOKUP(AE8,[1]Weapon!$B$1:$G$351,6,FALSE)/2,VLOOKUP(AE8,[1]Weapon!$B$1:$G$351,6,FALSE)),0)</f>
        <v>0</v>
      </c>
      <c r="AH8" s="35"/>
      <c r="AI8">
        <v>-1</v>
      </c>
      <c r="AJ8" s="6">
        <f>_xlfn.IFNA(IF($E8="Robot",VLOOKUP(AH8,[1]Weapon!$B$1:$G$351,6,FALSE)/2,VLOOKUP(AH8,[1]Weapon!$B$1:$G$351,6,FALSE)),0)</f>
        <v>0</v>
      </c>
      <c r="AK8" s="78" t="s">
        <v>146</v>
      </c>
      <c r="AL8">
        <v>4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79"/>
      <c r="AS8">
        <f>VLOOKUP(B8,Toolkit!$Q$3:$U$22,2,FALSE)</f>
        <v>356</v>
      </c>
    </row>
    <row r="9" spans="1:46" x14ac:dyDescent="0.25">
      <c r="A9" s="66" t="str">
        <f t="shared" si="0"/>
        <v>Elishar</v>
      </c>
      <c r="B9" s="41" t="s">
        <v>107</v>
      </c>
      <c r="C9" s="95"/>
      <c r="D9" s="41" t="s">
        <v>108</v>
      </c>
      <c r="E9" s="73" t="s">
        <v>60</v>
      </c>
      <c r="F9">
        <v>62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43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43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78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96" t="s">
        <v>142</v>
      </c>
      <c r="Z9">
        <v>-1</v>
      </c>
      <c r="AA9" s="6">
        <f>_xlfn.IFNA(IF($E9="Robot",VLOOKUP(Y9,[1]Weapon!$B$1:$G$351,6,FALSE)/2,VLOOKUP(Y9,[1]Weapon!$B$1:$G$351,6,FALSE)),0)</f>
        <v>-2</v>
      </c>
      <c r="AB9" s="96" t="s">
        <v>164</v>
      </c>
      <c r="AC9">
        <v>-1</v>
      </c>
      <c r="AD9" s="6">
        <f>_xlfn.IFNA(IF($E9="Robot",VLOOKUP(AB9,[1]Weapon!$B$1:$G$351,6,FALSE)/2,VLOOKUP(AB9,[1]Weapon!$B$1:$G$351,6,FALSE)),0)</f>
        <v>-2</v>
      </c>
      <c r="AE9" s="34"/>
      <c r="AF9">
        <v>-1</v>
      </c>
      <c r="AG9" s="6">
        <f>_xlfn.IFNA(IF($E9="Robot",VLOOKUP(AE9,[1]Weapon!$B$1:$G$351,6,FALSE)/2,VLOOKUP(AE9,[1]Weapon!$B$1:$G$351,6,FALSE)),0)</f>
        <v>0</v>
      </c>
      <c r="AH9" s="34"/>
      <c r="AI9">
        <v>-1</v>
      </c>
      <c r="AJ9" s="6">
        <f>_xlfn.IFNA(IF($E9="Robot",VLOOKUP(AH9,[1]Weapon!$B$1:$G$351,6,FALSE)/2,VLOOKUP(AH9,[1]Weapon!$B$1:$G$351,6,FALSE)),0)</f>
        <v>0</v>
      </c>
      <c r="AK9" s="25"/>
      <c r="AL9">
        <v>-1</v>
      </c>
      <c r="AM9" s="6">
        <f>_xlfn.IFNA(IF($E9="Robot",VLOOKUP(AK9,[1]Weapon!$B$1:$G$351,6,FALSE)/2,VLOOKUP(AK9,[1]Weapon!$B$1:$G$351,6,FALSE)),0)</f>
        <v>0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106" t="s">
        <v>143</v>
      </c>
      <c r="AS9">
        <f>VLOOKUP(B9,Toolkit!$Q$3:$U$22,2,FALSE)</f>
        <v>206</v>
      </c>
    </row>
    <row r="10" spans="1:46" x14ac:dyDescent="0.25">
      <c r="A10" s="66" t="str">
        <f t="shared" si="0"/>
        <v>Malli</v>
      </c>
      <c r="B10" s="41" t="s">
        <v>109</v>
      </c>
      <c r="C10" s="95"/>
      <c r="D10" s="41" t="s">
        <v>110</v>
      </c>
      <c r="E10" s="72" t="s">
        <v>91</v>
      </c>
      <c r="F10">
        <v>20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43" t="s">
        <v>89</v>
      </c>
      <c r="Q10">
        <v>14</v>
      </c>
      <c r="R10" s="6">
        <f>_xlfn.IFNA(IF($E10="Robot",VLOOKUP(P10,[1]Weapon!$B$1:$G$351,6,FALSE)/2,VLOOKUP(P10,[1]Weapon!$B$1:$G$351,6,FALSE)),0)</f>
        <v>15</v>
      </c>
      <c r="S10" s="85" t="s">
        <v>144</v>
      </c>
      <c r="T10">
        <v>-2</v>
      </c>
      <c r="U10" s="6">
        <f>_xlfn.IFNA(IF($E10="Robot",VLOOKUP(S10,[1]Weapon!$B$1:$G$351,6,FALSE)/2,VLOOKUP(S10,[1]Weapon!$B$1:$G$351,6,FALSE)),0)</f>
        <v>-2</v>
      </c>
      <c r="V10" s="34"/>
      <c r="W10">
        <v>0</v>
      </c>
      <c r="X10" s="6">
        <f>_xlfn.IFNA(IF($E10="Robot",VLOOKUP(V10,[1]Weapon!$B$1:$G$351,6,FALSE)/2,VLOOKUP(V10,[1]Weapon!$B$1:$G$351,6,FALSE)),0)</f>
        <v>0</v>
      </c>
      <c r="Y10" s="35"/>
      <c r="Z10">
        <v>0</v>
      </c>
      <c r="AA10" s="6">
        <f>_xlfn.IFNA(IF($E10="Robot",VLOOKUP(Y10,[1]Weapon!$B$1:$G$351,6,FALSE)/2,VLOOKUP(Y10,[1]Weapon!$B$1:$G$351,6,FALSE)),0)</f>
        <v>0</v>
      </c>
      <c r="AB10" s="43" t="s">
        <v>111</v>
      </c>
      <c r="AC10">
        <v>50</v>
      </c>
      <c r="AD10" s="6">
        <f>_xlfn.IFNA(IF($E10="Robot",VLOOKUP(AB10,[1]Weapon!$B$1:$G$351,6,FALSE)/2,VLOOKUP(AB10,[1]Weapon!$B$1:$G$351,6,FALSE)),0)</f>
        <v>50</v>
      </c>
      <c r="AE10" s="43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78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432</v>
      </c>
    </row>
    <row r="11" spans="1:46" x14ac:dyDescent="0.25">
      <c r="A11" s="66" t="str">
        <f t="shared" si="0"/>
        <v>Jaelyn</v>
      </c>
      <c r="B11" s="41" t="s">
        <v>74</v>
      </c>
      <c r="C11" s="95"/>
      <c r="D11" s="41" t="s">
        <v>112</v>
      </c>
      <c r="E11" s="72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4</v>
      </c>
      <c r="L11" s="97">
        <f>4+1</f>
        <v>5</v>
      </c>
      <c r="M11" s="46">
        <f>L11</f>
        <v>5</v>
      </c>
      <c r="N11" s="4">
        <v>8</v>
      </c>
      <c r="O11" s="2">
        <f t="shared" si="7"/>
        <v>8</v>
      </c>
      <c r="P11" s="43" t="s">
        <v>88</v>
      </c>
      <c r="Q11">
        <v>15</v>
      </c>
      <c r="R11" s="6">
        <f>_xlfn.IFNA(IF($E11="Robot",VLOOKUP(P11,[1]Weapon!$B$1:$G$351,6,FALSE)/2,VLOOKUP(P11,[1]Weapon!$B$1:$G$351,6,FALSE)),0)</f>
        <v>15</v>
      </c>
      <c r="S11" s="69" t="s">
        <v>140</v>
      </c>
      <c r="T11">
        <v>15</v>
      </c>
      <c r="U11" s="6">
        <f>_xlfn.IFNA(IF($E11="Robot",VLOOKUP(S11,[1]Weapon!$B$1:$G$351,6,FALSE)/2,VLOOKUP(S11,[1]Weapon!$B$1:$G$351,6,FALSE)),0)</f>
        <v>15</v>
      </c>
      <c r="V11" s="85" t="s">
        <v>153</v>
      </c>
      <c r="W11">
        <v>15</v>
      </c>
      <c r="X11" s="6">
        <f>_xlfn.IFNA(IF($E11="Robot",VLOOKUP(V11,[1]Weapon!$B$1:$G$351,6,FALSE)/2,VLOOKUP(V11,[1]Weapon!$B$1:$G$351,6,FALSE)),0)</f>
        <v>15</v>
      </c>
      <c r="Y11" s="35"/>
      <c r="Z11">
        <v>0</v>
      </c>
      <c r="AA11" s="6">
        <f>_xlfn.IFNA(IF($E11="Robot",VLOOKUP(Y11,[1]Weapon!$B$1:$G$351,6,FALSE)/2,VLOOKUP(Y11,[1]Weapon!$B$1:$G$351,6,FALSE)),0)</f>
        <v>0</v>
      </c>
      <c r="AB11" s="43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43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91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96" t="s">
        <v>142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92"/>
      <c r="AS11">
        <f>VLOOKUP(B11,Toolkit!$Q$3:$U$22,2,FALSE)</f>
        <v>331</v>
      </c>
    </row>
    <row r="12" spans="1:46" x14ac:dyDescent="0.25">
      <c r="A12" s="66" t="str">
        <f t="shared" si="0"/>
        <v>DAD-E</v>
      </c>
      <c r="B12" s="41" t="s">
        <v>114</v>
      </c>
      <c r="C12" s="95"/>
      <c r="D12" s="41" t="s">
        <v>115</v>
      </c>
      <c r="E12" s="73" t="s">
        <v>90</v>
      </c>
      <c r="F12">
        <v>110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114</v>
      </c>
      <c r="H12" s="97">
        <v>0</v>
      </c>
      <c r="I12" s="46">
        <f>H12+_xlfn.IFNA(IF(VLOOKUP($P12,[1]Weapon!$B$2:$O$283,13,FALSE)="Str",VLOOKUP($P12,[1]Weapon!$B$2:$O$283,14,FALSE),0),0)+_xlfn.IFNA(IF(VLOOKUP($S12,[1]Weapon!$B$2:$O$283,13,FALSE)="Str",VLOOKUP($S12,[1]Weapon!$B$2:$O$283,14,FALSE),0),0)+_xlfn.IFNA(IF(VLOOKUP($V12,[1]Weapon!$B$2:$O$283,13,FALSE)="Str",VLOOKUP($V12,[1]Weapon!$B$2:$O$283,14,FALSE),0),0)+_xlfn.IFNA(IF(VLOOKUP($Y12,[1]Weapon!$B$2:$O$283,13,FALSE)="Str",VLOOKUP($Y12,[1]Weapon!$B$2:$O$283,14,FALSE),0),0)+_xlfn.IFNA(IF(VLOOKUP($AB12,[1]Weapon!$B$2:$O$283,13,FALSE)="Str",VLOOKUP($AB12,[1]Weapon!$B$2:$O$283,14,FALSE),0),0)+_xlfn.IFNA(IF(VLOOKUP($AE12,[1]Weapon!$B$2:$O$283,13,FALSE)="Str",VLOOKUP($AE12,[1]Weapon!$B$2:$O$283,14,FALSE),0),0)+_xlfn.IFNA(IF(VLOOKUP($AH12,[1]Weapon!$B$2:$O$283,13,FALSE)="Str",VLOOKUP($AH12,[1]Weapon!$B$2:$O$283,14,FALSE),0),0)+_xlfn.IFNA(IF(VLOOKUP($AK12,[1]Weapon!$B$2:$O$283,13,FALSE)="Str",VLOOKUP($AK12,[1]Weapon!$B$2:$O$283,14,FALSE),0),0)</f>
        <v>8</v>
      </c>
      <c r="J12" s="4">
        <v>6</v>
      </c>
      <c r="K12" s="2">
        <f>J12+_xlfn.IFNA(IF(VLOOKUP($P12,[1]Weapon!$B$2:$O$283,13,FALSE)="Def",VLOOKUP($P12,[1]Weapon!$B$2:$O$283,14,FALSE),0),0)+_xlfn.IFNA(IF(VLOOKUP($S12,[1]Weapon!$B$2:$O$283,13,FALSE)="Def",VLOOKUP($S12,[1]Weapon!$B$2:$O$283,14,FALSE),0),0)+_xlfn.IFNA(IF(VLOOKUP($V12,[1]Weapon!$B$2:$O$283,13,FALSE)="Def",VLOOKUP($V12,[1]Weapon!$B$2:$O$283,14,FALSE),0),0)+_xlfn.IFNA(IF(VLOOKUP($Y12,[1]Weapon!$B$2:$O$283,13,FALSE)="Def",VLOOKUP($Y12,[1]Weapon!$B$2:$O$283,14,FALSE),0),0)+_xlfn.IFNA(IF(VLOOKUP($AB12,[1]Weapon!$B$2:$O$283,13,FALSE)="Def",VLOOKUP($AB12,[1]Weapon!$B$2:$O$283,14,FALSE),0),0)+_xlfn.IFNA(IF(VLOOKUP($AE12,[1]Weapon!$B$2:$O$283,13,FALSE)="Def",VLOOKUP($AE12,[1]Weapon!$B$2:$O$283,14,FALSE),0),0)+_xlfn.IFNA(IF(VLOOKUP($AH12,[1]Weapon!$B$2:$O$283,13,FALSE)="Def",VLOOKUP($AH12,[1]Weapon!$B$2:$O$283,14,FALSE),0),0)+_xlfn.IFNA(IF(VLOOKUP($AK12,[1]Weapon!$B$2:$O$283,13,FALSE)="Def",VLOOKUP($AK12,[1]Weapon!$B$2:$O$283,14,FALSE),0),0)</f>
        <v>10</v>
      </c>
      <c r="L12" s="3">
        <v>5</v>
      </c>
      <c r="M12" s="5">
        <f>L12+_xlfn.IFNA(IF(VLOOKUP($P12,[1]Weapon!$B$2:$O$283,13,FALSE)="Agl",VLOOKUP($P12,[1]Weapon!$B$2:$O$283,14,FALSE),0),0)+_xlfn.IFNA(IF(VLOOKUP($S12,[1]Weapon!$B$2:$O$283,13,FALSE)="Agl",VLOOKUP($S12,[1]Weapon!$B$2:$O$283,14,FALSE),0),0)+_xlfn.IFNA(IF(VLOOKUP($V12,[1]Weapon!$B$2:$O$283,13,FALSE)="Agl",VLOOKUP($V12,[1]Weapon!$B$2:$O$283,14,FALSE),0),0)+_xlfn.IFNA(IF(VLOOKUP($Y12,[1]Weapon!$B$2:$O$283,13,FALSE)="Agl",VLOOKUP($Y12,[1]Weapon!$B$2:$O$283,14,FALSE),0),0)+_xlfn.IFNA(IF(VLOOKUP($AB12,[1]Weapon!$B$2:$O$283,13,FALSE)="Agl",VLOOKUP($AB12,[1]Weapon!$B$2:$O$283,14,FALSE),0),0)+_xlfn.IFNA(IF(VLOOKUP($AE12,[1]Weapon!$B$2:$O$283,13,FALSE)="Agl",VLOOKUP($AE12,[1]Weapon!$B$2:$O$283,14,FALSE),0),0)+_xlfn.IFNA(IF(VLOOKUP($AH12,[1]Weapon!$B$2:$O$283,13,FALSE)="Agl",VLOOKUP($AH12,[1]Weapon!$B$2:$O$283,14,FALSE),0),0)+_xlfn.IFNA(IF(VLOOKUP($AK12,[1]Weapon!$B$2:$O$283,13,FALSE)="Agl",VLOOKUP($AK12,[1]Weapon!$B$2:$O$283,14,FALSE),0),0)</f>
        <v>8</v>
      </c>
      <c r="N12" s="4">
        <v>0</v>
      </c>
      <c r="O12" s="2">
        <f t="shared" ref="O12" si="9">N12</f>
        <v>0</v>
      </c>
      <c r="P12" s="43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43" t="s">
        <v>116</v>
      </c>
      <c r="T12">
        <v>18</v>
      </c>
      <c r="U12" s="6">
        <f>_xlfn.IFNA(IF($E12="Robot",VLOOKUP(S12,[1]Weapon!$B$1:$G$351,6,FALSE)/2,VLOOKUP(S12,[1]Weapon!$B$1:$G$351,6,FALSE)),0)</f>
        <v>20</v>
      </c>
      <c r="V12" s="78" t="s">
        <v>111</v>
      </c>
      <c r="W12">
        <v>25</v>
      </c>
      <c r="X12" s="6">
        <f>_xlfn.IFNA(IF($E12="Robot",VLOOKUP(V12,[1]Weapon!$B$1:$G$351,6,FALSE)/2,VLOOKUP(V12,[1]Weapon!$B$1:$G$351,6,FALSE)),0)</f>
        <v>25</v>
      </c>
      <c r="Y12" s="84" t="s">
        <v>41</v>
      </c>
      <c r="Z12">
        <v>25</v>
      </c>
      <c r="AA12" s="6">
        <f>_xlfn.IFNA(IF($E12="Robot",VLOOKUP(Y12,[1]Weapon!$B$1:$G$351,6,FALSE)/2,VLOOKUP(Y12,[1]Weapon!$B$1:$G$351,6,FALSE)),0)</f>
        <v>25</v>
      </c>
      <c r="AB12" s="96" t="s">
        <v>164</v>
      </c>
      <c r="AC12">
        <v>-1</v>
      </c>
      <c r="AD12" s="6">
        <f>_xlfn.IFNA(IF($E12="Robot",VLOOKUP(AB12,[1]Weapon!$B$1:$G$351,6,FALSE)/2,VLOOKUP(AB12,[1]Weapon!$B$1:$G$351,6,FALSE)),0)</f>
        <v>-1</v>
      </c>
      <c r="AE12" s="96" t="s">
        <v>124</v>
      </c>
      <c r="AF12">
        <v>25</v>
      </c>
      <c r="AG12" s="6">
        <f>_xlfn.IFNA(IF($E12="Robot",VLOOKUP(AE12,[1]Weapon!$B$1:$G$351,6,FALSE)/2,VLOOKUP(AE12,[1]Weapon!$B$1:$G$351,6,FALSE)),0)</f>
        <v>25</v>
      </c>
      <c r="AH12" s="96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106" t="s">
        <v>143</v>
      </c>
      <c r="AS12">
        <f>VLOOKUP(B12,Toolkit!$Q$3:$U$22,2,FALSE)</f>
        <v>190</v>
      </c>
    </row>
    <row r="13" spans="1:46" x14ac:dyDescent="0.25">
      <c r="A13" s="66" t="str">
        <f t="shared" ref="A13:A18" si="10">B13</f>
        <v>Tankbot</v>
      </c>
      <c r="B13" s="41" t="s">
        <v>117</v>
      </c>
      <c r="C13" s="95"/>
      <c r="D13" s="41" t="s">
        <v>118</v>
      </c>
      <c r="E13" s="42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97">
        <v>0</v>
      </c>
      <c r="I13" s="46">
        <f>H13+_xlfn.IFNA(IF(VLOOKUP($P13,[1]Weapon!$B$2:$O$283,13,FALSE)="Str",VLOOKUP($P13,[1]Weapon!$B$2:$O$283,14,FALSE),0),0)+_xlfn.IFNA(IF(VLOOKUP($S13,[1]Weapon!$B$2:$O$283,13,FALSE)="Str",VLOOKUP($S13,[1]Weapon!$B$2:$O$283,14,FALSE),0),0)+_xlfn.IFNA(IF(VLOOKUP($V13,[1]Weapon!$B$2:$O$283,13,FALSE)="Str",VLOOKUP($V13,[1]Weapon!$B$2:$O$283,14,FALSE),0),0)+_xlfn.IFNA(IF(VLOOKUP($Y13,[1]Weapon!$B$2:$O$283,13,FALSE)="Str",VLOOKUP($Y13,[1]Weapon!$B$2:$O$283,14,FALSE),0),0)+_xlfn.IFNA(IF(VLOOKUP($AB13,[1]Weapon!$B$2:$O$283,13,FALSE)="Str",VLOOKUP($AB13,[1]Weapon!$B$2:$O$283,14,FALSE),0),0)+_xlfn.IFNA(IF(VLOOKUP($AE13,[1]Weapon!$B$2:$O$283,13,FALSE)="Str",VLOOKUP($AE13,[1]Weapon!$B$2:$O$283,14,FALSE),0),0)+_xlfn.IFNA(IF(VLOOKUP($AH13,[1]Weapon!$B$2:$O$283,13,FALSE)="Str",VLOOKUP($AH13,[1]Weapon!$B$2:$O$283,14,FALSE),0),0)+_xlfn.IFNA(IF(VLOOKUP($AK13,[1]Weapon!$B$2:$O$283,13,FALSE)="Str",VLOOKUP($AK13,[1]Weapon!$B$2:$O$283,14,FALSE),0),0)</f>
        <v>0</v>
      </c>
      <c r="J13" s="4">
        <v>6</v>
      </c>
      <c r="K13" s="2">
        <f>J13+_xlfn.IFNA(IF(VLOOKUP($P13,[1]Weapon!$B$2:$O$283,13,FALSE)="Def",VLOOKUP($P13,[1]Weapon!$B$2:$O$283,14,FALSE),0),0)+_xlfn.IFNA(IF(VLOOKUP($S13,[1]Weapon!$B$2:$O$283,13,FALSE)="Def",VLOOKUP($S13,[1]Weapon!$B$2:$O$283,14,FALSE),0),0)+_xlfn.IFNA(IF(VLOOKUP($V13,[1]Weapon!$B$2:$O$283,13,FALSE)="Def",VLOOKUP($V13,[1]Weapon!$B$2:$O$283,14,FALSE),0),0)+_xlfn.IFNA(IF(VLOOKUP($Y13,[1]Weapon!$B$2:$O$283,13,FALSE)="Def",VLOOKUP($Y13,[1]Weapon!$B$2:$O$283,14,FALSE),0),0)+_xlfn.IFNA(IF(VLOOKUP($AB13,[1]Weapon!$B$2:$O$283,13,FALSE)="Def",VLOOKUP($AB13,[1]Weapon!$B$2:$O$283,14,FALSE),0),0)+_xlfn.IFNA(IF(VLOOKUP($AE13,[1]Weapon!$B$2:$O$283,13,FALSE)="Def",VLOOKUP($AE13,[1]Weapon!$B$2:$O$283,14,FALSE),0),0)+_xlfn.IFNA(IF(VLOOKUP($AH13,[1]Weapon!$B$2:$O$283,13,FALSE)="Def",VLOOKUP($AH13,[1]Weapon!$B$2:$O$283,14,FALSE),0),0)+_xlfn.IFNA(IF(VLOOKUP($AK13,[1]Weapon!$B$2:$O$283,13,FALSE)="Def",VLOOKUP($AK13,[1]Weapon!$B$2:$O$283,14,FALSE),0),0)</f>
        <v>10</v>
      </c>
      <c r="L13" s="3">
        <v>5</v>
      </c>
      <c r="M13" s="5">
        <f>L13+_xlfn.IFNA(IF(VLOOKUP($P13,[1]Weapon!$B$2:$O$283,13,FALSE)="Agl",VLOOKUP($P13,[1]Weapon!$B$2:$O$283,14,FALSE),0),0)+_xlfn.IFNA(IF(VLOOKUP($S13,[1]Weapon!$B$2:$O$283,13,FALSE)="Agl",VLOOKUP($S13,[1]Weapon!$B$2:$O$283,14,FALSE),0),0)+_xlfn.IFNA(IF(VLOOKUP($V13,[1]Weapon!$B$2:$O$283,13,FALSE)="Agl",VLOOKUP($V13,[1]Weapon!$B$2:$O$283,14,FALSE),0),0)+_xlfn.IFNA(IF(VLOOKUP($Y13,[1]Weapon!$B$2:$O$283,13,FALSE)="Agl",VLOOKUP($Y13,[1]Weapon!$B$2:$O$283,14,FALSE),0),0)+_xlfn.IFNA(IF(VLOOKUP($AB13,[1]Weapon!$B$2:$O$283,13,FALSE)="Agl",VLOOKUP($AB13,[1]Weapon!$B$2:$O$283,14,FALSE),0),0)+_xlfn.IFNA(IF(VLOOKUP($AE13,[1]Weapon!$B$2:$O$283,13,FALSE)="Agl",VLOOKUP($AE13,[1]Weapon!$B$2:$O$283,14,FALSE),0),0)+_xlfn.IFNA(IF(VLOOKUP($AH13,[1]Weapon!$B$2:$O$283,13,FALSE)="Agl",VLOOKUP($AH13,[1]Weapon!$B$2:$O$283,14,FALSE),0),0)+_xlfn.IFNA(IF(VLOOKUP($AK13,[1]Weapon!$B$2:$O$283,13,FALSE)="Agl",VLOOKUP($AK13,[1]Weapon!$B$2:$O$283,14,FALSE),0),0)</f>
        <v>5</v>
      </c>
      <c r="N13" s="4">
        <v>0</v>
      </c>
      <c r="O13" s="2">
        <f t="shared" ref="O13" si="11">N13</f>
        <v>0</v>
      </c>
      <c r="P13" s="43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4" t="s">
        <v>124</v>
      </c>
      <c r="T13">
        <v>25</v>
      </c>
      <c r="U13" s="6">
        <f>_xlfn.IFNA(IF($E13="Robot",VLOOKUP(S13,[1]Weapon!$B$1:$G$351,6,FALSE)/2,VLOOKUP(S13,[1]Weapon!$B$1:$G$351,6,FALSE)),0)</f>
        <v>25</v>
      </c>
      <c r="V13" s="69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77"/>
      <c r="Z13">
        <v>0</v>
      </c>
      <c r="AA13" s="6">
        <f>_xlfn.IFNA(IF($E13="Robot",VLOOKUP(Y13,[1]Weapon!$B$1:$G$351,6,FALSE)/2,VLOOKUP(Y13,[1]Weapon!$B$1:$G$351,6,FALSE)),0)</f>
        <v>0</v>
      </c>
      <c r="AB13" s="34"/>
      <c r="AC13">
        <v>0</v>
      </c>
      <c r="AD13" s="6">
        <f>_xlfn.IFNA(IF($E13="Robot",VLOOKUP(AB13,[1]Weapon!$B$1:$G$351,6,FALSE)/2,VLOOKUP(AB13,[1]Weapon!$B$1:$G$351,6,FALSE)),0)</f>
        <v>0</v>
      </c>
      <c r="AE13" s="34"/>
      <c r="AF13">
        <v>0</v>
      </c>
      <c r="AG13" s="6">
        <f>_xlfn.IFNA(IF($E13="Robot",VLOOKUP(AE13,[1]Weapon!$B$1:$G$351,6,FALSE)/2,VLOOKUP(AE13,[1]Weapon!$B$1:$G$351,6,FALSE)),0)</f>
        <v>0</v>
      </c>
      <c r="AH13" s="34"/>
      <c r="AI13">
        <v>0</v>
      </c>
      <c r="AJ13" s="6">
        <f>_xlfn.IFNA(IF($E13="Robot",VLOOKUP(AH13,[1]Weapon!$B$1:$G$351,6,FALSE)/2,VLOOKUP(AH13,[1]Weapon!$B$1:$G$351,6,FALSE)),0)</f>
        <v>0</v>
      </c>
      <c r="AL13">
        <v>0</v>
      </c>
      <c r="AM13" s="6">
        <f>_xlfn.IFNA(IF($E13="Robot",VLOOKUP(AK13,[1]Weapon!$B$1:$G$351,6,FALSE)/2,VLOOKUP(AK13,[1]Weapon!$B$1:$G$351,6,FALSE)),0)</f>
        <v>0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9"/>
      <c r="AS13">
        <f>VLOOKUP(B13,Toolkit!$Q$3:$U$22,2,FALSE)</f>
        <v>320</v>
      </c>
    </row>
    <row r="14" spans="1:46" x14ac:dyDescent="0.25">
      <c r="A14" s="66" t="str">
        <f t="shared" si="10"/>
        <v>DM</v>
      </c>
      <c r="B14" s="41" t="s">
        <v>119</v>
      </c>
      <c r="C14" s="95"/>
      <c r="D14" s="41" t="s">
        <v>120</v>
      </c>
      <c r="E14" s="93" t="s">
        <v>158</v>
      </c>
      <c r="F14">
        <v>126</v>
      </c>
      <c r="G14" s="2">
        <f>IF(ISBLANK(VLOOKUP($E14,[1]Monster!$A$2:$X$256,10,FALSE)),"",VLOOKUP($E14,[1]Monster!$A$2:$X$256,10,FALSE))</f>
        <v>126</v>
      </c>
      <c r="H14" s="3">
        <v>0</v>
      </c>
      <c r="I14" s="5">
        <f>IF(ISBLANK(VLOOKUP($E14,[1]Monster!$A$2:$X$256,11,FALSE)),"",VLOOKUP($E14,[1]Monster!$A$2:$X$256,11,FALSE))+H14</f>
        <v>14</v>
      </c>
      <c r="J14" s="4">
        <v>0</v>
      </c>
      <c r="K14" s="2">
        <f>IF(ISBLANK(VLOOKUP($E14,[1]Monster!$A$2:$X$256,14,FALSE)),"",VLOOKUP($E14,[1]Monster!$A$2:$X$256,14,FALSE))+J14</f>
        <v>13</v>
      </c>
      <c r="L14" s="3">
        <v>0</v>
      </c>
      <c r="M14" s="5">
        <f>IF(ISBLANK(VLOOKUP($E14,[1]Monster!$A$2:$X$256,12,FALSE)),"",VLOOKUP($E14,[1]Monster!$A$2:$X$256,12,FALSE))+L14</f>
        <v>14</v>
      </c>
      <c r="N14" s="4">
        <v>0</v>
      </c>
      <c r="O14" s="2">
        <f>IF(ISBLANK(VLOOKUP($E14,[1]Monster!$A$2:$X$256,13,FALSE)),"",VLOOKUP($E14,[1]Monster!$A$2:$X$256,13,FALSE))+N14</f>
        <v>10</v>
      </c>
      <c r="P14" s="34" t="str">
        <f>IF(ISBLANK(VLOOKUP($E14,[1]Monster!$A$2:$X$256,16,FALSE)),"",VLOOKUP($E14,[1]Monster!$A$2:$X$256,16,FALSE))</f>
        <v>Kick</v>
      </c>
      <c r="Q14">
        <v>15</v>
      </c>
      <c r="R14" s="6">
        <f>_xlfn.IFNA(IF($E14="Robot",VLOOKUP(P14,[1]Weapon!$B$1:$G$351,6,FALSE)/2,VLOOKUP(P14,[1]Weapon!$B$1:$G$351,6,FALSE)),0)</f>
        <v>15</v>
      </c>
      <c r="S14" s="34" t="str">
        <f>IF(ISBLANK(VLOOKUP($E14,[1]Monster!$A$2:$X$256,17,FALSE)),"",VLOOKUP($E14,[1]Monster!$A$2:$X$256,17,FALSE))</f>
        <v>Breath</v>
      </c>
      <c r="T14">
        <v>20</v>
      </c>
      <c r="U14" s="6">
        <f>_xlfn.IFNA(IF($E14="Robot",VLOOKUP(S14,[1]Weapon!$B$1:$G$351,6,FALSE)/2,VLOOKUP(S14,[1]Weapon!$B$1:$G$351,6,FALSE)),0)</f>
        <v>20</v>
      </c>
      <c r="V14" s="35" t="str">
        <f>IF(ISBLANK(VLOOKUP($E14,[1]Monster!$A$2:$X$256,18,FALSE)),"",VLOOKUP($E14,[1]Monster!$A$2:$X$256,18,FALSE))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5"/>
      <c r="Z14">
        <v>0</v>
      </c>
      <c r="AA14" s="6">
        <f>_xlfn.IFNA(IF($E14="Robot",VLOOKUP(Y14,[1]Weapon!$B$1:$G$351,6,FALSE)/2,VLOOKUP(Y14,[1]Weapon!$B$1:$G$351,6,FALSE)),0)</f>
        <v>0</v>
      </c>
      <c r="AB14" s="34" t="str">
        <f>IF(ISBLANK(VLOOKUP($E14,[1]Monster!$A$2:$X$256,20,FALSE)),"",VLOOKUP($E14,[1]Monster!$A$2:$X$256,20,FALSE))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4" t="str">
        <f>IF(ISBLANK(VLOOKUP($E14,[1]Monster!$A$2:$X$256,21,FALSE)),"",VLOOKUP($E14,[1]Monster!$A$2:$X$256,21,FALSE))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5" t="str">
        <f>IF(ISBLANK(VLOOKUP($E14,[1]Monster!$A$2:$X$256,22,FALSE)),"",VLOOKUP($E14,[1]Monster!$A$2:$X$256,22,FALSE))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IF(ISBLANK(VLOOKUP($E14,[1]Monster!$A$2:$X$256,23,FALSE)),"",VLOOKUP($E14,[1]Monster!$A$2:$X$256,23,FALSE))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106" t="s">
        <v>167</v>
      </c>
      <c r="AS14">
        <f>VLOOKUP(B14,Toolkit!$Q$3:$U$22,2,FALSE)</f>
        <v>9</v>
      </c>
    </row>
    <row r="15" spans="1:46" x14ac:dyDescent="0.25">
      <c r="A15" s="66" t="str">
        <f t="shared" si="10"/>
        <v>Lictus</v>
      </c>
      <c r="B15" s="47" t="s">
        <v>127</v>
      </c>
      <c r="C15" s="95"/>
      <c r="D15" s="45" t="s">
        <v>122</v>
      </c>
      <c r="E15" s="74" t="s">
        <v>60</v>
      </c>
      <c r="F15">
        <v>60</v>
      </c>
      <c r="G15" s="2">
        <v>60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44" t="s">
        <v>123</v>
      </c>
      <c r="Q15">
        <v>36</v>
      </c>
      <c r="R15" s="6">
        <f>_xlfn.IFNA(IF($E15="Robot",VLOOKUP(P15,[1]Weapon!$B$1:$G$351,6,FALSE)/2,VLOOKUP(P15,[1]Weapon!$B$1:$G$351,6,FALSE)),0)</f>
        <v>50</v>
      </c>
      <c r="S15" s="44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91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96" t="s">
        <v>142</v>
      </c>
      <c r="Z15">
        <v>-1</v>
      </c>
      <c r="AA15" s="6">
        <f>_xlfn.IFNA(IF($E15="Robot",VLOOKUP(Y15,[1]Weapon!$B$1:$G$351,6,FALSE)/2,VLOOKUP(Y15,[1]Weapon!$B$1:$G$351,6,FALSE)),0)</f>
        <v>-2</v>
      </c>
      <c r="AB15" s="96" t="s">
        <v>164</v>
      </c>
      <c r="AC15">
        <v>-1</v>
      </c>
      <c r="AD15" s="6">
        <f>_xlfn.IFNA(IF($E15="Robot",VLOOKUP(AB15,[1]Weapon!$B$1:$G$351,6,FALSE)/2,VLOOKUP(AB15,[1]Weapon!$B$1:$G$351,6,FALSE)),0)</f>
        <v>-2</v>
      </c>
      <c r="AE15" s="34"/>
      <c r="AF15">
        <v>-1</v>
      </c>
      <c r="AG15" s="6">
        <f>_xlfn.IFNA(IF($E15="Robot",VLOOKUP(AE15,[1]Weapon!$B$1:$G$351,6,FALSE)/2,VLOOKUP(AE15,[1]Weapon!$B$1:$G$351,6,FALSE)),0)</f>
        <v>0</v>
      </c>
      <c r="AH15" s="34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106" t="s">
        <v>168</v>
      </c>
      <c r="AS15">
        <f>VLOOKUP(B15,Toolkit!$Q$3:$U$22,2,FALSE)</f>
        <v>145</v>
      </c>
    </row>
    <row r="16" spans="1:46" x14ac:dyDescent="0.25">
      <c r="A16" s="66" t="str">
        <f t="shared" si="10"/>
        <v>BYTE</v>
      </c>
      <c r="B16" s="47" t="s">
        <v>125</v>
      </c>
      <c r="C16" s="95"/>
      <c r="D16" s="47" t="s">
        <v>126</v>
      </c>
      <c r="E16" s="42" t="s">
        <v>90</v>
      </c>
      <c r="F16">
        <v>123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123</v>
      </c>
      <c r="H16" s="97">
        <v>0</v>
      </c>
      <c r="I16" s="46">
        <f>H16+_xlfn.IFNA(IF(VLOOKUP($P16,[1]Weapon!$B$2:$O$283,13,FALSE)="Str",VLOOKUP($P16,[1]Weapon!$B$2:$O$283,14,FALSE),0),0)+_xlfn.IFNA(IF(VLOOKUP($S16,[1]Weapon!$B$2:$O$283,13,FALSE)="Str",VLOOKUP($S16,[1]Weapon!$B$2:$O$283,14,FALSE),0),0)+_xlfn.IFNA(IF(VLOOKUP($V16,[1]Weapon!$B$2:$O$283,13,FALSE)="Str",VLOOKUP($V16,[1]Weapon!$B$2:$O$283,14,FALSE),0),0)+_xlfn.IFNA(IF(VLOOKUP($Y16,[1]Weapon!$B$2:$O$283,13,FALSE)="Str",VLOOKUP($Y16,[1]Weapon!$B$2:$O$283,14,FALSE),0),0)+_xlfn.IFNA(IF(VLOOKUP($AB16,[1]Weapon!$B$2:$O$283,13,FALSE)="Str",VLOOKUP($AB16,[1]Weapon!$B$2:$O$283,14,FALSE),0),0)+_xlfn.IFNA(IF(VLOOKUP($AE16,[1]Weapon!$B$2:$O$283,13,FALSE)="Str",VLOOKUP($AE16,[1]Weapon!$B$2:$O$283,14,FALSE),0),0)+_xlfn.IFNA(IF(VLOOKUP($AH16,[1]Weapon!$B$2:$O$283,13,FALSE)="Str",VLOOKUP($AH16,[1]Weapon!$B$2:$O$283,14,FALSE),0),0)+_xlfn.IFNA(IF(VLOOKUP($AK16,[1]Weapon!$B$2:$O$283,13,FALSE)="Str",VLOOKUP($AK16,[1]Weapon!$B$2:$O$283,14,FALSE),0),0)</f>
        <v>18</v>
      </c>
      <c r="J16" s="4">
        <v>6</v>
      </c>
      <c r="K16" s="2">
        <f>J16+_xlfn.IFNA(IF(VLOOKUP($P16,[1]Weapon!$B$2:$O$283,13,FALSE)="Def",VLOOKUP($P16,[1]Weapon!$B$2:$O$283,14,FALSE),0),0)+_xlfn.IFNA(IF(VLOOKUP($S16,[1]Weapon!$B$2:$O$283,13,FALSE)="Def",VLOOKUP($S16,[1]Weapon!$B$2:$O$283,14,FALSE),0),0)+_xlfn.IFNA(IF(VLOOKUP($V16,[1]Weapon!$B$2:$O$283,13,FALSE)="Def",VLOOKUP($V16,[1]Weapon!$B$2:$O$283,14,FALSE),0),0)+_xlfn.IFNA(IF(VLOOKUP($Y16,[1]Weapon!$B$2:$O$283,13,FALSE)="Def",VLOOKUP($Y16,[1]Weapon!$B$2:$O$283,14,FALSE),0),0)+_xlfn.IFNA(IF(VLOOKUP($AB16,[1]Weapon!$B$2:$O$283,13,FALSE)="Def",VLOOKUP($AB16,[1]Weapon!$B$2:$O$283,14,FALSE),0),0)+_xlfn.IFNA(IF(VLOOKUP($AE16,[1]Weapon!$B$2:$O$283,13,FALSE)="Def",VLOOKUP($AE16,[1]Weapon!$B$2:$O$283,14,FALSE),0),0)+_xlfn.IFNA(IF(VLOOKUP($AH16,[1]Weapon!$B$2:$O$283,13,FALSE)="Def",VLOOKUP($AH16,[1]Weapon!$B$2:$O$283,14,FALSE),0),0)+_xlfn.IFNA(IF(VLOOKUP($AK16,[1]Weapon!$B$2:$O$283,13,FALSE)="Def",VLOOKUP($AK16,[1]Weapon!$B$2:$O$283,14,FALSE),0),0)</f>
        <v>8</v>
      </c>
      <c r="L16" s="3">
        <v>5</v>
      </c>
      <c r="M16" s="5">
        <f>L16+_xlfn.IFNA(IF(VLOOKUP($P16,[1]Weapon!$B$2:$O$283,13,FALSE)="Agl",VLOOKUP($P16,[1]Weapon!$B$2:$O$283,14,FALSE),0),0)+_xlfn.IFNA(IF(VLOOKUP($S16,[1]Weapon!$B$2:$O$283,13,FALSE)="Agl",VLOOKUP($S16,[1]Weapon!$B$2:$O$283,14,FALSE),0),0)+_xlfn.IFNA(IF(VLOOKUP($V16,[1]Weapon!$B$2:$O$283,13,FALSE)="Agl",VLOOKUP($V16,[1]Weapon!$B$2:$O$283,14,FALSE),0),0)+_xlfn.IFNA(IF(VLOOKUP($Y16,[1]Weapon!$B$2:$O$283,13,FALSE)="Agl",VLOOKUP($Y16,[1]Weapon!$B$2:$O$283,14,FALSE),0),0)+_xlfn.IFNA(IF(VLOOKUP($AB16,[1]Weapon!$B$2:$O$283,13,FALSE)="Agl",VLOOKUP($AB16,[1]Weapon!$B$2:$O$283,14,FALSE),0),0)+_xlfn.IFNA(IF(VLOOKUP($AE16,[1]Weapon!$B$2:$O$283,13,FALSE)="Agl",VLOOKUP($AE16,[1]Weapon!$B$2:$O$283,14,FALSE),0),0)+_xlfn.IFNA(IF(VLOOKUP($AH16,[1]Weapon!$B$2:$O$283,13,FALSE)="Agl",VLOOKUP($AH16,[1]Weapon!$B$2:$O$283,14,FALSE),0),0)+_xlfn.IFNA(IF(VLOOKUP($AK16,[1]Weapon!$B$2:$O$283,13,FALSE)="Agl",VLOOKUP($AK16,[1]Weapon!$B$2:$O$283,14,FALSE),0),0)</f>
        <v>5</v>
      </c>
      <c r="N16" s="4">
        <v>0</v>
      </c>
      <c r="O16" s="2">
        <f t="shared" si="7"/>
        <v>0</v>
      </c>
      <c r="P16" s="43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43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91" t="s">
        <v>111</v>
      </c>
      <c r="W16">
        <v>25</v>
      </c>
      <c r="X16" s="6">
        <f>_xlfn.IFNA(IF($E16="Robot",VLOOKUP(V16,[1]Weapon!$B$1:$G$351,6,FALSE)/2,VLOOKUP(V16,[1]Weapon!$B$1:$G$351,6,FALSE)),0)</f>
        <v>25</v>
      </c>
      <c r="Y16" s="96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96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96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96" t="s">
        <v>41</v>
      </c>
      <c r="AI16">
        <v>24</v>
      </c>
      <c r="AJ16" s="6">
        <f>_xlfn.IFNA(IF($E16="Robot",VLOOKUP(AH16,[1]Weapon!$B$1:$G$351,6,FALSE)/2,VLOOKUP(AH16,[1]Weapon!$B$1:$G$351,6,FALSE)),0)</f>
        <v>25</v>
      </c>
      <c r="AK16" s="96" t="s">
        <v>124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106" t="s">
        <v>143</v>
      </c>
      <c r="AS16">
        <f>VLOOKUP(B16,Toolkit!$Q$3:$U$22,2,FALSE)</f>
        <v>9</v>
      </c>
    </row>
    <row r="17" spans="1:45" x14ac:dyDescent="0.25">
      <c r="A17" s="66" t="str">
        <f t="shared" si="10"/>
        <v>Mr. S</v>
      </c>
      <c r="B17" s="64" t="s">
        <v>133</v>
      </c>
      <c r="C17" s="7"/>
      <c r="D17" s="64" t="s">
        <v>134</v>
      </c>
      <c r="E17" s="75" t="s">
        <v>135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4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4" t="str">
        <f>IF(ISBLANK(VLOOKUP($E17,[1]Monster!$A$2:$X$256,17,FALSE)),"",VLOOKUP($E17,[1]Monster!$A$2:$X$256,17,FALSE))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5" t="str">
        <f>IF(ISBLANK(VLOOKUP($E17,[1]Monster!$A$2:$X$256,18,FALSE)),"",VLOOKUP($E17,[1]Monster!$A$2:$X$256,18,FALSE))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5"/>
      <c r="Z17">
        <v>-1</v>
      </c>
      <c r="AA17" s="6">
        <f>_xlfn.IFNA(IF($E17="Robot",VLOOKUP(Y17,[1]Weapon!$B$1:$G$351,6,FALSE)/2,VLOOKUP(Y17,[1]Weapon!$B$1:$G$351,6,FALSE)),0)</f>
        <v>0</v>
      </c>
      <c r="AB17" s="34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4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5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98" t="s">
        <v>165</v>
      </c>
      <c r="C18" s="7"/>
      <c r="D18" s="98" t="s">
        <v>166</v>
      </c>
      <c r="E18" s="99" t="s">
        <v>91</v>
      </c>
      <c r="F18">
        <v>52</v>
      </c>
      <c r="G18" s="2">
        <v>52</v>
      </c>
      <c r="H18" s="3">
        <v>6</v>
      </c>
      <c r="I18" s="5">
        <f t="shared" ref="I18" si="14">H18</f>
        <v>6</v>
      </c>
      <c r="J18" s="4">
        <v>0</v>
      </c>
      <c r="K18" s="2">
        <f>J18+_xlfn.IFNA(VLOOKUP($P18,[1]Weapon!$A$1:$M$274,9,FALSE),0)+_xlfn.IFNA(VLOOKUP($S18,[1]Weapon!$A$1:$M$274,9,FALSE),0)+_xlfn.IFNA(VLOOKUP($V18,[1]Weapon!$A$1:$M$274,9,FALSE),0)+_xlfn.IFNA(VLOOKUP($Y18,[1]Weapon!$A$1:$M$274,9,FALSE),0)+_xlfn.IFNA(VLOOKUP($AB18,[1]Weapon!$A$1:$M$274,9,FALSE),0)+_xlfn.IFNA(VLOOKUP($AE18,[1]Weapon!$A$1:$M$274,9,FALSE),0)+_xlfn.IFNA(VLOOKUP($AH18,[1]Weapon!$A$1:$M$274,9,FALSE),0)+_xlfn.IFNA(VLOOKUP($AK18,[1]Weapon!$A$1:$M$274,9,FALSE),0)</f>
        <v>6</v>
      </c>
      <c r="L18" s="97">
        <v>4</v>
      </c>
      <c r="M18" s="46">
        <f>L18</f>
        <v>4</v>
      </c>
      <c r="N18" s="4">
        <v>6</v>
      </c>
      <c r="O18" s="2">
        <f t="shared" ref="O18" si="15">N18</f>
        <v>6</v>
      </c>
      <c r="P18" s="107" t="s">
        <v>88</v>
      </c>
      <c r="Q18">
        <v>15</v>
      </c>
      <c r="R18" s="6">
        <f>_xlfn.IFNA(IF($E18="Robot",VLOOKUP(P18,[1]Weapon!$B$1:$G$351,6,FALSE)/2,VLOOKUP(P18,[1]Weapon!$B$1:$G$351,6,FALSE)),0)</f>
        <v>15</v>
      </c>
      <c r="S18" s="69"/>
      <c r="T18">
        <v>-1</v>
      </c>
      <c r="U18" s="6">
        <f>_xlfn.IFNA(IF($E18="Robot",VLOOKUP(S18,[1]Weapon!$B$1:$G$351,6,FALSE)/2,VLOOKUP(S18,[1]Weapon!$B$1:$G$351,6,FALSE)),0)</f>
        <v>0</v>
      </c>
      <c r="V18" s="85"/>
      <c r="W18">
        <v>-1</v>
      </c>
      <c r="X18" s="6">
        <f>_xlfn.IFNA(IF($E18="Robot",VLOOKUP(V18,[1]Weapon!$B$1:$G$351,6,FALSE)/2,VLOOKUP(V18,[1]Weapon!$B$1:$G$351,6,FALSE)),0)</f>
        <v>0</v>
      </c>
      <c r="Y18" s="35"/>
      <c r="Z18">
        <v>0</v>
      </c>
      <c r="AA18" s="6">
        <f>_xlfn.IFNA(IF($E18="Robot",VLOOKUP(Y18,[1]Weapon!$B$1:$G$351,6,FALSE)/2,VLOOKUP(Y18,[1]Weapon!$B$1:$G$351,6,FALSE)),0)</f>
        <v>0</v>
      </c>
      <c r="AB18" s="43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107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107" t="s">
        <v>142</v>
      </c>
      <c r="AI18">
        <v>0</v>
      </c>
      <c r="AJ18" s="6">
        <f>_xlfn.IFNA(IF($E18="Robot",VLOOKUP(AH18,[1]Weapon!$B$1:$G$351,6,FALSE)/2,VLOOKUP(AH18,[1]Weapon!$B$1:$G$351,6,FALSE)),0)</f>
        <v>-2</v>
      </c>
      <c r="AK18" s="107" t="s">
        <v>164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92"/>
      <c r="AS18">
        <f>VLOOKUP(B18,Toolkit!$Q$3:$U$22,2,FALSE)</f>
        <v>25</v>
      </c>
    </row>
    <row r="19" spans="1:45" x14ac:dyDescent="0.25">
      <c r="B19" s="31"/>
      <c r="C19" s="7"/>
      <c r="D19" s="31"/>
      <c r="E19" s="30"/>
      <c r="F19"/>
      <c r="J19" s="4"/>
      <c r="N19" s="4"/>
      <c r="P19" s="35"/>
      <c r="Q19"/>
      <c r="S19" s="35"/>
      <c r="T19"/>
      <c r="V19" s="35"/>
      <c r="W19"/>
      <c r="Y19" s="35"/>
      <c r="Z19"/>
      <c r="AB19" s="35"/>
      <c r="AC19"/>
      <c r="AF19"/>
      <c r="AI19"/>
      <c r="AL19"/>
      <c r="AO19"/>
      <c r="AR19" s="9"/>
    </row>
    <row r="20" spans="1:45" x14ac:dyDescent="0.25">
      <c r="B20" s="37"/>
      <c r="D20" s="37"/>
      <c r="E20" s="37"/>
      <c r="F20"/>
      <c r="P20" s="36"/>
      <c r="Q20"/>
      <c r="S20" s="36"/>
      <c r="T20"/>
      <c r="V20" s="36"/>
      <c r="W20"/>
      <c r="Y20" s="36"/>
      <c r="Z20"/>
      <c r="AB20" s="36"/>
      <c r="AC20"/>
      <c r="AF20"/>
      <c r="AH20" s="24"/>
      <c r="AI20"/>
      <c r="AK20" s="24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4" priority="24">
      <formula>LEN(TRIM(A1))&gt;0</formula>
    </cfRule>
  </conditionalFormatting>
  <conditionalFormatting sqref="Q20:AP20 AI9 AI6 Q3:Q4 AI3 Q6:Q12 Z9 S3:T4 S6:T12 R3:R17 V3:W4 V6:W12 U3:U17 Q2:X2 Y3:Z4 Y6:Z8 Y10:Z12 X3:X17 AB3:AC4 AB6:AC12 AA3:AA17 AE3:AF4 AD3:AD17 AH10:AI12 AH4:AI4 AH7:AI8 AG3:AG17 AK3:AL4 AK6:AL12 AJ3:AJ17 AN3:AO12 AM3:AM17 Z2:AP2 AP3:AP17 AE6:AF12">
    <cfRule type="cellIs" dxfId="13" priority="22" operator="lessThan">
      <formula>0</formula>
    </cfRule>
  </conditionalFormatting>
  <conditionalFormatting sqref="A13:A19">
    <cfRule type="notContainsBlanks" dxfId="12" priority="13">
      <formula>LEN(TRIM(A13))&gt;0</formula>
    </cfRule>
  </conditionalFormatting>
  <conditionalFormatting sqref="Q13 Q15 Q19:AP19 S15:T15 S13:T13 V13:W13 V15:W16 Y15:Z16 Y13:Z13 AB13:AC13 AB15:AC16 AE15:AF16 AE13:AF13 AH13:AI13 AH15:AI16 AK15:AL16 AK13:AL13 AN13:AO17">
    <cfRule type="cellIs" dxfId="11" priority="12" operator="lessThan">
      <formula>0</formula>
    </cfRule>
  </conditionalFormatting>
  <conditionalFormatting sqref="AH9">
    <cfRule type="cellIs" dxfId="10" priority="11" operator="lessThan">
      <formula>0</formula>
    </cfRule>
  </conditionalFormatting>
  <conditionalFormatting sqref="AH6">
    <cfRule type="cellIs" dxfId="9" priority="10" operator="lessThan">
      <formula>0</formula>
    </cfRule>
  </conditionalFormatting>
  <conditionalFormatting sqref="AH3">
    <cfRule type="cellIs" dxfId="8" priority="9" operator="lessThan">
      <formula>0</formula>
    </cfRule>
  </conditionalFormatting>
  <conditionalFormatting sqref="Y9">
    <cfRule type="cellIs" dxfId="7" priority="8" operator="lessThan">
      <formula>0</formula>
    </cfRule>
  </conditionalFormatting>
  <conditionalFormatting sqref="Y2">
    <cfRule type="cellIs" dxfId="6" priority="7" operator="lessThan">
      <formula>0</formula>
    </cfRule>
  </conditionalFormatting>
  <conditionalFormatting sqref="Q5 Z5 S5:T5 V5:W5 AB5:AC5 AE5:AF5 AH5:AI5 AK5:AL5">
    <cfRule type="cellIs" dxfId="5" priority="6" operator="lessThan">
      <formula>0</formula>
    </cfRule>
  </conditionalFormatting>
  <conditionalFormatting sqref="Y5">
    <cfRule type="cellIs" dxfId="4" priority="5" operator="lessThan">
      <formula>0</formula>
    </cfRule>
  </conditionalFormatting>
  <conditionalFormatting sqref="Q14 S14:T14 V14:W14 Y14:Z14 AB14:AC14 AE14:AF14 AH14:AI14 AK14:AL14">
    <cfRule type="cellIs" dxfId="3" priority="4" operator="lessThan">
      <formula>0</formula>
    </cfRule>
  </conditionalFormatting>
  <conditionalFormatting sqref="Q16 S16:T16">
    <cfRule type="cellIs" dxfId="2" priority="3" operator="lessThan">
      <formula>0</formula>
    </cfRule>
  </conditionalFormatting>
  <conditionalFormatting sqref="Q17 S17:T17 V17:W17 Y17:Z17 AB17:AC17 AE17:AF17 AH17:AI17 AK17:AL17">
    <cfRule type="cellIs" dxfId="1" priority="2" operator="lessThan">
      <formula>0</formula>
    </cfRule>
  </conditionalFormatting>
  <conditionalFormatting sqref="Q18:AP18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tabSelected="1" workbookViewId="0">
      <selection activeCell="O7" sqref="O7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0" t="s">
        <v>131</v>
      </c>
      <c r="B1" s="101"/>
      <c r="C1" s="101"/>
      <c r="D1" s="101"/>
      <c r="E1" s="101"/>
      <c r="F1" s="101"/>
      <c r="G1" s="101"/>
      <c r="H1" s="101"/>
      <c r="I1" s="102"/>
      <c r="K1" s="103" t="s">
        <v>132</v>
      </c>
      <c r="L1" s="104"/>
      <c r="M1" s="104"/>
      <c r="N1" s="104"/>
      <c r="O1" s="105"/>
      <c r="Q1" s="103" t="s">
        <v>151</v>
      </c>
      <c r="R1" s="104"/>
      <c r="S1" s="104"/>
      <c r="T1" s="104"/>
      <c r="U1" s="105"/>
    </row>
    <row r="2" spans="1:21" x14ac:dyDescent="0.2">
      <c r="A2" s="60" t="s">
        <v>40</v>
      </c>
      <c r="B2" s="61" t="s">
        <v>8</v>
      </c>
      <c r="C2" s="61" t="s">
        <v>85</v>
      </c>
      <c r="D2" s="61" t="s">
        <v>82</v>
      </c>
      <c r="E2" s="62" t="s">
        <v>79</v>
      </c>
      <c r="F2" s="62" t="s">
        <v>80</v>
      </c>
      <c r="G2" s="61" t="s">
        <v>83</v>
      </c>
      <c r="H2" s="61" t="s">
        <v>81</v>
      </c>
      <c r="I2" s="63" t="s">
        <v>86</v>
      </c>
      <c r="K2" s="53" t="s">
        <v>128</v>
      </c>
      <c r="L2" s="54" t="s">
        <v>141</v>
      </c>
      <c r="M2" s="54" t="s">
        <v>69</v>
      </c>
      <c r="N2" s="54" t="s">
        <v>129</v>
      </c>
      <c r="O2" s="55" t="s">
        <v>130</v>
      </c>
      <c r="Q2" s="53" t="s">
        <v>128</v>
      </c>
      <c r="R2" s="54" t="s">
        <v>136</v>
      </c>
      <c r="S2" s="54" t="s">
        <v>137</v>
      </c>
      <c r="T2" s="54" t="s">
        <v>152</v>
      </c>
      <c r="U2" s="55" t="s">
        <v>138</v>
      </c>
    </row>
    <row r="3" spans="1:21" ht="15" x14ac:dyDescent="0.25">
      <c r="A3" s="49"/>
      <c r="B3" s="56" t="e">
        <f>VLOOKUP(A3,Players!$B$2:$O$20,5,FALSE)</f>
        <v>#N/A</v>
      </c>
      <c r="C3" s="56" t="e">
        <f>VLOOKUP(A3,Players!$B$2:$O$20,6,FALSE)</f>
        <v>#N/A</v>
      </c>
      <c r="D3" s="56" t="e">
        <f>VLOOKUP(A3,Players!$B$2:$O$20,14,FALSE)</f>
        <v>#N/A</v>
      </c>
      <c r="E3" s="56" t="s">
        <v>84</v>
      </c>
      <c r="F3" s="56" t="s">
        <v>133</v>
      </c>
      <c r="G3" s="56">
        <f>VLOOKUP(F3,Players!$B$2:$O$20,14,FALSE)</f>
        <v>19</v>
      </c>
      <c r="H3" s="56" t="e">
        <f>IF(E3="Cure Potion",30,IF(E3="Spell",PRODUCT(4,D3+G3),0))</f>
        <v>#N/A</v>
      </c>
      <c r="I3" s="57" t="e">
        <f>IF(SUM(H3+B3)&lt;C3,SUM(H3+B3),C3)</f>
        <v>#N/A</v>
      </c>
      <c r="K3" s="50" t="s">
        <v>92</v>
      </c>
      <c r="L3" s="108" t="s">
        <v>171</v>
      </c>
      <c r="M3" s="70">
        <f ca="1">VLOOKUP($K3,INDIRECT("'"&amp;L3&amp;"'!$A$2:$F$10"),6,FALSE)</f>
        <v>0</v>
      </c>
      <c r="N3" s="56" t="s">
        <v>154</v>
      </c>
      <c r="O3" s="57" t="s">
        <v>162</v>
      </c>
      <c r="Q3" s="50" t="s">
        <v>92</v>
      </c>
      <c r="R3">
        <v>281</v>
      </c>
      <c r="S3" s="56" t="e">
        <f t="shared" ref="S3:S17" si="0">VLOOKUP(L3,R$26:S$34,2,FALSE)</f>
        <v>#N/A</v>
      </c>
      <c r="T3" s="56"/>
      <c r="U3" s="57" t="e">
        <f t="shared" ref="U3:U17" si="1">S3+R3-T3</f>
        <v>#N/A</v>
      </c>
    </row>
    <row r="4" spans="1:21" ht="15" x14ac:dyDescent="0.25">
      <c r="A4" s="49"/>
      <c r="B4" s="56" t="e">
        <f>VLOOKUP(A4,Players!$B$2:$O$20,5,FALSE)</f>
        <v>#N/A</v>
      </c>
      <c r="C4" s="56" t="e">
        <f>VLOOKUP(A4,Players!$B$2:$O$20,6,FALSE)</f>
        <v>#N/A</v>
      </c>
      <c r="D4" s="56" t="e">
        <f>VLOOKUP(A4,Players!$B$2:$O$20,14,FALSE)</f>
        <v>#N/A</v>
      </c>
      <c r="E4" s="56" t="s">
        <v>84</v>
      </c>
      <c r="F4" s="56" t="s">
        <v>133</v>
      </c>
      <c r="G4" s="56">
        <f>VLOOKUP(F4,Players!$B$2:$O$20,14,FALSE)</f>
        <v>19</v>
      </c>
      <c r="H4" s="56" t="e">
        <f>IF(E4="Cure Potion",30,IF(E4="Spell",PRODUCT(4,D4+G4),0))</f>
        <v>#N/A</v>
      </c>
      <c r="I4" s="57" t="e">
        <f>IF(SUM(H4+B4)&lt;C4,SUM(H4+B4),C4)</f>
        <v>#N/A</v>
      </c>
      <c r="K4" s="50" t="s">
        <v>93</v>
      </c>
      <c r="L4" s="108" t="s">
        <v>169</v>
      </c>
      <c r="M4" s="70">
        <f t="shared" ref="M4:M17" ca="1" si="2">VLOOKUP($K4,INDIRECT("'"&amp;L4&amp;"'!$A$2:$F$10"),6,FALSE)</f>
        <v>0</v>
      </c>
      <c r="N4" s="56" t="s">
        <v>89</v>
      </c>
      <c r="O4" s="57"/>
      <c r="Q4" s="50" t="s">
        <v>93</v>
      </c>
      <c r="R4">
        <v>215</v>
      </c>
      <c r="S4" s="56" t="e">
        <f t="shared" si="0"/>
        <v>#N/A</v>
      </c>
      <c r="T4" s="56"/>
      <c r="U4" s="57" t="e">
        <f t="shared" si="1"/>
        <v>#N/A</v>
      </c>
    </row>
    <row r="5" spans="1:21" ht="15" x14ac:dyDescent="0.25">
      <c r="A5" s="49"/>
      <c r="B5" s="56" t="e">
        <f>VLOOKUP(A5,Players!$B$2:$O$20,5,FALSE)</f>
        <v>#N/A</v>
      </c>
      <c r="C5" s="56" t="e">
        <f>VLOOKUP(A5,Players!$B$2:$O$20,6,FALSE)</f>
        <v>#N/A</v>
      </c>
      <c r="D5" s="56" t="e">
        <f>VLOOKUP(A5,Players!$B$2:$O$20,14,FALSE)</f>
        <v>#N/A</v>
      </c>
      <c r="E5" s="56" t="s">
        <v>84</v>
      </c>
      <c r="F5" s="56" t="s">
        <v>133</v>
      </c>
      <c r="G5" s="56">
        <f>VLOOKUP(F5,Players!$B$2:$O$20,14,FALSE)</f>
        <v>19</v>
      </c>
      <c r="H5" s="56" t="e">
        <f t="shared" ref="H5:H10" si="3">IF(E5="Cure Potion",30,IF(E5="Spell",PRODUCT(4,D5+G5),0))</f>
        <v>#N/A</v>
      </c>
      <c r="I5" s="57" t="e">
        <f t="shared" ref="I5:I10" si="4">IF(SUM(H5+B5)&lt;C5,SUM(H5+B5),C5)</f>
        <v>#N/A</v>
      </c>
      <c r="K5" s="50" t="s">
        <v>97</v>
      </c>
      <c r="L5" s="108" t="s">
        <v>169</v>
      </c>
      <c r="M5" s="70">
        <f t="shared" ca="1" si="2"/>
        <v>0</v>
      </c>
      <c r="N5" s="56" t="s">
        <v>95</v>
      </c>
      <c r="O5" s="57" t="s">
        <v>3</v>
      </c>
      <c r="Q5" s="50" t="s">
        <v>97</v>
      </c>
      <c r="R5">
        <v>243</v>
      </c>
      <c r="S5" s="56" t="e">
        <f t="shared" si="0"/>
        <v>#N/A</v>
      </c>
      <c r="T5" s="56"/>
      <c r="U5" s="57" t="e">
        <f t="shared" si="1"/>
        <v>#N/A</v>
      </c>
    </row>
    <row r="6" spans="1:21" ht="15" x14ac:dyDescent="0.25">
      <c r="A6" s="49"/>
      <c r="B6" s="56" t="e">
        <f>VLOOKUP(A6,Players!$B$2:$O$20,5,FALSE)</f>
        <v>#N/A</v>
      </c>
      <c r="C6" s="56" t="e">
        <f>VLOOKUP(A6,Players!$B$2:$O$20,6,FALSE)</f>
        <v>#N/A</v>
      </c>
      <c r="D6" s="56" t="e">
        <f>VLOOKUP(A6,Players!$B$2:$O$20,14,FALSE)</f>
        <v>#N/A</v>
      </c>
      <c r="E6" s="56" t="s">
        <v>84</v>
      </c>
      <c r="F6" s="56" t="s">
        <v>133</v>
      </c>
      <c r="G6" s="56">
        <f>VLOOKUP(F6,Players!$B$2:$O$20,14,FALSE)</f>
        <v>19</v>
      </c>
      <c r="H6" s="56" t="e">
        <f t="shared" si="3"/>
        <v>#N/A</v>
      </c>
      <c r="I6" s="57" t="e">
        <f t="shared" si="4"/>
        <v>#N/A</v>
      </c>
      <c r="K6" s="50" t="s">
        <v>98</v>
      </c>
      <c r="L6" s="108" t="s">
        <v>170</v>
      </c>
      <c r="M6" s="70">
        <f t="shared" ca="1" si="2"/>
        <v>0</v>
      </c>
      <c r="N6" s="56" t="s">
        <v>155</v>
      </c>
      <c r="O6" s="57" t="s">
        <v>3</v>
      </c>
      <c r="Q6" s="50" t="s">
        <v>98</v>
      </c>
      <c r="R6">
        <v>315</v>
      </c>
      <c r="S6" s="56" t="e">
        <f t="shared" si="0"/>
        <v>#N/A</v>
      </c>
      <c r="T6" s="56"/>
      <c r="U6" s="57" t="e">
        <f t="shared" si="1"/>
        <v>#N/A</v>
      </c>
    </row>
    <row r="7" spans="1:21" ht="15" x14ac:dyDescent="0.25">
      <c r="A7" s="49"/>
      <c r="B7" s="56" t="e">
        <f>VLOOKUP(A7,Players!$B$2:$O$20,5,FALSE)</f>
        <v>#N/A</v>
      </c>
      <c r="C7" s="56" t="e">
        <f>VLOOKUP(A7,Players!$B$2:$O$20,6,FALSE)</f>
        <v>#N/A</v>
      </c>
      <c r="D7" s="56" t="e">
        <f>VLOOKUP(A7,Players!$B$2:$O$20,14,FALSE)</f>
        <v>#N/A</v>
      </c>
      <c r="E7" s="56" t="s">
        <v>84</v>
      </c>
      <c r="F7" s="56" t="s">
        <v>74</v>
      </c>
      <c r="G7" s="56">
        <f>VLOOKUP(F7,Players!$B$2:$O$20,14,FALSE)</f>
        <v>8</v>
      </c>
      <c r="H7" s="56" t="e">
        <f t="shared" si="3"/>
        <v>#N/A</v>
      </c>
      <c r="I7" s="57" t="e">
        <f t="shared" si="4"/>
        <v>#N/A</v>
      </c>
      <c r="K7" s="50" t="s">
        <v>76</v>
      </c>
      <c r="L7" s="108" t="s">
        <v>171</v>
      </c>
      <c r="M7" s="70">
        <f t="shared" ca="1" si="2"/>
        <v>0</v>
      </c>
      <c r="N7" s="56" t="s">
        <v>121</v>
      </c>
      <c r="O7" s="57" t="s">
        <v>159</v>
      </c>
      <c r="Q7" s="50" t="s">
        <v>76</v>
      </c>
      <c r="R7">
        <v>334</v>
      </c>
      <c r="S7" s="56" t="e">
        <f t="shared" si="0"/>
        <v>#N/A</v>
      </c>
      <c r="T7" s="56"/>
      <c r="U7" s="57" t="e">
        <f t="shared" si="1"/>
        <v>#N/A</v>
      </c>
    </row>
    <row r="8" spans="1:21" ht="15" x14ac:dyDescent="0.25">
      <c r="A8" s="49"/>
      <c r="B8" s="56" t="e">
        <f>VLOOKUP(A8,Players!$B$2:$O$20,5,FALSE)</f>
        <v>#N/A</v>
      </c>
      <c r="C8" s="56" t="e">
        <f>VLOOKUP(A8,Players!$B$2:$O$20,6,FALSE)</f>
        <v>#N/A</v>
      </c>
      <c r="D8" s="56" t="e">
        <f>VLOOKUP(A8,Players!$B$2:$O$20,14,FALSE)</f>
        <v>#N/A</v>
      </c>
      <c r="E8" s="56" t="s">
        <v>84</v>
      </c>
      <c r="F8" s="56" t="s">
        <v>133</v>
      </c>
      <c r="G8" s="56">
        <f>VLOOKUP(F8,Players!$B$2:$O$20,14,FALSE)</f>
        <v>19</v>
      </c>
      <c r="H8" s="56" t="e">
        <f t="shared" si="3"/>
        <v>#N/A</v>
      </c>
      <c r="I8" s="57" t="e">
        <f t="shared" si="4"/>
        <v>#N/A</v>
      </c>
      <c r="K8" s="51" t="s">
        <v>101</v>
      </c>
      <c r="L8" s="108" t="s">
        <v>169</v>
      </c>
      <c r="M8" s="70">
        <f t="shared" ca="1" si="2"/>
        <v>0</v>
      </c>
      <c r="N8" s="56" t="s">
        <v>104</v>
      </c>
      <c r="O8" s="57" t="s">
        <v>160</v>
      </c>
      <c r="Q8" s="51" t="s">
        <v>101</v>
      </c>
      <c r="R8">
        <v>168</v>
      </c>
      <c r="S8" s="56" t="e">
        <f t="shared" si="0"/>
        <v>#N/A</v>
      </c>
      <c r="T8" s="56"/>
      <c r="U8" s="57" t="e">
        <f t="shared" si="1"/>
        <v>#N/A</v>
      </c>
    </row>
    <row r="9" spans="1:21" ht="15" x14ac:dyDescent="0.25">
      <c r="A9" s="49"/>
      <c r="B9" s="56" t="e">
        <f>VLOOKUP(A9,Players!$B$2:$O$20,5,FALSE)</f>
        <v>#N/A</v>
      </c>
      <c r="C9" s="56" t="e">
        <f>VLOOKUP(A9,Players!$B$2:$O$20,6,FALSE)</f>
        <v>#N/A</v>
      </c>
      <c r="D9" s="56" t="e">
        <f>VLOOKUP(A9,Players!$B$2:$O$20,14,FALSE)</f>
        <v>#N/A</v>
      </c>
      <c r="E9" s="56" t="s">
        <v>84</v>
      </c>
      <c r="F9" s="56" t="s">
        <v>133</v>
      </c>
      <c r="G9" s="56">
        <f>VLOOKUP(F9,Players!$B$2:$O$20,14,FALSE)</f>
        <v>19</v>
      </c>
      <c r="H9" s="56" t="e">
        <f t="shared" si="3"/>
        <v>#N/A</v>
      </c>
      <c r="I9" s="57" t="e">
        <f t="shared" si="4"/>
        <v>#N/A</v>
      </c>
      <c r="K9" s="51" t="s">
        <v>105</v>
      </c>
      <c r="L9" s="108" t="s">
        <v>169</v>
      </c>
      <c r="M9" s="70">
        <f t="shared" ca="1" si="2"/>
        <v>0</v>
      </c>
      <c r="N9" s="56" t="s">
        <v>41</v>
      </c>
      <c r="O9" s="57" t="s">
        <v>161</v>
      </c>
      <c r="Q9" s="51" t="s">
        <v>105</v>
      </c>
      <c r="R9">
        <v>356</v>
      </c>
      <c r="S9" s="56" t="e">
        <f t="shared" si="0"/>
        <v>#N/A</v>
      </c>
      <c r="T9" s="56"/>
      <c r="U9" s="57" t="e">
        <f t="shared" si="1"/>
        <v>#N/A</v>
      </c>
    </row>
    <row r="10" spans="1:21" ht="15" x14ac:dyDescent="0.25">
      <c r="A10" s="49"/>
      <c r="B10" s="56" t="e">
        <f>VLOOKUP(A10,Players!$B$2:$O$20,5,FALSE)</f>
        <v>#N/A</v>
      </c>
      <c r="C10" s="56" t="e">
        <f>VLOOKUP(A10,Players!$B$2:$O$20,6,FALSE)</f>
        <v>#N/A</v>
      </c>
      <c r="D10" s="56" t="e">
        <f>VLOOKUP(A10,Players!$B$2:$O$20,14,FALSE)</f>
        <v>#N/A</v>
      </c>
      <c r="E10" s="56" t="s">
        <v>84</v>
      </c>
      <c r="F10" s="56" t="s">
        <v>133</v>
      </c>
      <c r="G10" s="56">
        <f>VLOOKUP(F10,Players!$B$2:$O$20,14,FALSE)</f>
        <v>19</v>
      </c>
      <c r="H10" s="56" t="e">
        <f t="shared" si="3"/>
        <v>#N/A</v>
      </c>
      <c r="I10" s="57" t="e">
        <f t="shared" si="4"/>
        <v>#N/A</v>
      </c>
      <c r="K10" s="51" t="s">
        <v>107</v>
      </c>
      <c r="L10" s="108" t="s">
        <v>170</v>
      </c>
      <c r="M10" s="70">
        <f t="shared" ca="1" si="2"/>
        <v>0</v>
      </c>
      <c r="N10" s="56" t="s">
        <v>121</v>
      </c>
      <c r="O10" s="57" t="s">
        <v>161</v>
      </c>
      <c r="Q10" s="51" t="s">
        <v>107</v>
      </c>
      <c r="R10">
        <v>206</v>
      </c>
      <c r="S10" s="56" t="e">
        <f t="shared" si="0"/>
        <v>#N/A</v>
      </c>
      <c r="T10" s="56"/>
      <c r="U10" s="57" t="e">
        <f t="shared" si="1"/>
        <v>#N/A</v>
      </c>
    </row>
    <row r="11" spans="1:21" ht="15.75" thickBot="1" x14ac:dyDescent="0.3">
      <c r="A11" s="48"/>
      <c r="B11" s="58"/>
      <c r="C11" s="58"/>
      <c r="D11" s="58"/>
      <c r="E11" s="58"/>
      <c r="F11" s="58"/>
      <c r="G11" s="58"/>
      <c r="H11" s="58"/>
      <c r="I11" s="59"/>
      <c r="K11" s="51" t="s">
        <v>109</v>
      </c>
      <c r="L11" s="108" t="s">
        <v>171</v>
      </c>
      <c r="M11" s="70">
        <f t="shared" ca="1" si="2"/>
        <v>0</v>
      </c>
      <c r="N11" s="56" t="s">
        <v>89</v>
      </c>
      <c r="O11" s="57"/>
      <c r="Q11" s="51" t="s">
        <v>109</v>
      </c>
      <c r="R11">
        <v>432</v>
      </c>
      <c r="S11" s="56" t="e">
        <f t="shared" si="0"/>
        <v>#N/A</v>
      </c>
      <c r="T11" s="56"/>
      <c r="U11" s="57" t="e">
        <f t="shared" si="1"/>
        <v>#N/A</v>
      </c>
    </row>
    <row r="12" spans="1:21" ht="15" x14ac:dyDescent="0.25">
      <c r="K12" s="51" t="s">
        <v>74</v>
      </c>
      <c r="L12" s="108" t="s">
        <v>170</v>
      </c>
      <c r="M12" s="70">
        <f t="shared" ca="1" si="2"/>
        <v>0</v>
      </c>
      <c r="N12" s="56" t="s">
        <v>88</v>
      </c>
      <c r="O12" s="57"/>
      <c r="Q12" s="51" t="s">
        <v>74</v>
      </c>
      <c r="R12">
        <v>331</v>
      </c>
      <c r="S12" s="56" t="e">
        <f t="shared" si="0"/>
        <v>#N/A</v>
      </c>
      <c r="T12" s="56"/>
      <c r="U12" s="57" t="e">
        <f t="shared" si="1"/>
        <v>#N/A</v>
      </c>
    </row>
    <row r="13" spans="1:21" ht="15" x14ac:dyDescent="0.25">
      <c r="A13" t="s">
        <v>157</v>
      </c>
      <c r="K13" s="51" t="s">
        <v>114</v>
      </c>
      <c r="L13" s="108" t="s">
        <v>171</v>
      </c>
      <c r="M13" s="70">
        <f t="shared" ca="1" si="2"/>
        <v>0</v>
      </c>
      <c r="N13" s="56" t="s">
        <v>116</v>
      </c>
      <c r="O13" s="57" t="s">
        <v>159</v>
      </c>
      <c r="Q13" s="51" t="s">
        <v>114</v>
      </c>
      <c r="R13">
        <v>190</v>
      </c>
      <c r="S13" s="56" t="e">
        <f t="shared" si="0"/>
        <v>#N/A</v>
      </c>
      <c r="T13" s="56"/>
      <c r="U13" s="57" t="e">
        <f t="shared" si="1"/>
        <v>#N/A</v>
      </c>
    </row>
    <row r="14" spans="1:21" ht="15" x14ac:dyDescent="0.25">
      <c r="A14" t="s">
        <v>74</v>
      </c>
      <c r="B14" t="s">
        <v>88</v>
      </c>
      <c r="C14">
        <v>1</v>
      </c>
      <c r="K14" s="51" t="s">
        <v>117</v>
      </c>
      <c r="L14" s="94"/>
      <c r="M14" s="70" t="e">
        <f t="shared" ca="1" si="2"/>
        <v>#REF!</v>
      </c>
      <c r="N14" s="56"/>
      <c r="O14" s="57"/>
      <c r="Q14" s="51" t="s">
        <v>117</v>
      </c>
      <c r="R14">
        <v>320</v>
      </c>
      <c r="S14" s="56" t="e">
        <f t="shared" si="0"/>
        <v>#N/A</v>
      </c>
      <c r="T14" s="56"/>
      <c r="U14" s="57" t="e">
        <f t="shared" si="1"/>
        <v>#N/A</v>
      </c>
    </row>
    <row r="15" spans="1:21" ht="15" x14ac:dyDescent="0.25">
      <c r="K15" s="51" t="s">
        <v>119</v>
      </c>
      <c r="L15" s="108" t="s">
        <v>170</v>
      </c>
      <c r="M15" s="70">
        <f t="shared" ca="1" si="2"/>
        <v>0</v>
      </c>
      <c r="N15" s="56" t="s">
        <v>163</v>
      </c>
      <c r="O15" s="57" t="s">
        <v>161</v>
      </c>
      <c r="Q15" s="51" t="s">
        <v>119</v>
      </c>
      <c r="R15">
        <v>9</v>
      </c>
      <c r="S15" s="56" t="e">
        <f t="shared" si="0"/>
        <v>#N/A</v>
      </c>
      <c r="T15" s="56"/>
      <c r="U15" s="57" t="e">
        <f>S15+R15-T15</f>
        <v>#N/A</v>
      </c>
    </row>
    <row r="16" spans="1:21" ht="15" x14ac:dyDescent="0.25">
      <c r="K16" s="52" t="s">
        <v>127</v>
      </c>
      <c r="L16" s="108" t="s">
        <v>171</v>
      </c>
      <c r="M16" s="70">
        <f t="shared" ca="1" si="2"/>
        <v>0</v>
      </c>
      <c r="N16" s="56" t="s">
        <v>123</v>
      </c>
      <c r="O16" s="57" t="s">
        <v>162</v>
      </c>
      <c r="Q16" s="52" t="s">
        <v>127</v>
      </c>
      <c r="R16">
        <v>145</v>
      </c>
      <c r="S16" s="56" t="e">
        <f t="shared" si="0"/>
        <v>#N/A</v>
      </c>
      <c r="T16" s="56"/>
      <c r="U16" s="57" t="e">
        <f t="shared" si="1"/>
        <v>#N/A</v>
      </c>
    </row>
    <row r="17" spans="11:21" ht="15" x14ac:dyDescent="0.25">
      <c r="K17" s="52" t="s">
        <v>125</v>
      </c>
      <c r="L17" s="108" t="s">
        <v>171</v>
      </c>
      <c r="M17" s="70">
        <f t="shared" ca="1" si="2"/>
        <v>0</v>
      </c>
      <c r="N17" s="56" t="s">
        <v>41</v>
      </c>
      <c r="O17" s="57" t="s">
        <v>161</v>
      </c>
      <c r="Q17" s="52" t="s">
        <v>125</v>
      </c>
      <c r="R17">
        <v>9</v>
      </c>
      <c r="S17" s="56" t="e">
        <f t="shared" si="0"/>
        <v>#N/A</v>
      </c>
      <c r="T17" s="56"/>
      <c r="U17" s="57" t="e">
        <f t="shared" si="1"/>
        <v>#N/A</v>
      </c>
    </row>
    <row r="18" spans="11:21" ht="15" x14ac:dyDescent="0.25">
      <c r="K18" s="49" t="s">
        <v>165</v>
      </c>
      <c r="L18" s="108" t="s">
        <v>170</v>
      </c>
      <c r="M18" s="67"/>
      <c r="N18" s="56" t="s">
        <v>111</v>
      </c>
      <c r="O18" s="57" t="s">
        <v>3</v>
      </c>
      <c r="Q18" s="49" t="s">
        <v>165</v>
      </c>
      <c r="R18">
        <v>25</v>
      </c>
      <c r="S18" s="56" t="e">
        <f t="shared" ref="S18" si="5">VLOOKUP(L18,R$26:S$34,2,FALSE)</f>
        <v>#N/A</v>
      </c>
      <c r="T18" s="56"/>
      <c r="U18" s="57" t="e">
        <f t="shared" ref="U18" si="6">S18+R18-T18</f>
        <v>#N/A</v>
      </c>
    </row>
    <row r="19" spans="11:21" x14ac:dyDescent="0.2">
      <c r="K19" s="49"/>
      <c r="L19" s="67"/>
      <c r="M19" s="67"/>
      <c r="N19" s="56"/>
      <c r="O19" s="57"/>
      <c r="Q19" s="49"/>
      <c r="R19" s="56"/>
      <c r="S19" s="56"/>
      <c r="T19" s="56"/>
      <c r="U19" s="57"/>
    </row>
    <row r="20" spans="11:21" x14ac:dyDescent="0.2">
      <c r="K20" s="49"/>
      <c r="L20" s="67"/>
      <c r="M20" s="67"/>
      <c r="N20" s="56"/>
      <c r="O20" s="57"/>
      <c r="Q20" s="49"/>
      <c r="R20" s="56"/>
      <c r="S20" s="56"/>
      <c r="T20" s="56"/>
      <c r="U20" s="57"/>
    </row>
    <row r="21" spans="11:21" x14ac:dyDescent="0.2">
      <c r="K21" s="49"/>
      <c r="L21" s="67"/>
      <c r="M21" s="67"/>
      <c r="N21" s="56"/>
      <c r="O21" s="57"/>
      <c r="Q21" s="49"/>
      <c r="R21" s="56"/>
      <c r="S21" s="56"/>
      <c r="T21" s="56"/>
      <c r="U21" s="57"/>
    </row>
    <row r="22" spans="11:21" ht="13.5" thickBot="1" x14ac:dyDescent="0.25">
      <c r="K22" s="48"/>
      <c r="L22" s="68"/>
      <c r="M22" s="68"/>
      <c r="N22" s="58"/>
      <c r="O22" s="59"/>
      <c r="Q22" s="48"/>
      <c r="R22" s="58"/>
      <c r="S22" s="58"/>
      <c r="T22" s="58"/>
      <c r="U22" s="59"/>
    </row>
    <row r="23" spans="11:21" ht="13.5" thickBot="1" x14ac:dyDescent="0.25"/>
    <row r="24" spans="11:21" ht="18.75" thickBot="1" x14ac:dyDescent="0.3">
      <c r="Q24" s="103" t="s">
        <v>156</v>
      </c>
      <c r="R24" s="104"/>
      <c r="S24" s="105"/>
    </row>
    <row r="25" spans="11:21" x14ac:dyDescent="0.2">
      <c r="Q25" s="88" t="s">
        <v>150</v>
      </c>
      <c r="R25" s="89" t="s">
        <v>149</v>
      </c>
      <c r="S25" s="90" t="s">
        <v>148</v>
      </c>
    </row>
    <row r="26" spans="11:21" x14ac:dyDescent="0.2">
      <c r="Q26" s="49">
        <v>4</v>
      </c>
      <c r="R26" s="67" t="str">
        <f>INDEX(SheetNames,Q26)</f>
        <v>Inn and Cafe</v>
      </c>
      <c r="S26" s="86"/>
    </row>
    <row r="27" spans="11:21" x14ac:dyDescent="0.2">
      <c r="Q27" s="49">
        <v>5</v>
      </c>
      <c r="R27" s="67" t="str">
        <f t="shared" ref="R27:R34" si="7">INDEX(SheetNames,Q27)</f>
        <v>Weapon Shop</v>
      </c>
      <c r="S27" s="86"/>
    </row>
    <row r="28" spans="11:21" x14ac:dyDescent="0.2">
      <c r="Q28" s="49">
        <v>6</v>
      </c>
      <c r="R28" s="67" t="str">
        <f t="shared" si="7"/>
        <v>Tool Shop</v>
      </c>
      <c r="S28" s="86"/>
    </row>
    <row r="29" spans="11:21" x14ac:dyDescent="0.2">
      <c r="Q29" s="49">
        <v>7</v>
      </c>
      <c r="R29" s="67" t="str">
        <f>INDEX(SheetNames,Q29)</f>
        <v>Butcher Shop</v>
      </c>
      <c r="S29" s="86"/>
    </row>
    <row r="30" spans="11:21" x14ac:dyDescent="0.2">
      <c r="Q30" s="49">
        <v>8</v>
      </c>
      <c r="R30" s="67" t="str">
        <f>INDEX(SheetNames,Q30)</f>
        <v>Dojo</v>
      </c>
      <c r="S30" s="86"/>
    </row>
    <row r="31" spans="11:21" x14ac:dyDescent="0.2">
      <c r="Q31" s="49">
        <v>9</v>
      </c>
      <c r="R31" s="67" t="e">
        <f t="shared" si="7"/>
        <v>#REF!</v>
      </c>
      <c r="S31" s="86"/>
    </row>
    <row r="32" spans="11:21" x14ac:dyDescent="0.2">
      <c r="Q32" s="49">
        <v>10</v>
      </c>
      <c r="R32" s="67" t="e">
        <f t="shared" si="7"/>
        <v>#REF!</v>
      </c>
      <c r="S32" s="86"/>
    </row>
    <row r="33" spans="17:19" x14ac:dyDescent="0.2">
      <c r="Q33" s="49">
        <v>11</v>
      </c>
      <c r="R33" s="67" t="e">
        <f t="shared" si="7"/>
        <v>#REF!</v>
      </c>
      <c r="S33" s="86"/>
    </row>
    <row r="34" spans="17:19" ht="13.5" thickBot="1" x14ac:dyDescent="0.25">
      <c r="Q34" s="48">
        <v>12</v>
      </c>
      <c r="R34" s="68" t="e">
        <f t="shared" si="7"/>
        <v>#REF!</v>
      </c>
      <c r="S34" s="87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C9" sqref="C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K2" t="str">
        <f>IF(NOT($B2="Enemy"),VLOOKUP($A2,Toolkit!$K$2:$O$37,4,FALSE),"")</f>
        <v>Colt Gun</v>
      </c>
      <c r="L2" t="str">
        <f>IF(NOT($B2="Enemy"),VLOOKUP($A2,Toolkit!$K$2:$O$37,5,FALSE),"")</f>
        <v>Skelton</v>
      </c>
    </row>
    <row r="3" spans="1:22" x14ac:dyDescent="0.2">
      <c r="A3" t="s">
        <v>105</v>
      </c>
      <c r="B3" t="s">
        <v>16</v>
      </c>
      <c r="C3">
        <v>1</v>
      </c>
      <c r="D3">
        <v>2</v>
      </c>
      <c r="K3" t="str">
        <f>IF(NOT($B3="Enemy"),VLOOKUP($A3,Toolkit!$K$2:$O$37,4,FALSE),"")</f>
        <v>Long Sword</v>
      </c>
      <c r="L3" t="str">
        <f>IF(NOT($B3="Enemy"),VLOOKUP($A3,Toolkit!$K$2:$O$37,5,FALSE),"")</f>
        <v>Asigaru</v>
      </c>
    </row>
    <row r="4" spans="1:22" x14ac:dyDescent="0.2">
      <c r="A4" t="s">
        <v>93</v>
      </c>
      <c r="B4" t="s">
        <v>16</v>
      </c>
      <c r="C4">
        <v>1</v>
      </c>
      <c r="D4">
        <v>3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97</v>
      </c>
      <c r="B5" t="s">
        <v>16</v>
      </c>
      <c r="C5">
        <v>1</v>
      </c>
      <c r="D5">
        <v>4</v>
      </c>
      <c r="K5" t="str">
        <f>IF(NOT($B5="Enemy"),VLOOKUP($A5,Toolkit!$K$2:$O$37,4,FALSE),"")</f>
        <v>Bow</v>
      </c>
      <c r="L5" t="str">
        <f>IF(NOT($B5="Enemy"),VLOOKUP($A5,Toolkit!$K$2:$O$37,5,FALSE),"")</f>
        <v>Goblin</v>
      </c>
    </row>
    <row r="6" spans="1:22" x14ac:dyDescent="0.2">
      <c r="A6" t="s">
        <v>3</v>
      </c>
      <c r="B6" t="s">
        <v>17</v>
      </c>
      <c r="C6">
        <v>1</v>
      </c>
    </row>
    <row r="7" spans="1:22" x14ac:dyDescent="0.2">
      <c r="A7" t="s">
        <v>161</v>
      </c>
      <c r="B7" t="s">
        <v>17</v>
      </c>
      <c r="C7">
        <v>1</v>
      </c>
    </row>
    <row r="8" spans="1:22" x14ac:dyDescent="0.2">
      <c r="A8" t="s">
        <v>160</v>
      </c>
      <c r="B8" t="s">
        <v>17</v>
      </c>
      <c r="C8">
        <v>1</v>
      </c>
    </row>
  </sheetData>
  <dataValidations count="1">
    <dataValidation type="list" allowBlank="1" showInputMessage="1" showErrorMessage="1" sqref="L6:L22" xr:uid="{CD0C094A-3DD5-4259-8BD1-591C43C3DE05}">
      <formula1>$A$2:$A$22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9"/>
  <sheetViews>
    <sheetView workbookViewId="0">
      <selection activeCell="B10" sqref="B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K2" t="str">
        <f>IF(NOT($B2="Enemy"),VLOOKUP($A2,Toolkit!$K$2:$O$37,4,FALSE),"")</f>
        <v>Kick</v>
      </c>
      <c r="L2" t="str">
        <f>IF(NOT($B2="Enemy"),VLOOKUP($A2,Toolkit!$K$2:$O$37,5,FALSE),"")</f>
        <v>Asigaru</v>
      </c>
    </row>
    <row r="3" spans="1:22" x14ac:dyDescent="0.2">
      <c r="A3" t="s">
        <v>98</v>
      </c>
      <c r="B3" t="s">
        <v>16</v>
      </c>
      <c r="C3">
        <v>1</v>
      </c>
      <c r="D3">
        <v>2</v>
      </c>
      <c r="K3" t="str">
        <f>IF(NOT($B3="Enemy"),VLOOKUP($A3,Toolkit!$K$2:$O$37,4,FALSE),"")</f>
        <v>Beak</v>
      </c>
      <c r="L3" t="str">
        <f>IF(NOT($B3="Enemy"),VLOOKUP($A3,Toolkit!$K$2:$O$37,5,FALSE),"")</f>
        <v>Goblin</v>
      </c>
    </row>
    <row r="4" spans="1:22" x14ac:dyDescent="0.2">
      <c r="A4" t="s">
        <v>107</v>
      </c>
      <c r="B4" t="s">
        <v>16</v>
      </c>
      <c r="C4">
        <v>1</v>
      </c>
      <c r="D4">
        <v>3</v>
      </c>
      <c r="K4" t="str">
        <f>IF(NOT($B4="Enemy"),VLOOKUP($A4,Toolkit!$K$2:$O$37,4,FALSE),"")</f>
        <v>Strike</v>
      </c>
      <c r="L4" t="str">
        <f>IF(NOT($B4="Enemy"),VLOOKUP($A4,Toolkit!$K$2:$O$37,5,FALSE),"")</f>
        <v>Asigaru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165</v>
      </c>
      <c r="B6" t="s">
        <v>16</v>
      </c>
      <c r="C6">
        <v>1</v>
      </c>
      <c r="D6">
        <v>5</v>
      </c>
      <c r="K6" t="str">
        <f>IF(NOT($B6="Enemy"),VLOOKUP($A6,Toolkit!$K$2:$O$37,4,FALSE),"")</f>
        <v>Hammer</v>
      </c>
      <c r="L6" t="str">
        <f>IF(NOT($B6="Enemy"),VLOOKUP($A6,Toolkit!$K$2:$O$37,5,FALSE),"")</f>
        <v>Goblin</v>
      </c>
    </row>
    <row r="7" spans="1:22" x14ac:dyDescent="0.2">
      <c r="A7" t="s">
        <v>3</v>
      </c>
      <c r="B7" t="s">
        <v>17</v>
      </c>
      <c r="C7">
        <v>1</v>
      </c>
    </row>
    <row r="8" spans="1:22" x14ac:dyDescent="0.2">
      <c r="A8" t="s">
        <v>161</v>
      </c>
      <c r="B8" t="s">
        <v>17</v>
      </c>
      <c r="C8">
        <v>1</v>
      </c>
    </row>
    <row r="9" spans="1:22" x14ac:dyDescent="0.2">
      <c r="A9" t="s">
        <v>160</v>
      </c>
      <c r="B9" t="s">
        <v>17</v>
      </c>
      <c r="C9">
        <v>1</v>
      </c>
    </row>
  </sheetData>
  <dataValidations count="1">
    <dataValidation type="list" allowBlank="1" showInputMessage="1" showErrorMessage="1" sqref="L8:L24" xr:uid="{92B02EC9-250A-4C6F-84C0-38DB0791A413}">
      <formula1>$A$2:$A$24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10"/>
  <sheetViews>
    <sheetView workbookViewId="0">
      <selection activeCell="I30" sqref="I3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114</v>
      </c>
      <c r="B2" t="s">
        <v>16</v>
      </c>
      <c r="C2">
        <v>1</v>
      </c>
      <c r="D2">
        <v>1</v>
      </c>
      <c r="K2" t="str">
        <f>IF(NOT($B2="Enemy"),VLOOKUP($A2,Toolkit!$K$2:$O$37,4,FALSE),"")</f>
        <v>Stun Gun</v>
      </c>
      <c r="L2" t="str">
        <f>IF(NOT($B2="Enemy"),VLOOKUP($A2,Toolkit!$K$2:$O$37,5,FALSE),"")</f>
        <v>Jaguar</v>
      </c>
    </row>
    <row r="3" spans="1:22" x14ac:dyDescent="0.2">
      <c r="A3" t="s">
        <v>125</v>
      </c>
      <c r="B3" t="s">
        <v>16</v>
      </c>
      <c r="C3">
        <v>1</v>
      </c>
      <c r="D3">
        <v>2</v>
      </c>
      <c r="K3" t="str">
        <f>IF(NOT($B3="Enemy"),VLOOKUP($A3,Toolkit!$K$2:$O$37,4,FALSE),"")</f>
        <v>Long Sword</v>
      </c>
      <c r="L3" t="str">
        <f>IF(NOT($B3="Enemy"),VLOOKUP($A3,Toolkit!$K$2:$O$37,5,FALSE),"")</f>
        <v>Asigaru</v>
      </c>
    </row>
    <row r="4" spans="1:22" x14ac:dyDescent="0.2">
      <c r="A4" t="s">
        <v>127</v>
      </c>
      <c r="B4" t="s">
        <v>16</v>
      </c>
      <c r="C4">
        <v>1</v>
      </c>
      <c r="D4">
        <v>3</v>
      </c>
      <c r="K4" t="str">
        <f>IF(NOT($B4="Enemy"),VLOOKUP($A4,Toolkit!$K$2:$O$37,4,FALSE),"")</f>
        <v>Rapier</v>
      </c>
      <c r="L4" t="str">
        <f>IF(NOT($B4="Enemy"),VLOOKUP($A4,Toolkit!$K$2:$O$37,5,FALSE),"")</f>
        <v>Odd Eye</v>
      </c>
    </row>
    <row r="5" spans="1:22" x14ac:dyDescent="0.2">
      <c r="A5" t="s">
        <v>92</v>
      </c>
      <c r="B5" t="s">
        <v>16</v>
      </c>
      <c r="C5">
        <v>1</v>
      </c>
      <c r="D5">
        <v>4</v>
      </c>
      <c r="K5" t="str">
        <f>IF(NOT($B5="Enemy"),VLOOKUP($A5,Toolkit!$K$2:$O$37,4,FALSE),"")</f>
        <v>Tusk</v>
      </c>
      <c r="L5" t="str">
        <f>IF(NOT($B5="Enemy"),VLOOKUP($A5,Toolkit!$K$2:$O$37,5,FALSE),"")</f>
        <v>Odd Eye</v>
      </c>
    </row>
    <row r="6" spans="1:22" x14ac:dyDescent="0.2">
      <c r="A6" t="s">
        <v>76</v>
      </c>
      <c r="B6" t="s">
        <v>16</v>
      </c>
      <c r="C6">
        <v>1</v>
      </c>
      <c r="D6">
        <v>5</v>
      </c>
      <c r="K6" t="str">
        <f>IF(NOT($B6="Enemy"),VLOOKUP($A6,Toolkit!$K$2:$O$37,4,FALSE),"")</f>
        <v>Strike</v>
      </c>
      <c r="L6" t="str">
        <f>IF(NOT($B6="Enemy"),VLOOKUP($A6,Toolkit!$K$2:$O$37,5,FALSE),"")</f>
        <v>Jaguar</v>
      </c>
    </row>
    <row r="7" spans="1:22" x14ac:dyDescent="0.2">
      <c r="A7" t="s">
        <v>109</v>
      </c>
      <c r="B7" t="s">
        <v>16</v>
      </c>
      <c r="C7">
        <v>1</v>
      </c>
      <c r="D7">
        <v>6</v>
      </c>
      <c r="K7" t="str">
        <f>IF(NOT($B7="Enemy"),VLOOKUP($A7,Toolkit!$K$2:$O$37,4,FALSE),"")</f>
        <v>Blizzard</v>
      </c>
      <c r="L7">
        <f>IF(NOT($B7="Enemy"),VLOOKUP($A7,Toolkit!$K$2:$O$37,5,FALSE),"")</f>
        <v>0</v>
      </c>
    </row>
    <row r="8" spans="1:22" x14ac:dyDescent="0.2">
      <c r="A8" t="s">
        <v>159</v>
      </c>
      <c r="B8" t="s">
        <v>17</v>
      </c>
      <c r="C8">
        <v>4</v>
      </c>
    </row>
    <row r="9" spans="1:22" x14ac:dyDescent="0.2">
      <c r="A9" t="s">
        <v>161</v>
      </c>
      <c r="B9" t="s">
        <v>17</v>
      </c>
      <c r="C9">
        <v>1</v>
      </c>
    </row>
    <row r="10" spans="1:22" x14ac:dyDescent="0.2">
      <c r="A10" t="s">
        <v>162</v>
      </c>
      <c r="B10" t="s">
        <v>17</v>
      </c>
      <c r="C10">
        <v>1</v>
      </c>
    </row>
  </sheetData>
  <dataValidations count="1">
    <dataValidation type="list" allowBlank="1" showInputMessage="1" showErrorMessage="1" sqref="L8:L21" xr:uid="{EBB04A11-21ED-4407-A460-0F9206DD93AC}">
      <formula1>$A$2:$A$21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Below the Law</vt:lpstr>
      <vt:lpstr>On Deadl-E Ground</vt:lpstr>
      <vt:lpstr>Dark Territory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2020-02-08T21:12:04Z</dcterms:modified>
</cp:coreProperties>
</file>