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9F7CA499-15C2-4D6E-9649-2B8CE3D02C69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Below the Law - Roy" sheetId="31" r:id="rId4"/>
    <sheet name="Below the Law - Assault" sheetId="37" r:id="rId5"/>
    <sheet name="On Deadl-E Ground 1" sheetId="32" r:id="rId6"/>
    <sheet name="On Deadl-E Ground 2-1" sheetId="36" r:id="rId7"/>
    <sheet name="On Deadl-E Ground 2-2" sheetId="38" r:id="rId8"/>
    <sheet name="Dark Territory" sheetId="33" r:id="rId9"/>
  </sheets>
  <externalReferences>
    <externalReference r:id="rId10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33" l="1"/>
  <c r="F5" i="33"/>
  <c r="F6" i="33"/>
  <c r="F2" i="33"/>
  <c r="F3" i="33"/>
  <c r="F7" i="33"/>
  <c r="K3" i="38"/>
  <c r="L3" i="38"/>
  <c r="F3" i="38"/>
  <c r="L2" i="38"/>
  <c r="K2" i="38"/>
  <c r="F2" i="38"/>
  <c r="L5" i="31"/>
  <c r="K5" i="31"/>
  <c r="R28" i="30"/>
  <c r="R29" i="30"/>
  <c r="R30" i="30"/>
  <c r="R31" i="30"/>
  <c r="Y14" i="16" l="1"/>
  <c r="Y5" i="16"/>
  <c r="Y2" i="16"/>
  <c r="V5" i="16"/>
  <c r="K3" i="37" l="1"/>
  <c r="L3" i="37"/>
  <c r="K4" i="37"/>
  <c r="L4" i="37"/>
  <c r="F3" i="37"/>
  <c r="F4" i="37"/>
  <c r="R27" i="30"/>
  <c r="R26" i="30"/>
  <c r="K6" i="33" l="1"/>
  <c r="L6" i="33"/>
  <c r="L3" i="33" l="1"/>
  <c r="K3" i="33"/>
  <c r="L2" i="33"/>
  <c r="K2" i="33"/>
  <c r="L2" i="37" l="1"/>
  <c r="K2" i="37"/>
  <c r="F2" i="37"/>
  <c r="L2" i="36" l="1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A20" i="16" l="1"/>
  <c r="A19" i="16"/>
  <c r="F3" i="32" l="1"/>
  <c r="F2" i="32"/>
  <c r="H3" i="30"/>
  <c r="K4" i="33" l="1"/>
  <c r="L4" i="33"/>
  <c r="K5" i="33"/>
  <c r="L5" i="33"/>
  <c r="K3" i="32"/>
  <c r="L3" i="32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2" i="31" l="1"/>
  <c r="L2" i="31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9" i="30"/>
  <c r="M10" i="30"/>
  <c r="M4" i="30"/>
  <c r="M16" i="30"/>
  <c r="M8" i="30"/>
  <c r="M12" i="30"/>
  <c r="M13" i="30"/>
  <c r="M11" i="30"/>
  <c r="M15" i="30"/>
  <c r="M3" i="30"/>
  <c r="M5" i="30"/>
  <c r="M6" i="30"/>
  <c r="M17" i="30"/>
  <c r="M7" i="30"/>
  <c r="M14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7" i="33" l="1"/>
  <c r="K7" i="33"/>
  <c r="K2" i="32"/>
  <c r="L2" i="32"/>
  <c r="R33" i="30"/>
  <c r="R32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9" i="30"/>
  <c r="G6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G5" i="30" s="1"/>
  <c r="M2" i="16"/>
  <c r="K2" i="16"/>
  <c r="I2" i="16"/>
  <c r="G2" i="16"/>
  <c r="C4" i="30" s="1"/>
  <c r="D4" i="30" l="1"/>
  <c r="G4" i="30"/>
  <c r="A17" i="16"/>
  <c r="A16" i="16"/>
  <c r="A15" i="16"/>
  <c r="A14" i="16"/>
  <c r="A13" i="16"/>
  <c r="H4" i="30" l="1"/>
  <c r="I4" i="30" s="1"/>
  <c r="G3" i="30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<sst xmlns="http://schemas.openxmlformats.org/spreadsheetml/2006/main" count="553" uniqueCount="191">
  <si>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</si>
  <si>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</si>
  <si>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</si>
  <si>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</si>
  <si>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</si>
  <si>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</si>
  <si>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</si>
  <si>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</si>
  <si>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</si>
  <si>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</si>
  <si>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</si>
  <si>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</si>
  <si>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</si>
  <si>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</si>
  <si>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</si>
  <si>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</si>
  <si>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</si>
  <si>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</si>
  <si>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</si>
  <si>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</si>
  <si>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</si>
  <si>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</si>
  <si>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</si>
  <si>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</si>
  <si>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</si>
  <si>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</si>
  <si>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</si>
  <si>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</si>
  <si>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</si>
  <si>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</si>
  <si>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</si>
  <si>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</si>
  <si>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</si>
  <si>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</si>
  <si>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</si>
  <si>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</si>
  <si>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</si>
  <si>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</si>
  <si>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</si>
  <si>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</si>
  <si>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</si>
  <si>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</si>
  <si>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</si>
  <si>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</si>
  <si>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</si>
  <si>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</si>
  <si>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</si>
  <si>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</si>
  <si>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</si>
  <si>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</si>
  <si>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</si>
  <si>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</si>
  <si>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</si>
  <si>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</si>
  <si>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</si>
  <si>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</si>
  <si>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</si>
  <si>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</si>
  <si>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</si>
  <si>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</si>
  <si>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</si>
  <si>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</si>
  <si>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</si>
  <si>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</si>
  <si>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</si>
  <si>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</si>
  <si>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</si>
  <si>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</si>
  <si>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</si>
  <si>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</si>
  <si>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</si>
  <si>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</si>
  <si>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</si>
  <si>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</si>
  <si>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</si>
  <si>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</si>
  <si>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</si>
  <si>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</si>
  <si>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</si>
  <si>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</si>
  <si>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</si>
  <si>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</si>
  <si>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</si>
  <si>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</si>
  <si>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</si>
  <si>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</si>
  <si>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</si>
  <si>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</si>
  <si>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</si>
  <si>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</si>
  <si>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</si>
  <si>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</si>
  <si>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</si>
  <si>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</si>
  <si>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</si>
  <si>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</si>
  <si>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</si>
  <si>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</si>
  <si>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</si>
  <si>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</si>
  <si>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</si>
  <si>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</si>
  <si>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</si>
  <si>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</si>
  <si>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</si>
  <si>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</si>
  <si>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</si>
  <si>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</si>
  <si>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</si>
  <si>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</si>
  <si>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</si>
  <si>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</si>
  <si>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</si>
  <si>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</si>
  <si>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</si>
  <si>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</si>
  <si>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</si>
  <si>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</si>
  <si>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</si>
  <si>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</si>
  <si>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</si>
  <si>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</si>
  <si>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</si>
  <si>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</si>
  <si>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</si>
  <si>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</si>
  <si>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</si>
  <si>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</si>
  <si>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</si>
  <si>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</si>
  <si>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</si>
  <si>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</si>
  <si>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</si>
  <si>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</si>
  <si>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</si>
  <si>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</si>
  <si>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</si>
  <si>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</si>
  <si>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</si>
  <si>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</si>
  <si>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</si>
  <si>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</si>
  <si>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</si>
  <si>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</si>
  <si>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</si>
  <si>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</si>
  <si>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</si>
  <si>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</si>
  <si>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</si>
  <si>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</si>
  <si>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</si>
  <si>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</si>
  <si>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</si>
  <si>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</si>
  <si>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</si>
  <si>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</si>
  <si>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</si>
  <si>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</si>
  <si>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</si>
  <si>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Dark Territory</t>
  </si>
  <si>
    <t>None</t>
  </si>
  <si>
    <t>Strike - 70</t>
  </si>
  <si>
    <t>Ella</t>
  </si>
  <si>
    <t>Vince</t>
  </si>
  <si>
    <t>Cure Potion - 2, Cure Potion - 4</t>
  </si>
  <si>
    <t>Cure Potion - 3, Cure Potion - 4</t>
  </si>
  <si>
    <t>On Deadl-E Ground 1</t>
  </si>
  <si>
    <t>Skelton</t>
  </si>
  <si>
    <t>Spider</t>
  </si>
  <si>
    <t>Gang</t>
  </si>
  <si>
    <t>Cure Potion - 2</t>
  </si>
  <si>
    <t>Octopus</t>
  </si>
  <si>
    <t>8-Legs</t>
  </si>
  <si>
    <t>n</t>
  </si>
  <si>
    <t>Str</t>
  </si>
  <si>
    <t>Lizard</t>
  </si>
  <si>
    <t>Below the Law - Assault</t>
  </si>
  <si>
    <t>Below the Law - Roy</t>
  </si>
  <si>
    <t>Thug</t>
  </si>
  <si>
    <t>Beetle</t>
  </si>
  <si>
    <t>Tusk, Web</t>
  </si>
  <si>
    <t>Str, Mana</t>
  </si>
  <si>
    <t>Tusk, Tusk</t>
  </si>
  <si>
    <t>Str, Str</t>
  </si>
  <si>
    <t>Beretta</t>
  </si>
  <si>
    <t>Colt Gun, Colt Gun</t>
  </si>
  <si>
    <t>Axe Gang</t>
  </si>
  <si>
    <t>BabyWyrm</t>
  </si>
  <si>
    <t>On Deadl-E Ground 2-2</t>
  </si>
  <si>
    <t>On Deadl-E Ground 2-1</t>
  </si>
  <si>
    <t>Mandible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</si>
</sst>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6" fillId="0" borderId="0"/>
  </cellStyleXfs>
  <cellXfs count="126">
    <xf numFmtId="0" fontId="0" fillId="0" borderId="0" xfId="0"/>
    <xf numFmtId="0" fontId="36" fillId="0" borderId="0" xfId="1"/>
    <xf numFmtId="0" fontId="36" fillId="2" borderId="0" xfId="1" applyFill="1"/>
    <xf numFmtId="0" fontId="36" fillId="0" borderId="1" xfId="1" applyBorder="1"/>
    <xf numFmtId="0" fontId="36" fillId="0" borderId="0" xfId="1" applyBorder="1"/>
    <xf numFmtId="0" fontId="36" fillId="2" borderId="5" xfId="1" applyFill="1" applyBorder="1"/>
    <xf numFmtId="0" fontId="36" fillId="0" borderId="0" xfId="1" applyAlignment="1">
      <alignment horizontal="center"/>
    </xf>
    <xf numFmtId="0" fontId="30" fillId="0" borderId="0" xfId="1" applyFont="1" applyAlignment="1">
      <alignment horizontal="center"/>
    </xf>
    <xf numFmtId="0" fontId="0" fillId="3" borderId="0" xfId="0" applyFill="1"/>
    <xf numFmtId="0" fontId="27" fillId="0" borderId="0" xfId="1" applyFont="1"/>
    <xf numFmtId="0" fontId="36" fillId="0" borderId="0" xfId="1" applyAlignment="1">
      <alignment horizontal="center" textRotation="90"/>
    </xf>
    <xf numFmtId="0" fontId="36" fillId="0" borderId="2" xfId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6" fillId="2" borderId="2" xfId="1" applyFill="1" applyBorder="1" applyAlignment="1">
      <alignment horizontal="center" textRotation="90" wrapText="1"/>
    </xf>
    <xf numFmtId="0" fontId="34" fillId="0" borderId="3" xfId="1" applyFont="1" applyBorder="1" applyAlignment="1">
      <alignment horizontal="center" textRotation="90" wrapText="1"/>
    </xf>
    <xf numFmtId="0" fontId="36" fillId="2" borderId="4" xfId="1" applyFill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29" fillId="0" borderId="0" xfId="1" applyFont="1" applyAlignment="1">
      <alignment horizontal="center" textRotation="90" wrapText="1"/>
    </xf>
    <xf numFmtId="0" fontId="36" fillId="0" borderId="0" xfId="1" applyAlignment="1">
      <alignment horizontal="center" textRotation="90" wrapText="1"/>
    </xf>
    <xf numFmtId="0" fontId="36" fillId="5" borderId="3" xfId="1" applyFill="1" applyBorder="1" applyAlignment="1">
      <alignment horizontal="center" textRotation="90" wrapText="1"/>
    </xf>
    <xf numFmtId="0" fontId="36" fillId="5" borderId="1" xfId="1" applyFill="1" applyBorder="1"/>
    <xf numFmtId="0" fontId="28" fillId="5" borderId="1" xfId="1" applyFont="1" applyFill="1" applyBorder="1"/>
    <xf numFmtId="0" fontId="34" fillId="5" borderId="3" xfId="1" applyFont="1" applyFill="1" applyBorder="1" applyAlignment="1">
      <alignment horizontal="center" textRotation="90" wrapText="1"/>
    </xf>
    <xf numFmtId="0" fontId="34" fillId="5" borderId="1" xfId="1" applyFont="1" applyFill="1" applyBorder="1"/>
    <xf numFmtId="0" fontId="31" fillId="0" borderId="4" xfId="1" applyFont="1" applyBorder="1" applyAlignment="1">
      <alignment horizontal="center" textRotation="90" wrapText="1"/>
    </xf>
    <xf numFmtId="0" fontId="36" fillId="0" borderId="5" xfId="1" applyBorder="1" applyAlignment="1">
      <alignment horizontal="center"/>
    </xf>
    <xf numFmtId="0" fontId="26" fillId="5" borderId="3" xfId="1" applyFont="1" applyFill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6" fillId="5" borderId="1" xfId="1" applyFont="1" applyFill="1" applyBorder="1"/>
    <xf numFmtId="0" fontId="25" fillId="5" borderId="1" xfId="1" applyFont="1" applyFill="1" applyBorder="1"/>
    <xf numFmtId="0" fontId="24" fillId="5" borderId="1" xfId="1" applyFont="1" applyFill="1" applyBorder="1"/>
    <xf numFmtId="0" fontId="23" fillId="0" borderId="0" xfId="1" applyFont="1" applyFill="1"/>
    <xf numFmtId="0" fontId="23" fillId="0" borderId="0" xfId="1" applyFont="1"/>
    <xf numFmtId="0" fontId="23" fillId="5" borderId="1" xfId="1" applyFont="1" applyFill="1" applyBorder="1"/>
    <xf numFmtId="0" fontId="22" fillId="0" borderId="0" xfId="1" applyFont="1" applyFill="1"/>
    <xf numFmtId="0" fontId="22" fillId="5" borderId="1" xfId="1" applyFont="1" applyFill="1" applyBorder="1"/>
    <xf numFmtId="0" fontId="21" fillId="5" borderId="1" xfId="1" applyFont="1" applyFill="1" applyBorder="1"/>
    <xf numFmtId="0" fontId="21" fillId="0" borderId="0" xfId="1" applyFont="1" applyFill="1"/>
    <xf numFmtId="0" fontId="38" fillId="2" borderId="5" xfId="1" applyFont="1" applyFill="1" applyBorder="1"/>
    <xf numFmtId="0" fontId="20" fillId="0" borderId="0" xfId="1" applyFont="1" applyFill="1"/>
    <xf numFmtId="0" fontId="0" fillId="0" borderId="11" xfId="0" applyBorder="1"/>
    <xf numFmtId="0" fontId="0" fillId="0" borderId="9" xfId="0" applyBorder="1"/>
    <xf numFmtId="0" fontId="23" fillId="0" borderId="9" xfId="1" applyFont="1" applyFill="1" applyBorder="1"/>
    <xf numFmtId="0" fontId="22" fillId="0" borderId="9" xfId="1" applyFont="1" applyFill="1" applyBorder="1"/>
    <xf numFmtId="0" fontId="20" fillId="0" borderId="9" xfId="1" applyFont="1" applyFill="1" applyBorder="1"/>
    <xf numFmtId="0" fontId="40" fillId="0" borderId="9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0" fillId="3" borderId="6" xfId="0" applyFont="1" applyFill="1" applyBorder="1"/>
    <xf numFmtId="0" fontId="40" fillId="0" borderId="7" xfId="0" applyFont="1" applyBorder="1"/>
    <xf numFmtId="0" fontId="40" fillId="3" borderId="7" xfId="0" applyFont="1" applyFill="1" applyBorder="1"/>
    <xf numFmtId="0" fontId="40" fillId="4" borderId="8" xfId="0" applyFont="1" applyFill="1" applyBorder="1"/>
    <xf numFmtId="0" fontId="19" fillId="0" borderId="0" xfId="1" applyFont="1" applyFill="1"/>
    <xf numFmtId="0" fontId="36" fillId="6" borderId="0" xfId="1" applyFill="1"/>
    <xf numFmtId="0" fontId="0" fillId="0" borderId="0" xfId="0" applyBorder="1"/>
    <xf numFmtId="0" fontId="0" fillId="0" borderId="12" xfId="0" applyBorder="1"/>
    <xf numFmtId="0" fontId="18" fillId="5" borderId="1" xfId="1" applyFont="1" applyFill="1" applyBorder="1"/>
    <xf numFmtId="0" fontId="0" fillId="0" borderId="0" xfId="0" applyAlignment="1">
      <alignment horizontal="center"/>
    </xf>
    <xf numFmtId="0" fontId="22" fillId="7" borderId="0" xfId="1" applyFont="1" applyFill="1"/>
    <xf numFmtId="0" fontId="19" fillId="7" borderId="0" xfId="1" applyFont="1" applyFill="1"/>
    <xf numFmtId="0" fontId="16" fillId="5" borderId="1" xfId="1" applyFont="1" applyFill="1" applyBorder="1"/>
    <xf numFmtId="0" fontId="21" fillId="0" borderId="17" xfId="1" applyFont="1" applyBorder="1"/>
    <xf numFmtId="0" fontId="13" fillId="5" borderId="1" xfId="1" applyFont="1" applyFill="1" applyBorder="1"/>
    <xf numFmtId="0" fontId="0" fillId="0" borderId="10" xfId="0" applyBorder="1"/>
    <xf numFmtId="0" fontId="0" fillId="0" borderId="13" xfId="0" applyBorder="1"/>
    <xf numFmtId="0" fontId="40" fillId="0" borderId="9" xfId="0" applyFont="1" applyBorder="1"/>
    <xf numFmtId="0" fontId="40" fillId="0" borderId="0" xfId="0" applyFont="1" applyBorder="1"/>
    <xf numFmtId="0" fontId="40" fillId="0" borderId="10" xfId="0" applyFont="1" applyBorder="1"/>
    <xf numFmtId="0" fontId="11" fillId="5" borderId="1" xfId="1" applyFont="1" applyFill="1" applyBorder="1"/>
    <xf numFmtId="0" fontId="11" fillId="0" borderId="0" xfId="1" applyFont="1"/>
    <xf numFmtId="0" fontId="10" fillId="0" borderId="0" xfId="1" applyFont="1" applyAlignment="1">
      <alignment horizontal="center"/>
    </xf>
    <xf numFmtId="0" fontId="9" fillId="5" borderId="1" xfId="1" applyFont="1" applyFill="1" applyBorder="1"/>
    <xf numFmtId="0" fontId="38" fillId="0" borderId="1" xfId="1" applyFont="1" applyBorder="1"/>
    <xf numFmtId="0" fontId="9" fillId="0" borderId="0" xfId="1" applyFont="1" applyFill="1"/>
    <xf numFmtId="0" fontId="8" fillId="0" borderId="0" xfId="1" applyFont="1"/>
    <xf numFmtId="0" fontId="8" fillId="5" borderId="1" xfId="1" applyFont="1" applyFill="1" applyBorder="1"/>
    <xf numFmtId="0" fontId="8" fillId="0" borderId="0" xfId="1" applyFont="1" applyFill="1" applyBorder="1" applyAlignment="1">
      <alignment horizontal="center"/>
    </xf>
    <xf numFmtId="0" fontId="8" fillId="0" borderId="0" xfId="1" applyFont="1" applyFill="1"/>
    <xf numFmtId="0" fontId="7" fillId="0" borderId="0" xfId="1" applyFont="1" applyFill="1" applyBorder="1" applyAlignment="1">
      <alignment horizontal="center"/>
    </xf>
    <xf numFmtId="0" fontId="6" fillId="5" borderId="1" xfId="1" applyFont="1" applyFill="1" applyBorder="1"/>
    <xf numFmtId="0" fontId="5" fillId="0" borderId="0" xfId="1" applyFont="1"/>
    <xf numFmtId="0" fontId="23" fillId="8" borderId="1" xfId="1" applyFont="1" applyFill="1" applyBorder="1"/>
    <xf numFmtId="0" fontId="15" fillId="8" borderId="1" xfId="1" applyFont="1" applyFill="1" applyBorder="1"/>
    <xf numFmtId="0" fontId="25" fillId="8" borderId="1" xfId="1" applyFont="1" applyFill="1" applyBorder="1"/>
    <xf numFmtId="0" fontId="17" fillId="8" borderId="1" xfId="1" applyFont="1" applyFill="1" applyBorder="1"/>
    <xf numFmtId="0" fontId="14" fillId="8" borderId="1" xfId="1" applyFont="1" applyFill="1" applyBorder="1"/>
    <xf numFmtId="0" fontId="22" fillId="8" borderId="1" xfId="1" applyFont="1" applyFill="1" applyBorder="1"/>
    <xf numFmtId="0" fontId="12" fillId="8" borderId="1" xfId="1" applyFont="1" applyFill="1" applyBorder="1"/>
    <xf numFmtId="0" fontId="18" fillId="8" borderId="1" xfId="1" applyFont="1" applyFill="1" applyBorder="1"/>
    <xf numFmtId="0" fontId="26" fillId="8" borderId="1" xfId="1" applyFont="1" applyFill="1" applyBorder="1"/>
    <xf numFmtId="0" fontId="8" fillId="8" borderId="1" xfId="1" applyFont="1" applyFill="1" applyBorder="1"/>
    <xf numFmtId="0" fontId="4" fillId="5" borderId="1" xfId="1" applyFont="1" applyFill="1" applyBorder="1"/>
    <xf numFmtId="0" fontId="3" fillId="5" borderId="1" xfId="1" applyFont="1" applyFill="1" applyBorder="1"/>
    <xf numFmtId="0" fontId="3" fillId="0" borderId="0" xfId="1" applyFont="1" applyFill="1" applyBorder="1" applyAlignment="1">
      <alignment horizontal="center"/>
    </xf>
    <xf numFmtId="0" fontId="3" fillId="8" borderId="1" xfId="1" applyFont="1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/>
    <xf numFmtId="0" fontId="20" fillId="7" borderId="0" xfId="1" applyFont="1" applyFill="1"/>
    <xf numFmtId="0" fontId="9" fillId="7" borderId="0" xfId="1" applyFont="1" applyFill="1"/>
    <xf numFmtId="0" fontId="23" fillId="7" borderId="0" xfId="1" applyFont="1" applyFill="1"/>
    <xf numFmtId="0" fontId="23" fillId="8" borderId="0" xfId="1" applyFont="1" applyFill="1"/>
    <xf numFmtId="0" fontId="22" fillId="8" borderId="0" xfId="1" applyFont="1" applyFill="1"/>
    <xf numFmtId="0" fontId="9" fillId="8" borderId="0" xfId="1" applyFont="1" applyFill="1"/>
    <xf numFmtId="0" fontId="22" fillId="10" borderId="0" xfId="1" applyFont="1" applyFill="1"/>
    <xf numFmtId="0" fontId="41" fillId="9" borderId="0" xfId="1" applyFont="1" applyFill="1"/>
    <xf numFmtId="0" fontId="19" fillId="11" borderId="0" xfId="1" applyFont="1" applyFill="1"/>
    <xf numFmtId="0" fontId="8" fillId="11" borderId="0" xfId="1" applyFont="1" applyFill="1"/>
    <xf numFmtId="0" fontId="23" fillId="12" borderId="0" xfId="1" applyFont="1" applyFill="1"/>
    <xf numFmtId="0" fontId="22" fillId="12" borderId="0" xfId="1" applyFont="1" applyFill="1"/>
    <xf numFmtId="0" fontId="38" fillId="13" borderId="0" xfId="1" applyFont="1" applyFill="1"/>
    <xf numFmtId="0" fontId="21" fillId="10" borderId="0" xfId="1" applyFont="1" applyFill="1"/>
    <xf numFmtId="0" fontId="23" fillId="10" borderId="0" xfId="1" applyFont="1" applyFill="1"/>
    <xf numFmtId="0" fontId="1" fillId="0" borderId="0" xfId="1" applyFont="1"/>
    <xf numFmtId="0" fontId="39" fillId="0" borderId="6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39" fillId="0" borderId="14" xfId="0" applyFont="1" applyBorder="1" applyAlignment="1">
      <alignment horizontal="center"/>
    </xf>
    <xf numFmtId="0" fontId="39" fillId="0" borderId="15" xfId="0" applyFont="1" applyBorder="1" applyAlignment="1">
      <alignment horizontal="center"/>
    </xf>
    <xf numFmtId="0" fontId="39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D200"/>
          <cell r="E200">
            <v>1</v>
          </cell>
          <cell r="F200"/>
          <cell r="G200"/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O200"/>
          <cell r="P200" t="str">
            <v>Hand Axe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V202"/>
          <cell r="W202"/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W203"/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U204"/>
          <cell r="V204"/>
          <cell r="W204"/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R205"/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V207"/>
          <cell r="W207"/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W208"/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U209"/>
          <cell r="V209"/>
          <cell r="W209"/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D210"/>
          <cell r="E210">
            <v>1</v>
          </cell>
          <cell r="F210"/>
          <cell r="G210"/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O210"/>
          <cell r="P210" t="str">
            <v>Beretta</v>
          </cell>
          <cell r="Q210"/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T212"/>
          <cell r="U212"/>
          <cell r="V212"/>
          <cell r="W212"/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V213"/>
          <cell r="W213"/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W214"/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S215"/>
          <cell r="T215"/>
          <cell r="U215"/>
          <cell r="V215"/>
          <cell r="W215"/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R216"/>
          <cell r="S216"/>
          <cell r="T216"/>
          <cell r="U216"/>
          <cell r="V216"/>
          <cell r="W216"/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T217"/>
          <cell r="U217"/>
          <cell r="V217"/>
          <cell r="W217"/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V218"/>
          <cell r="W218"/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W219"/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R220"/>
          <cell r="S220"/>
          <cell r="T220"/>
          <cell r="U220"/>
          <cell r="V220"/>
          <cell r="W220"/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Flame</v>
          </cell>
          <cell r="R221" t="str">
            <v>Beam</v>
          </cell>
          <cell r="S221" t="str">
            <v>O-Pa/Po</v>
          </cell>
          <cell r="T221"/>
          <cell r="U221"/>
          <cell r="V221"/>
          <cell r="W221"/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V222"/>
          <cell r="W222"/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W223"/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S225"/>
          <cell r="T225"/>
          <cell r="U225"/>
          <cell r="V225"/>
          <cell r="W225"/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T226"/>
          <cell r="U226"/>
          <cell r="V226"/>
          <cell r="W226"/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V227"/>
          <cell r="W227"/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W228"/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R229"/>
          <cell r="S229"/>
          <cell r="T229"/>
          <cell r="U229"/>
          <cell r="V229"/>
          <cell r="W229"/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S230"/>
          <cell r="T230"/>
          <cell r="U230"/>
          <cell r="V230"/>
          <cell r="W230"/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V231"/>
          <cell r="W231"/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W232"/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R233"/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U235"/>
          <cell r="V235"/>
          <cell r="W235"/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W236"/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S237"/>
          <cell r="T237"/>
          <cell r="U237"/>
          <cell r="V237"/>
          <cell r="W237"/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W238"/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U239"/>
          <cell r="V239"/>
          <cell r="W239"/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U241"/>
          <cell r="V241"/>
          <cell r="W241"/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R242"/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T243"/>
          <cell r="U243"/>
          <cell r="V243"/>
          <cell r="W243"/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V244"/>
          <cell r="W244"/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V245"/>
          <cell r="W245"/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V247"/>
          <cell r="W247"/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W249"/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U250"/>
          <cell r="V250"/>
          <cell r="W250"/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R251"/>
          <cell r="S251"/>
          <cell r="T251"/>
          <cell r="U251"/>
          <cell r="V251"/>
          <cell r="W251"/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R252"/>
          <cell r="S252"/>
          <cell r="T252"/>
          <cell r="U252"/>
          <cell r="V252"/>
          <cell r="W252"/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S253"/>
          <cell r="T253"/>
          <cell r="U253"/>
          <cell r="V253"/>
          <cell r="W253"/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S254"/>
          <cell r="T254"/>
          <cell r="U254"/>
          <cell r="V254"/>
          <cell r="W254"/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R255"/>
          <cell r="S255"/>
          <cell r="T255"/>
          <cell r="U255"/>
          <cell r="V255"/>
          <cell r="W255"/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S256"/>
          <cell r="T256"/>
          <cell r="U256"/>
          <cell r="V256"/>
          <cell r="W256"/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S257"/>
          <cell r="T257"/>
          <cell r="U257"/>
          <cell r="V257"/>
          <cell r="W257"/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S258"/>
          <cell r="T258"/>
          <cell r="U258"/>
          <cell r="V258"/>
          <cell r="W258"/>
          <cell r="X258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I35"/>
          <cell r="J35"/>
          <cell r="K35"/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I42"/>
          <cell r="J42"/>
          <cell r="K42"/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D43"/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I43"/>
          <cell r="J43"/>
          <cell r="K43"/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J44"/>
          <cell r="K44"/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J48"/>
          <cell r="K48"/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D50"/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D51"/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D52"/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J63"/>
          <cell r="K63"/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D66"/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D67"/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D69"/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D71"/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D72"/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I74"/>
          <cell r="J74"/>
          <cell r="K74"/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D76"/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J77"/>
          <cell r="K77"/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D78"/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I78"/>
          <cell r="J78"/>
          <cell r="K78"/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I79"/>
          <cell r="J79"/>
          <cell r="K79"/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D81"/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D82"/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D83"/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Fire Gun</v>
          </cell>
          <cell r="B97" t="str">
            <v>Fire Gun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J98"/>
          <cell r="K98"/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J99"/>
          <cell r="K99"/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I100"/>
          <cell r="J100"/>
          <cell r="K100"/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J102"/>
          <cell r="K102"/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J105"/>
          <cell r="K105"/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I106"/>
          <cell r="J106"/>
          <cell r="K106"/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I116"/>
          <cell r="J116"/>
          <cell r="K116"/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J117"/>
          <cell r="K117"/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I118"/>
          <cell r="J118"/>
          <cell r="K118"/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I121"/>
          <cell r="J121"/>
          <cell r="K121"/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I125"/>
          <cell r="J125"/>
          <cell r="K125"/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I129"/>
          <cell r="J129"/>
          <cell r="K129"/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I130"/>
          <cell r="J130"/>
          <cell r="K130"/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J131"/>
          <cell r="K131"/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D132"/>
          <cell r="E132">
            <v>128</v>
          </cell>
          <cell r="F132">
            <v>80</v>
          </cell>
          <cell r="G132">
            <v>30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D133"/>
          <cell r="E133">
            <v>129</v>
          </cell>
          <cell r="F133">
            <v>81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D134"/>
          <cell r="E134">
            <v>130</v>
          </cell>
          <cell r="F134">
            <v>82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D135"/>
          <cell r="E135">
            <v>131</v>
          </cell>
          <cell r="F135">
            <v>83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D136"/>
          <cell r="E136">
            <v>132</v>
          </cell>
          <cell r="F136">
            <v>84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D137"/>
          <cell r="E137">
            <v>133</v>
          </cell>
          <cell r="F137">
            <v>85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D138"/>
          <cell r="E138">
            <v>134</v>
          </cell>
          <cell r="F138">
            <v>86</v>
          </cell>
          <cell r="G138">
            <v>30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D139"/>
          <cell r="E139">
            <v>135</v>
          </cell>
          <cell r="F139">
            <v>87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D140"/>
          <cell r="E140">
            <v>136</v>
          </cell>
          <cell r="F140">
            <v>88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D141"/>
          <cell r="E141">
            <v>137</v>
          </cell>
          <cell r="F141">
            <v>89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D142"/>
          <cell r="E142">
            <v>138</v>
          </cell>
          <cell r="F142" t="str">
            <v>8A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D143"/>
          <cell r="E143">
            <v>139</v>
          </cell>
          <cell r="F143" t="str">
            <v>8B</v>
          </cell>
          <cell r="G143">
            <v>15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D144"/>
          <cell r="E144">
            <v>140</v>
          </cell>
          <cell r="F144" t="str">
            <v>8C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D145"/>
          <cell r="E145">
            <v>141</v>
          </cell>
          <cell r="F145" t="str">
            <v>8D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D146"/>
          <cell r="E146">
            <v>142</v>
          </cell>
          <cell r="F146" t="str">
            <v>8E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D147"/>
          <cell r="E147">
            <v>143</v>
          </cell>
          <cell r="F147" t="str">
            <v>8F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D148"/>
          <cell r="E148">
            <v>144</v>
          </cell>
          <cell r="F148">
            <v>90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D149"/>
          <cell r="E149">
            <v>145</v>
          </cell>
          <cell r="F149">
            <v>91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D150"/>
          <cell r="E150">
            <v>146</v>
          </cell>
          <cell r="F150">
            <v>92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D151"/>
          <cell r="E151">
            <v>147</v>
          </cell>
          <cell r="F151">
            <v>93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D152"/>
          <cell r="E152">
            <v>148</v>
          </cell>
          <cell r="F152">
            <v>94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D153"/>
          <cell r="E153">
            <v>149</v>
          </cell>
          <cell r="F153">
            <v>95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D154"/>
          <cell r="E154">
            <v>150</v>
          </cell>
          <cell r="F154">
            <v>96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D155"/>
          <cell r="E155">
            <v>151</v>
          </cell>
          <cell r="F155">
            <v>97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D156"/>
          <cell r="E156">
            <v>152</v>
          </cell>
          <cell r="F156">
            <v>98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D157"/>
          <cell r="E157">
            <v>153</v>
          </cell>
          <cell r="F157">
            <v>99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D158"/>
          <cell r="E158">
            <v>154</v>
          </cell>
          <cell r="F158" t="str">
            <v>9A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D159"/>
          <cell r="E159">
            <v>155</v>
          </cell>
          <cell r="F159" t="str">
            <v>9B</v>
          </cell>
          <cell r="G159">
            <v>30</v>
          </cell>
          <cell r="H159"/>
          <cell r="I159"/>
          <cell r="J159"/>
          <cell r="K159"/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D160"/>
          <cell r="E160">
            <v>157</v>
          </cell>
          <cell r="F160" t="str">
            <v>9D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Backlash</v>
          </cell>
          <cell r="B161" t="str">
            <v>Backlash</v>
          </cell>
          <cell r="C161" t="str">
            <v>Backlash</v>
          </cell>
          <cell r="D161"/>
          <cell r="E161">
            <v>158</v>
          </cell>
          <cell r="F161" t="str">
            <v>9E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Burning</v>
          </cell>
          <cell r="B162" t="str">
            <v>Burning</v>
          </cell>
          <cell r="C162" t="str">
            <v>Burning</v>
          </cell>
          <cell r="D162"/>
          <cell r="E162">
            <v>159</v>
          </cell>
          <cell r="F162" t="str">
            <v>9F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2-Swords</v>
          </cell>
          <cell r="B163" t="str">
            <v>2-Swords</v>
          </cell>
          <cell r="C163" t="str">
            <v>2-Swords</v>
          </cell>
          <cell r="D163"/>
          <cell r="E163">
            <v>160</v>
          </cell>
          <cell r="F163" t="str">
            <v>A0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2-Tusks</v>
          </cell>
          <cell r="B164" t="str">
            <v>2-Tusks</v>
          </cell>
          <cell r="C164" t="str">
            <v>2-Tusks</v>
          </cell>
          <cell r="D164"/>
          <cell r="E164">
            <v>161</v>
          </cell>
          <cell r="F164" t="str">
            <v>A1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3-Heads</v>
          </cell>
          <cell r="B165" t="str">
            <v>3-Heads</v>
          </cell>
          <cell r="C165" t="str">
            <v>3-Heads</v>
          </cell>
          <cell r="D165"/>
          <cell r="E165">
            <v>162</v>
          </cell>
          <cell r="F165" t="str">
            <v>A2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3-Horns</v>
          </cell>
          <cell r="B166" t="str">
            <v>3-Horns</v>
          </cell>
          <cell r="C166" t="str">
            <v>3-Horns</v>
          </cell>
          <cell r="D166"/>
          <cell r="E166">
            <v>163</v>
          </cell>
          <cell r="F166" t="str">
            <v>A3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6-Arms</v>
          </cell>
          <cell r="B167" t="str">
            <v>6-Arms</v>
          </cell>
          <cell r="C167" t="str">
            <v>6-Arms</v>
          </cell>
          <cell r="D167"/>
          <cell r="E167">
            <v>164</v>
          </cell>
          <cell r="F167" t="str">
            <v>A4</v>
          </cell>
          <cell r="G167">
            <v>15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Critical</v>
          </cell>
          <cell r="B168" t="str">
            <v>Critical</v>
          </cell>
          <cell r="C168" t="str">
            <v>Critical</v>
          </cell>
          <cell r="D168"/>
          <cell r="E168">
            <v>165</v>
          </cell>
          <cell r="F168" t="str">
            <v>A5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D169"/>
          <cell r="E169">
            <v>167</v>
          </cell>
          <cell r="F169" t="str">
            <v>A7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D170"/>
          <cell r="E170">
            <v>168</v>
          </cell>
          <cell r="F170" t="str">
            <v>A8</v>
          </cell>
          <cell r="G170">
            <v>10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H171"/>
          <cell r="I171"/>
          <cell r="J171"/>
          <cell r="K171"/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D172"/>
          <cell r="E172">
            <v>170</v>
          </cell>
          <cell r="F172" t="str">
            <v>AA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D173"/>
          <cell r="E173">
            <v>171</v>
          </cell>
          <cell r="F173" t="str">
            <v>AB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D174"/>
          <cell r="E174">
            <v>172</v>
          </cell>
          <cell r="F174" t="str">
            <v>AC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Constrict</v>
          </cell>
          <cell r="B175" t="str">
            <v>Constrict</v>
          </cell>
          <cell r="C175" t="str">
            <v>Constrict</v>
          </cell>
          <cell r="D175"/>
          <cell r="E175">
            <v>173</v>
          </cell>
          <cell r="F175" t="str">
            <v>AD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D176"/>
          <cell r="E176">
            <v>174</v>
          </cell>
          <cell r="F176" t="str">
            <v>AE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D177"/>
          <cell r="E177">
            <v>175</v>
          </cell>
          <cell r="F177" t="str">
            <v>AF</v>
          </cell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Toxin</v>
          </cell>
          <cell r="B178" t="str">
            <v>Toxin</v>
          </cell>
          <cell r="C178" t="str">
            <v>Toxin</v>
          </cell>
          <cell r="D178"/>
          <cell r="E178"/>
          <cell r="F178"/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P-Skin</v>
          </cell>
          <cell r="B179" t="str">
            <v>P-Skin</v>
          </cell>
          <cell r="C179" t="str">
            <v>P-Skin</v>
          </cell>
          <cell r="D179"/>
          <cell r="E179">
            <v>177</v>
          </cell>
          <cell r="F179" t="str">
            <v>B1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ParaSkin</v>
          </cell>
          <cell r="B180" t="str">
            <v>ParaSkin</v>
          </cell>
          <cell r="C180" t="str">
            <v>ParaSkin</v>
          </cell>
          <cell r="D180"/>
          <cell r="E180">
            <v>178</v>
          </cell>
          <cell r="F180" t="str">
            <v>B2</v>
          </cell>
          <cell r="G180">
            <v>30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Petrify</v>
          </cell>
          <cell r="B181" t="str">
            <v>Petrify</v>
          </cell>
          <cell r="C181" t="str">
            <v>Petrify</v>
          </cell>
          <cell r="D181"/>
          <cell r="E181">
            <v>179</v>
          </cell>
          <cell r="F181" t="str">
            <v>B3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StonSkin</v>
          </cell>
          <cell r="B182" t="str">
            <v>StonSkin</v>
          </cell>
          <cell r="C182" t="str">
            <v>StonSkin</v>
          </cell>
          <cell r="D182"/>
          <cell r="E182">
            <v>180</v>
          </cell>
          <cell r="F182" t="str">
            <v>B4</v>
          </cell>
          <cell r="G182">
            <v>30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Thunder</v>
          </cell>
          <cell r="B183" t="str">
            <v>Thunder</v>
          </cell>
          <cell r="C183" t="str">
            <v>Thunder</v>
          </cell>
          <cell r="D183"/>
          <cell r="E183">
            <v>181</v>
          </cell>
          <cell r="F183" t="str">
            <v>B5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Ice</v>
          </cell>
          <cell r="B184" t="str">
            <v>Ice</v>
          </cell>
          <cell r="C184" t="str">
            <v>Ice</v>
          </cell>
          <cell r="D184"/>
          <cell r="E184">
            <v>182</v>
          </cell>
          <cell r="F184" t="str">
            <v>B6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Fire</v>
          </cell>
          <cell r="B185" t="str">
            <v>Fire</v>
          </cell>
          <cell r="C185" t="str">
            <v>Fire</v>
          </cell>
          <cell r="D185"/>
          <cell r="E185">
            <v>183</v>
          </cell>
          <cell r="F185" t="str">
            <v>B7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Flame</v>
          </cell>
          <cell r="B186" t="str">
            <v>Flame</v>
          </cell>
          <cell r="C186" t="str">
            <v>Flame</v>
          </cell>
          <cell r="D186"/>
          <cell r="E186">
            <v>184</v>
          </cell>
          <cell r="F186" t="str">
            <v>B8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Gas</v>
          </cell>
          <cell r="B187" t="str">
            <v>Gas</v>
          </cell>
          <cell r="C187" t="str">
            <v>Gas</v>
          </cell>
          <cell r="D187"/>
          <cell r="E187">
            <v>185</v>
          </cell>
          <cell r="F187" t="str">
            <v>B9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Blizzard</v>
          </cell>
          <cell r="B188" t="str">
            <v>Blizzard</v>
          </cell>
          <cell r="C188" t="str">
            <v>Blizzard</v>
          </cell>
          <cell r="D188"/>
          <cell r="E188">
            <v>186</v>
          </cell>
          <cell r="F188" t="str">
            <v>BA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Lightning</v>
          </cell>
          <cell r="B189" t="str">
            <v>Lightning</v>
          </cell>
          <cell r="C189" t="str">
            <v>Lightning</v>
          </cell>
          <cell r="D189"/>
          <cell r="E189">
            <v>187</v>
          </cell>
          <cell r="F189" t="str">
            <v>BB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Beam</v>
          </cell>
          <cell r="B190" t="str">
            <v>Beam</v>
          </cell>
          <cell r="C190" t="str">
            <v>Beam</v>
          </cell>
          <cell r="D190"/>
          <cell r="E190">
            <v>188</v>
          </cell>
          <cell r="F190" t="str">
            <v>BC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>
            <v>0</v>
          </cell>
          <cell r="N190">
            <v>0</v>
          </cell>
          <cell r="O190">
            <v>0</v>
          </cell>
        </row>
        <row r="191">
          <cell r="A191" t="str">
            <v>P-Blast</v>
          </cell>
          <cell r="B191" t="str">
            <v>P-Blast</v>
          </cell>
          <cell r="C191" t="str">
            <v>P-Blast</v>
          </cell>
          <cell r="D191"/>
          <cell r="E191">
            <v>189</v>
          </cell>
          <cell r="F191" t="str">
            <v>BD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Dispel</v>
          </cell>
          <cell r="B192" t="str">
            <v>Dispel</v>
          </cell>
          <cell r="C192" t="str">
            <v>Dispel</v>
          </cell>
          <cell r="D192"/>
          <cell r="E192">
            <v>190</v>
          </cell>
          <cell r="F192" t="str">
            <v>BE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D-Beam</v>
          </cell>
          <cell r="B193" t="str">
            <v>D-Beam</v>
          </cell>
          <cell r="C193" t="str">
            <v>D-Beam</v>
          </cell>
          <cell r="D193"/>
          <cell r="E193">
            <v>191</v>
          </cell>
          <cell r="F193" t="str">
            <v>BF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Squirt</v>
          </cell>
          <cell r="B194" t="str">
            <v>Squirt</v>
          </cell>
          <cell r="C194" t="str">
            <v>Squirt</v>
          </cell>
          <cell r="D194"/>
          <cell r="E194">
            <v>192</v>
          </cell>
          <cell r="F194" t="str">
            <v>C0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SunBurst</v>
          </cell>
          <cell r="B195" t="str">
            <v>SunBurst</v>
          </cell>
          <cell r="C195" t="str">
            <v>SunBurst</v>
          </cell>
          <cell r="D195"/>
          <cell r="E195">
            <v>193</v>
          </cell>
          <cell r="F195" t="str">
            <v>C1</v>
          </cell>
          <cell r="G195">
            <v>10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SleepGas</v>
          </cell>
          <cell r="B196" t="str">
            <v>SleepGas</v>
          </cell>
          <cell r="C196" t="str">
            <v>SleepGas</v>
          </cell>
          <cell r="D196"/>
          <cell r="E196">
            <v>194</v>
          </cell>
          <cell r="F196" t="str">
            <v>C2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</v>
          </cell>
          <cell r="B197" t="str">
            <v>Sleep</v>
          </cell>
          <cell r="C197" t="str">
            <v>Sleep</v>
          </cell>
          <cell r="D197"/>
          <cell r="E197">
            <v>195</v>
          </cell>
          <cell r="F197" t="str">
            <v>C3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StonGaze</v>
          </cell>
          <cell r="B198" t="str">
            <v>StonGaze</v>
          </cell>
          <cell r="C198" t="str">
            <v>StonGaze</v>
          </cell>
          <cell r="D198"/>
          <cell r="E198">
            <v>196</v>
          </cell>
          <cell r="F198" t="str">
            <v>C4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</v>
          </cell>
          <cell r="B199" t="str">
            <v>Stone</v>
          </cell>
          <cell r="C199" t="str">
            <v>Stone</v>
          </cell>
          <cell r="D199"/>
          <cell r="E199">
            <v>197</v>
          </cell>
          <cell r="F199" t="str">
            <v>C5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StoneGas</v>
          </cell>
          <cell r="B200" t="str">
            <v>StoneGas</v>
          </cell>
          <cell r="C200" t="str">
            <v>StoneGas</v>
          </cell>
          <cell r="D200"/>
          <cell r="E200">
            <v>198</v>
          </cell>
          <cell r="F200" t="str">
            <v>C6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FatalGas</v>
          </cell>
          <cell r="B201" t="str">
            <v>FatalGas</v>
          </cell>
          <cell r="C201" t="str">
            <v>FatalGas</v>
          </cell>
          <cell r="D201"/>
          <cell r="E201">
            <v>199</v>
          </cell>
          <cell r="F201" t="str">
            <v>C7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DeathGaze</v>
          </cell>
          <cell r="B202" t="str">
            <v>DeathGaze</v>
          </cell>
          <cell r="C202" t="str">
            <v>DeathGaze</v>
          </cell>
          <cell r="D202"/>
          <cell r="E202">
            <v>200</v>
          </cell>
          <cell r="F202" t="str">
            <v>C8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Slay</v>
          </cell>
          <cell r="B203" t="str">
            <v>Slay</v>
          </cell>
          <cell r="C203" t="str">
            <v>Slay</v>
          </cell>
          <cell r="D203"/>
          <cell r="E203">
            <v>201</v>
          </cell>
          <cell r="F203" t="str">
            <v>C9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Blind</v>
          </cell>
          <cell r="B204" t="str">
            <v>Blind</v>
          </cell>
          <cell r="C204" t="str">
            <v>Blind</v>
          </cell>
          <cell r="D204"/>
          <cell r="E204">
            <v>202</v>
          </cell>
          <cell r="F204" t="str">
            <v>CA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Flash</v>
          </cell>
          <cell r="B205" t="str">
            <v>Flash</v>
          </cell>
          <cell r="C205" t="str">
            <v>Flash</v>
          </cell>
          <cell r="D205"/>
          <cell r="E205">
            <v>203</v>
          </cell>
          <cell r="F205" t="str">
            <v>CB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Ink</v>
          </cell>
          <cell r="B206" t="str">
            <v>Ink</v>
          </cell>
          <cell r="C206" t="str">
            <v>Ink</v>
          </cell>
          <cell r="D206"/>
          <cell r="E206">
            <v>204</v>
          </cell>
          <cell r="F206" t="str">
            <v>CC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PoisonGas</v>
          </cell>
          <cell r="B207" t="str">
            <v>PoisonGas</v>
          </cell>
          <cell r="C207" t="str">
            <v>PoisonGas</v>
          </cell>
          <cell r="D207"/>
          <cell r="E207">
            <v>205</v>
          </cell>
          <cell r="F207" t="str">
            <v>CD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EvilEye</v>
          </cell>
          <cell r="B208" t="str">
            <v>EvilEye</v>
          </cell>
          <cell r="C208" t="str">
            <v>EvilEye</v>
          </cell>
          <cell r="D208"/>
          <cell r="E208">
            <v>206</v>
          </cell>
          <cell r="F208" t="str">
            <v>CE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 t="str">
            <v xml:space="preserve"> Mana +0</v>
          </cell>
          <cell r="N208" t="str">
            <v xml:space="preserve"> Mana</v>
          </cell>
          <cell r="O208" t="str">
            <v>0</v>
          </cell>
        </row>
        <row r="209">
          <cell r="A209" t="str">
            <v>Stunner</v>
          </cell>
          <cell r="B209" t="str">
            <v>Stunner</v>
          </cell>
          <cell r="C209" t="str">
            <v>Stunner</v>
          </cell>
          <cell r="D209"/>
          <cell r="E209">
            <v>207</v>
          </cell>
          <cell r="F209" t="str">
            <v>CF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>
            <v>0</v>
          </cell>
          <cell r="N209">
            <v>0</v>
          </cell>
          <cell r="O209">
            <v>0</v>
          </cell>
        </row>
        <row r="210">
          <cell r="A210" t="str">
            <v>Gaze</v>
          </cell>
          <cell r="B210" t="str">
            <v>Gaze</v>
          </cell>
          <cell r="C210" t="str">
            <v>Gaze</v>
          </cell>
          <cell r="D210"/>
          <cell r="E210">
            <v>208</v>
          </cell>
          <cell r="F210" t="str">
            <v>D0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Charm</v>
          </cell>
          <cell r="B211" t="str">
            <v>Charm</v>
          </cell>
          <cell r="C211" t="str">
            <v>Charm</v>
          </cell>
          <cell r="D211"/>
          <cell r="E211">
            <v>209</v>
          </cell>
          <cell r="F211" t="str">
            <v>D1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ChaosGas</v>
          </cell>
          <cell r="B212" t="str">
            <v>ChaosGas</v>
          </cell>
          <cell r="C212" t="str">
            <v>ChaosGas</v>
          </cell>
          <cell r="D212"/>
          <cell r="E212">
            <v>210</v>
          </cell>
          <cell r="F212" t="str">
            <v>D2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Sand</v>
          </cell>
          <cell r="B213" t="str">
            <v>Sand</v>
          </cell>
          <cell r="C213" t="str">
            <v>Sand</v>
          </cell>
          <cell r="D213"/>
          <cell r="E213">
            <v>211</v>
          </cell>
          <cell r="F213" t="str">
            <v>D3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Web</v>
          </cell>
          <cell r="B214" t="str">
            <v>Web</v>
          </cell>
          <cell r="C214" t="str">
            <v>Web</v>
          </cell>
          <cell r="D214"/>
          <cell r="E214">
            <v>212</v>
          </cell>
          <cell r="F214" t="str">
            <v>D4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Electroshock</v>
          </cell>
          <cell r="B215" t="str">
            <v>Electroshock</v>
          </cell>
          <cell r="C215" t="str">
            <v>Electroshock</v>
          </cell>
          <cell r="D215"/>
          <cell r="E215">
            <v>213</v>
          </cell>
          <cell r="F215" t="str">
            <v>D5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Enfeeble</v>
          </cell>
          <cell r="B216" t="str">
            <v>Enfeeble</v>
          </cell>
          <cell r="C216" t="str">
            <v>Enfeeble</v>
          </cell>
          <cell r="D216"/>
          <cell r="E216">
            <v>214</v>
          </cell>
          <cell r="F216" t="str">
            <v>D6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Stench</v>
          </cell>
          <cell r="B217" t="str">
            <v>Stench</v>
          </cell>
          <cell r="C217" t="str">
            <v>Stench</v>
          </cell>
          <cell r="D217"/>
          <cell r="E217">
            <v>215</v>
          </cell>
          <cell r="F217" t="str">
            <v>D7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Haste</v>
          </cell>
          <cell r="B218" t="str">
            <v>Haste</v>
          </cell>
          <cell r="C218" t="str">
            <v>Haste</v>
          </cell>
          <cell r="D218"/>
          <cell r="E218">
            <v>216</v>
          </cell>
          <cell r="F218" t="str">
            <v>D8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Tornado</v>
          </cell>
          <cell r="B219" t="str">
            <v>Tornado</v>
          </cell>
          <cell r="C219" t="str">
            <v>Tornado</v>
          </cell>
          <cell r="D219"/>
          <cell r="E219">
            <v>217</v>
          </cell>
          <cell r="F219" t="str">
            <v>D9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Quake</v>
          </cell>
          <cell r="B220" t="str">
            <v>Quake</v>
          </cell>
          <cell r="C220" t="str">
            <v>Quake</v>
          </cell>
          <cell r="D220"/>
          <cell r="E220">
            <v>218</v>
          </cell>
          <cell r="F220" t="str">
            <v>DA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Whirl</v>
          </cell>
          <cell r="B221" t="str">
            <v>Whirl</v>
          </cell>
          <cell r="C221" t="str">
            <v>Whirl</v>
          </cell>
          <cell r="D221"/>
          <cell r="E221">
            <v>219</v>
          </cell>
          <cell r="F221" t="str">
            <v>DB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Flare</v>
          </cell>
          <cell r="B222" t="str">
            <v>Flare</v>
          </cell>
          <cell r="C222" t="str">
            <v>Flare</v>
          </cell>
          <cell r="D222"/>
          <cell r="E222">
            <v>220</v>
          </cell>
          <cell r="F222" t="str">
            <v>DC</v>
          </cell>
          <cell r="G222">
            <v>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Steal</v>
          </cell>
          <cell r="B223" t="str">
            <v>Steal</v>
          </cell>
          <cell r="C223" t="str">
            <v>Steal</v>
          </cell>
          <cell r="D223"/>
          <cell r="E223">
            <v>221</v>
          </cell>
          <cell r="F223" t="str">
            <v>DD</v>
          </cell>
          <cell r="G223">
            <v>10</v>
          </cell>
          <cell r="H223"/>
          <cell r="I223"/>
          <cell r="J223"/>
          <cell r="K223"/>
          <cell r="L223">
            <v>9</v>
          </cell>
          <cell r="M223" t="str">
            <v>Agl +2</v>
          </cell>
          <cell r="N223" t="str">
            <v>Agl</v>
          </cell>
          <cell r="O223" t="str">
            <v>2</v>
          </cell>
        </row>
        <row r="224">
          <cell r="A224" t="str">
            <v>Explode</v>
          </cell>
          <cell r="B224" t="str">
            <v>Explode</v>
          </cell>
          <cell r="C224" t="str">
            <v>Explode</v>
          </cell>
          <cell r="D224"/>
          <cell r="E224">
            <v>222</v>
          </cell>
          <cell r="F224" t="str">
            <v>DE</v>
          </cell>
          <cell r="G224">
            <v>1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Acid</v>
          </cell>
          <cell r="B225" t="str">
            <v>Acid</v>
          </cell>
          <cell r="C225" t="str">
            <v>Acid</v>
          </cell>
          <cell r="D225"/>
          <cell r="E225">
            <v>223</v>
          </cell>
          <cell r="F225" t="str">
            <v>DF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Riddle</v>
          </cell>
          <cell r="B226" t="str">
            <v>Riddle</v>
          </cell>
          <cell r="C226" t="str">
            <v>Riddle</v>
          </cell>
          <cell r="D226"/>
          <cell r="E226">
            <v>224</v>
          </cell>
          <cell r="F226" t="str">
            <v>E0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CursSong</v>
          </cell>
          <cell r="B227" t="str">
            <v>CursSong</v>
          </cell>
          <cell r="C227" t="str">
            <v>CursSong</v>
          </cell>
          <cell r="D227"/>
          <cell r="E227">
            <v>225</v>
          </cell>
          <cell r="F227" t="str">
            <v>E1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MadSong</v>
          </cell>
          <cell r="B228" t="str">
            <v>MadSong</v>
          </cell>
          <cell r="C228" t="str">
            <v>MadSong</v>
          </cell>
          <cell r="D228"/>
          <cell r="E228">
            <v>226</v>
          </cell>
          <cell r="F228" t="str">
            <v>E2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Surprise</v>
          </cell>
          <cell r="B229" t="str">
            <v>Surprise</v>
          </cell>
          <cell r="C229" t="str">
            <v>Surprise</v>
          </cell>
          <cell r="D229"/>
          <cell r="E229">
            <v>227</v>
          </cell>
          <cell r="F229" t="str">
            <v>E3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Warning</v>
          </cell>
          <cell r="B230" t="str">
            <v>Warning</v>
          </cell>
          <cell r="C230" t="str">
            <v>Warning</v>
          </cell>
          <cell r="D230"/>
          <cell r="E230">
            <v>228</v>
          </cell>
          <cell r="F230" t="str">
            <v>E4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Multiply</v>
          </cell>
          <cell r="B231" t="str">
            <v>Multiply</v>
          </cell>
          <cell r="C231" t="str">
            <v>Multiply</v>
          </cell>
          <cell r="D231"/>
          <cell r="E231">
            <v>229</v>
          </cell>
          <cell r="F231" t="str">
            <v>E5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O-Quake</v>
          </cell>
          <cell r="B232" t="str">
            <v>O-Quake</v>
          </cell>
          <cell r="C232" t="str">
            <v>Quake</v>
          </cell>
          <cell r="D232" t="str">
            <v>O</v>
          </cell>
          <cell r="E232">
            <v>230</v>
          </cell>
          <cell r="F232" t="str">
            <v>E6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O-Change</v>
          </cell>
          <cell r="B233" t="str">
            <v>O-Change</v>
          </cell>
          <cell r="C233" t="str">
            <v>Change</v>
          </cell>
          <cell r="D233" t="str">
            <v>O</v>
          </cell>
          <cell r="E233">
            <v>231</v>
          </cell>
          <cell r="F233" t="str">
            <v>E7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O-Fire</v>
          </cell>
          <cell r="B234" t="str">
            <v>O-Fire</v>
          </cell>
          <cell r="C234" t="str">
            <v>Fire</v>
          </cell>
          <cell r="D234" t="str">
            <v>O</v>
          </cell>
          <cell r="E234">
            <v>232</v>
          </cell>
          <cell r="F234" t="str">
            <v>E8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O-Poison</v>
          </cell>
          <cell r="B235" t="str">
            <v>O-Poison</v>
          </cell>
          <cell r="C235" t="str">
            <v>Poison</v>
          </cell>
          <cell r="D235" t="str">
            <v>O</v>
          </cell>
          <cell r="E235">
            <v>233</v>
          </cell>
          <cell r="F235" t="str">
            <v>E9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O-Damage</v>
          </cell>
          <cell r="B236" t="str">
            <v>O-Damage</v>
          </cell>
          <cell r="C236" t="str">
            <v>Damage</v>
          </cell>
          <cell r="D236" t="str">
            <v>O</v>
          </cell>
          <cell r="E236">
            <v>234</v>
          </cell>
          <cell r="F236" t="str">
            <v>EA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O-Weapon</v>
          </cell>
          <cell r="B237" t="str">
            <v>O-Weapon</v>
          </cell>
          <cell r="C237" t="str">
            <v>Weapon</v>
          </cell>
          <cell r="D237" t="str">
            <v>O</v>
          </cell>
          <cell r="E237">
            <v>235</v>
          </cell>
          <cell r="F237" t="str">
            <v>EB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O-Pa/Po</v>
          </cell>
          <cell r="B238" t="str">
            <v>O-Pa/Po</v>
          </cell>
          <cell r="C238" t="str">
            <v>Pa/Po</v>
          </cell>
          <cell r="D238" t="str">
            <v>O</v>
          </cell>
          <cell r="E238">
            <v>236</v>
          </cell>
          <cell r="F238" t="str">
            <v>EC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O-Para</v>
          </cell>
          <cell r="B239" t="str">
            <v>O-Para</v>
          </cell>
          <cell r="C239" t="str">
            <v>Para</v>
          </cell>
          <cell r="D239" t="str">
            <v>O</v>
          </cell>
          <cell r="E239">
            <v>237</v>
          </cell>
          <cell r="F239" t="str">
            <v>ED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O-Ice</v>
          </cell>
          <cell r="B240" t="str">
            <v>O-Ice</v>
          </cell>
          <cell r="C240" t="str">
            <v>Ice</v>
          </cell>
          <cell r="D240" t="str">
            <v>O</v>
          </cell>
          <cell r="E240">
            <v>238</v>
          </cell>
          <cell r="F240" t="str">
            <v>EE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O-Stone</v>
          </cell>
          <cell r="B241" t="str">
            <v>O-Stone</v>
          </cell>
          <cell r="C241" t="str">
            <v>Stone</v>
          </cell>
          <cell r="D241" t="str">
            <v>O</v>
          </cell>
          <cell r="E241">
            <v>239</v>
          </cell>
          <cell r="F241" t="str">
            <v>EF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X-Fire</v>
          </cell>
          <cell r="B242" t="str">
            <v>X-Fire</v>
          </cell>
          <cell r="C242" t="str">
            <v>Fire</v>
          </cell>
          <cell r="D242" t="str">
            <v>X</v>
          </cell>
          <cell r="E242">
            <v>240</v>
          </cell>
          <cell r="F242" t="str">
            <v>F0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X-Ice</v>
          </cell>
          <cell r="B243" t="str">
            <v>X-Ice</v>
          </cell>
          <cell r="C243" t="str">
            <v>Ice</v>
          </cell>
          <cell r="D243" t="str">
            <v>X</v>
          </cell>
          <cell r="E243">
            <v>241</v>
          </cell>
          <cell r="F243" t="str">
            <v>F1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X-Thunder</v>
          </cell>
          <cell r="B244" t="str">
            <v>X-Thunder</v>
          </cell>
          <cell r="C244" t="str">
            <v>Thunder</v>
          </cell>
          <cell r="D244" t="str">
            <v>X</v>
          </cell>
          <cell r="E244">
            <v>242</v>
          </cell>
          <cell r="F244" t="str">
            <v>F2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Teleport</v>
          </cell>
          <cell r="B245" t="str">
            <v>Teleport</v>
          </cell>
          <cell r="C245" t="str">
            <v>Teleport</v>
          </cell>
          <cell r="D245"/>
          <cell r="E245">
            <v>243</v>
          </cell>
          <cell r="F245" t="str">
            <v>F3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Remedy</v>
          </cell>
          <cell r="B246" t="str">
            <v>Remedy</v>
          </cell>
          <cell r="C246" t="str">
            <v>Remedy</v>
          </cell>
          <cell r="D246"/>
          <cell r="E246">
            <v>244</v>
          </cell>
          <cell r="F246" t="str">
            <v>F4</v>
          </cell>
          <cell r="G246">
            <v>30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O-All</v>
          </cell>
          <cell r="B247" t="str">
            <v>O-All</v>
          </cell>
          <cell r="C247" t="str">
            <v>All</v>
          </cell>
          <cell r="D247" t="str">
            <v>O</v>
          </cell>
          <cell r="E247">
            <v>245</v>
          </cell>
          <cell r="F247" t="str">
            <v>F5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PoisonBurst</v>
          </cell>
          <cell r="B248" t="str">
            <v>PoisonBurst</v>
          </cell>
          <cell r="C248" t="str">
            <v>PoisonBurst</v>
          </cell>
          <cell r="D248"/>
          <cell r="E248">
            <v>246</v>
          </cell>
          <cell r="F248" t="str">
            <v>F6</v>
          </cell>
          <cell r="G248">
            <v>15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FlareApollo</v>
          </cell>
          <cell r="B249" t="str">
            <v>FlareApollo</v>
          </cell>
          <cell r="C249" t="str">
            <v>Flare</v>
          </cell>
          <cell r="D249" t="str">
            <v>Apollo</v>
          </cell>
          <cell r="E249">
            <v>250</v>
          </cell>
          <cell r="F249" t="str">
            <v>FA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Smasher</v>
          </cell>
          <cell r="B250" t="str">
            <v>Smasher</v>
          </cell>
          <cell r="C250" t="str">
            <v>Smasher</v>
          </cell>
          <cell r="D250"/>
          <cell r="E250">
            <v>253</v>
          </cell>
          <cell r="F250" t="str">
            <v>FD</v>
          </cell>
          <cell r="G250">
            <v>30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Recover</v>
          </cell>
          <cell r="B251" t="str">
            <v>Recover</v>
          </cell>
          <cell r="C251" t="str">
            <v>Recover</v>
          </cell>
          <cell r="D251"/>
          <cell r="E251">
            <v>254</v>
          </cell>
          <cell r="F251" t="str">
            <v>FE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Power Magi</v>
          </cell>
          <cell r="B252" t="str">
            <v>Power Magi</v>
          </cell>
          <cell r="C252" t="str">
            <v>Power</v>
          </cell>
          <cell r="D252" t="str">
            <v>Magi</v>
          </cell>
          <cell r="E252">
            <v>256</v>
          </cell>
          <cell r="F252">
            <v>100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Str +22</v>
          </cell>
          <cell r="N252" t="str">
            <v>Str</v>
          </cell>
          <cell r="O252" t="str">
            <v>22</v>
          </cell>
        </row>
        <row r="253">
          <cell r="A253" t="str">
            <v>Speed Magi</v>
          </cell>
          <cell r="B253" t="str">
            <v>Speed Magi</v>
          </cell>
          <cell r="C253" t="str">
            <v>Speed</v>
          </cell>
          <cell r="D253" t="str">
            <v>Magi</v>
          </cell>
          <cell r="E253">
            <v>257</v>
          </cell>
          <cell r="F253" t="str">
            <v>101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 t="str">
            <v>Agl +22</v>
          </cell>
          <cell r="N253">
            <v>0</v>
          </cell>
          <cell r="O253">
            <v>0</v>
          </cell>
        </row>
        <row r="254">
          <cell r="A254" t="str">
            <v>Mana Magi</v>
          </cell>
          <cell r="B254" t="str">
            <v>Mana Magi</v>
          </cell>
          <cell r="C254" t="str">
            <v>Mana</v>
          </cell>
          <cell r="D254" t="str">
            <v>Magi</v>
          </cell>
          <cell r="E254">
            <v>258</v>
          </cell>
          <cell r="F254" t="str">
            <v>102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Defense Magi</v>
          </cell>
          <cell r="B255" t="str">
            <v>Defense Magi</v>
          </cell>
          <cell r="C255" t="str">
            <v>Defense</v>
          </cell>
          <cell r="D255" t="str">
            <v>Magi</v>
          </cell>
          <cell r="E255">
            <v>259</v>
          </cell>
          <cell r="F255" t="str">
            <v>103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 t="str">
            <v>Def +22</v>
          </cell>
          <cell r="N255" t="str">
            <v>Def</v>
          </cell>
          <cell r="O255" t="str">
            <v>22</v>
          </cell>
        </row>
        <row r="256">
          <cell r="A256" t="str">
            <v>Fire Magi</v>
          </cell>
          <cell r="B256" t="str">
            <v>Fire Magi</v>
          </cell>
          <cell r="C256" t="str">
            <v>Fire</v>
          </cell>
          <cell r="D256" t="str">
            <v>Magi</v>
          </cell>
          <cell r="E256">
            <v>260</v>
          </cell>
          <cell r="F256" t="str">
            <v>104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Ice Magi</v>
          </cell>
          <cell r="B257" t="str">
            <v>Ice Magi</v>
          </cell>
          <cell r="C257" t="str">
            <v>Ice</v>
          </cell>
          <cell r="D257" t="str">
            <v>Magi</v>
          </cell>
          <cell r="E257">
            <v>261</v>
          </cell>
          <cell r="F257" t="str">
            <v>105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Thunder Magi</v>
          </cell>
          <cell r="B258" t="str">
            <v>Thunder Magi</v>
          </cell>
          <cell r="C258" t="str">
            <v>Thunder</v>
          </cell>
          <cell r="D258" t="str">
            <v>Magi</v>
          </cell>
          <cell r="E258">
            <v>262</v>
          </cell>
          <cell r="F258" t="str">
            <v>106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Poison Magi</v>
          </cell>
          <cell r="B259" t="str">
            <v>Poison Magi</v>
          </cell>
          <cell r="C259" t="str">
            <v>Poison</v>
          </cell>
          <cell r="D259" t="str">
            <v>Magi</v>
          </cell>
          <cell r="E259">
            <v>263</v>
          </cell>
          <cell r="F259" t="str">
            <v>107</v>
          </cell>
          <cell r="G259">
            <v>-2</v>
          </cell>
          <cell r="H259"/>
          <cell r="I259"/>
          <cell r="J259"/>
          <cell r="K259"/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O-Dragon</v>
          </cell>
          <cell r="B260" t="str">
            <v>O-Dragon</v>
          </cell>
          <cell r="C260" t="str">
            <v>Dragon</v>
          </cell>
          <cell r="D260" t="str">
            <v>O</v>
          </cell>
          <cell r="E260"/>
          <cell r="F260"/>
          <cell r="G260">
            <v>-2</v>
          </cell>
          <cell r="H260"/>
          <cell r="I260"/>
          <cell r="J260"/>
          <cell r="K260"/>
          <cell r="L260"/>
          <cell r="M260"/>
          <cell r="N260">
            <v>0</v>
          </cell>
          <cell r="O260">
            <v>0</v>
          </cell>
        </row>
        <row r="261">
          <cell r="A261" t="str">
            <v>Tremor</v>
          </cell>
          <cell r="B261" t="str">
            <v>Tremor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0</v>
          </cell>
          <cell r="M261"/>
          <cell r="N261">
            <v>0</v>
          </cell>
          <cell r="O261">
            <v>0</v>
          </cell>
        </row>
        <row r="262">
          <cell r="A262" t="str">
            <v>kW B-Exp</v>
          </cell>
          <cell r="B262" t="str">
            <v>kW B-Exp</v>
          </cell>
          <cell r="C262"/>
          <cell r="D262"/>
          <cell r="E262"/>
          <cell r="F262"/>
          <cell r="G262">
            <v>-2</v>
          </cell>
          <cell r="H262"/>
          <cell r="I262"/>
          <cell r="J262"/>
          <cell r="K262"/>
          <cell r="L262">
            <v>18</v>
          </cell>
          <cell r="M262"/>
          <cell r="N262" t="str">
            <v>Str</v>
          </cell>
          <cell r="O262">
            <v>8</v>
          </cell>
        </row>
        <row r="263">
          <cell r="A263" t="str">
            <v>MM Book</v>
          </cell>
          <cell r="B263" t="str">
            <v>MM Book</v>
          </cell>
          <cell r="C263" t="str">
            <v>MM</v>
          </cell>
          <cell r="D263" t="str">
            <v>Book</v>
          </cell>
          <cell r="E263"/>
          <cell r="F263"/>
          <cell r="G263">
            <v>30</v>
          </cell>
          <cell r="H263">
            <v>400</v>
          </cell>
          <cell r="I263"/>
          <cell r="J263"/>
          <cell r="K263"/>
          <cell r="L263">
            <v>0</v>
          </cell>
          <cell r="M263"/>
          <cell r="N263">
            <v>0</v>
          </cell>
          <cell r="O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>
            <v>0</v>
          </cell>
          <cell r="M264"/>
          <cell r="N264">
            <v>0</v>
          </cell>
          <cell r="O264">
            <v>0</v>
          </cell>
        </row>
        <row r="265">
          <cell r="A265" t="str">
            <v>Windstorm</v>
          </cell>
          <cell r="B265" t="str">
            <v>Windstorm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  <cell r="N265"/>
          <cell r="O265"/>
        </row>
        <row r="266">
          <cell r="A266" t="str">
            <v>Sandblast</v>
          </cell>
          <cell r="B266" t="str">
            <v>Sandblast</v>
          </cell>
          <cell r="C266"/>
          <cell r="D266"/>
          <cell r="E266"/>
          <cell r="F266"/>
          <cell r="G266">
            <v>15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O-Stun</v>
          </cell>
          <cell r="B267" t="str">
            <v>O-Stun</v>
          </cell>
          <cell r="C267" t="str">
            <v>Stun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O-Thunder</v>
          </cell>
          <cell r="B268" t="str">
            <v>O-Thunder</v>
          </cell>
          <cell r="C268" t="str">
            <v>Thunder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AreaCure</v>
          </cell>
          <cell r="B269" t="str">
            <v>AreaCure</v>
          </cell>
          <cell r="C269"/>
          <cell r="D269"/>
          <cell r="E269"/>
          <cell r="F269"/>
          <cell r="G269">
            <v>10</v>
          </cell>
          <cell r="H269"/>
          <cell r="I269"/>
          <cell r="J269"/>
          <cell r="K269"/>
          <cell r="L269"/>
          <cell r="M269"/>
          <cell r="N269"/>
          <cell r="O269"/>
        </row>
        <row r="270">
          <cell r="A270" t="str">
            <v>Storm Shield</v>
          </cell>
          <cell r="B270" t="str">
            <v>Storm Shield</v>
          </cell>
          <cell r="C270" t="str">
            <v>Storm</v>
          </cell>
          <cell r="D270" t="str">
            <v>Shield</v>
          </cell>
          <cell r="E270"/>
          <cell r="F270"/>
          <cell r="G270">
            <v>30</v>
          </cell>
          <cell r="H270"/>
          <cell r="I270"/>
          <cell r="J270"/>
          <cell r="K270"/>
          <cell r="L270">
            <v>81</v>
          </cell>
          <cell r="M270"/>
          <cell r="N270" t="str">
            <v>Def</v>
          </cell>
          <cell r="O270">
            <v>18</v>
          </cell>
        </row>
        <row r="271">
          <cell r="A271" t="str">
            <v>Bite</v>
          </cell>
          <cell r="B271" t="str">
            <v>Bite</v>
          </cell>
          <cell r="C271" t="str">
            <v>Bite</v>
          </cell>
          <cell r="D271"/>
          <cell r="E271">
            <v>129</v>
          </cell>
          <cell r="F271">
            <v>81</v>
          </cell>
          <cell r="G271">
            <v>15</v>
          </cell>
          <cell r="H271"/>
          <cell r="I271"/>
          <cell r="J271"/>
          <cell r="K271"/>
          <cell r="L271">
            <v>9</v>
          </cell>
          <cell r="M271">
            <v>0</v>
          </cell>
          <cell r="N271">
            <v>0</v>
          </cell>
          <cell r="O271">
            <v>0</v>
          </cell>
        </row>
        <row r="272">
          <cell r="A272" t="str">
            <v>Crash</v>
          </cell>
          <cell r="B272" t="str">
            <v>Crash</v>
          </cell>
          <cell r="C272" t="str">
            <v>Crash</v>
          </cell>
          <cell r="D272"/>
          <cell r="E272"/>
          <cell r="F272"/>
          <cell r="G272">
            <v>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Wait</v>
          </cell>
          <cell r="B273" t="str">
            <v>Wait</v>
          </cell>
          <cell r="C273" t="str">
            <v>Wait</v>
          </cell>
          <cell r="D273"/>
          <cell r="E273"/>
          <cell r="F273"/>
          <cell r="G273">
            <v>99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T-Kimono</v>
          </cell>
          <cell r="B274" t="str">
            <v>T-Kimono</v>
          </cell>
          <cell r="C274" t="str">
            <v>Kimono</v>
          </cell>
          <cell r="D274" t="str">
            <v>Torn</v>
          </cell>
          <cell r="E274"/>
          <cell r="F274"/>
          <cell r="G274">
            <v>-2</v>
          </cell>
          <cell r="H274"/>
          <cell r="I274">
            <v>2</v>
          </cell>
          <cell r="J274" t="str">
            <v>Agl</v>
          </cell>
          <cell r="K274">
            <v>1</v>
          </cell>
          <cell r="L274"/>
          <cell r="M274"/>
          <cell r="N274"/>
          <cell r="O274"/>
        </row>
        <row r="275">
          <cell r="A275" t="str">
            <v>Spit</v>
          </cell>
          <cell r="B275" t="str">
            <v>Spit</v>
          </cell>
          <cell r="G275">
            <v>15</v>
          </cell>
        </row>
        <row r="276">
          <cell r="B276" t="str">
            <v>Decapitate</v>
          </cell>
          <cell r="C276" t="str">
            <v>Decapitate</v>
          </cell>
          <cell r="G276">
            <v>10</v>
          </cell>
        </row>
        <row r="277">
          <cell r="B277" t="str">
            <v>Roar</v>
          </cell>
          <cell r="C277" t="str">
            <v>Roar</v>
          </cell>
          <cell r="G277">
            <v>10</v>
          </cell>
        </row>
        <row r="278">
          <cell r="B278" t="str">
            <v>Sting</v>
          </cell>
          <cell r="C278" t="str">
            <v>Sting</v>
          </cell>
          <cell r="G278">
            <v>30</v>
          </cell>
        </row>
        <row r="279">
          <cell r="B279" t="str">
            <v>Repeat X-Bow</v>
          </cell>
          <cell r="D279" t="str">
            <v>Bow</v>
          </cell>
          <cell r="G279">
            <v>40</v>
          </cell>
          <cell r="H279">
            <v>11000</v>
          </cell>
          <cell r="L279">
            <v>63</v>
          </cell>
          <cell r="N279" t="str">
            <v>Agl</v>
          </cell>
          <cell r="O279">
            <v>10</v>
          </cell>
        </row>
        <row r="280">
          <cell r="B280" t="str">
            <v>Psi Flurry</v>
          </cell>
          <cell r="G280">
            <v>10</v>
          </cell>
        </row>
        <row r="281">
          <cell r="B281" t="str">
            <v>Hex</v>
          </cell>
          <cell r="G281">
            <v>15</v>
          </cell>
        </row>
        <row r="282">
          <cell r="B282" t="str">
            <v>Charge</v>
          </cell>
          <cell r="C282" t="str">
            <v>Charge</v>
          </cell>
          <cell r="G282">
            <v>10</v>
          </cell>
        </row>
        <row r="283">
          <cell r="B283" t="str">
            <v>DiveBomb</v>
          </cell>
          <cell r="C283" t="str">
            <v>DiveBomb</v>
          </cell>
          <cell r="G283">
            <v>15</v>
          </cell>
        </row>
        <row r="284">
          <cell r="B284" t="str">
            <v>Trample</v>
          </cell>
          <cell r="C284" t="str">
            <v>Trample</v>
          </cell>
          <cell r="G284">
            <v>15</v>
          </cell>
        </row>
        <row r="285">
          <cell r="B285" t="str">
            <v>SHINING FINGER</v>
          </cell>
        </row>
        <row r="286">
          <cell r="B286" t="str">
            <v>Golden Gun</v>
          </cell>
        </row>
        <row r="287">
          <cell r="B287" t="str">
            <v>Beretta</v>
          </cell>
          <cell r="G287">
            <v>50</v>
          </cell>
        </row>
        <row r="288">
          <cell r="B288" t="str">
            <v>None</v>
          </cell>
          <cell r="G288">
            <v>99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O2" sqref="AO2:AO40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8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29" t="s">
        <v>28</v>
      </c>
      <c r="AC1" s="30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5" t="s">
        <v>48</v>
      </c>
      <c r="AO1" s="17" t="s">
        <v>51</v>
      </c>
      <c r="AP1" s="27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0" t="str">
        <f t="shared" ref="A2:A12" si="0">B2</f>
        <v>Rando</v>
      </c>
      <c r="B2" s="66" t="s">
        <v>92</v>
      </c>
      <c r="C2" s="77"/>
      <c r="D2" s="35" t="s">
        <v>75</v>
      </c>
      <c r="E2" s="116" t="s">
        <v>171</v>
      </c>
      <c r="F2">
        <v>61</v>
      </c>
      <c r="G2" s="2">
        <f>IF(ISBLANK(VLOOKUP($E2,[1]Monster!$A$2:$X$258,10,FALSE)),"",VLOOKUP($E2,[1]Monster!$A$2:$X$258,10,FALSE))</f>
        <v>99</v>
      </c>
      <c r="H2" s="3">
        <v>0</v>
      </c>
      <c r="I2" s="5">
        <f>IF(ISBLANK(VLOOKUP($E2,[1]Monster!$A$2:$X$258,11,FALSE)),"",VLOOKUP($E2,[1]Monster!$A$2:$X$258,11,FALSE))+H2</f>
        <v>10</v>
      </c>
      <c r="J2" s="4">
        <v>0</v>
      </c>
      <c r="K2" s="2">
        <f>IF(ISBLANK(VLOOKUP($E2,[1]Monster!$A$2:$X$258,14,FALSE)),"",VLOOKUP($E2,[1]Monster!$A$2:$X$258,14,FALSE))+J2</f>
        <v>5</v>
      </c>
      <c r="L2" s="3">
        <v>0</v>
      </c>
      <c r="M2" s="5">
        <f>IF(ISBLANK(VLOOKUP($E2,[1]Monster!$A$2:$X$258,12,FALSE)),"",VLOOKUP($E2,[1]Monster!$A$2:$X$258,12,FALSE))+L2</f>
        <v>7</v>
      </c>
      <c r="N2" s="4">
        <v>0</v>
      </c>
      <c r="O2" s="2">
        <f>IF(ISBLANK(VLOOKUP($E2,[1]Monster!$A$2:$X$258,13,FALSE)),"",VLOOKUP($E2,[1]Monster!$A$2:$X$258,13,FALSE))+N2</f>
        <v>8</v>
      </c>
      <c r="P2" s="31" t="str">
        <f>IF(ISBLANK(VLOOKUP($E2,[1]Monster!$A$2:$X$258,16,FALSE)),"",VLOOKUP($E2,[1]Monster!$A$2:$X$258,16,FALSE))</f>
        <v>Tentacle</v>
      </c>
      <c r="Q2">
        <v>30</v>
      </c>
      <c r="R2" s="6">
        <f>_xlfn.IFNA(IF($E2="Robot",VLOOKUP(P2,[1]Weapon!$B$1:$G$351,6,FALSE)/2,VLOOKUP(P2,[1]Weapon!$B$1:$G$351,6,FALSE)),0)</f>
        <v>30</v>
      </c>
      <c r="S2" s="31" t="str">
        <f>IF(ISBLANK(VLOOKUP($E2,[1]Monster!$A$2:$X$258,17,FALSE)),"",VLOOKUP($E2,[1]Monster!$A$2:$X$258,17,FALSE))</f>
        <v>8-Legs</v>
      </c>
      <c r="T2">
        <v>11</v>
      </c>
      <c r="U2" s="6">
        <f>_xlfn.IFNA(IF($E2="Robot",VLOOKUP(S2,[1]Weapon!$B$1:$G$351,6,FALSE)/2,VLOOKUP(S2,[1]Weapon!$B$1:$G$351,6,FALSE)),0)</f>
        <v>15</v>
      </c>
      <c r="V2" s="31" t="str">
        <f>IF(ISBLANK(VLOOKUP($E2,[1]Monster!$A$2:$X$258,18,FALSE)),"",VLOOKUP($E2,[1]Monster!$A$2:$X$258,18,FALSE))</f>
        <v>X-Thunder</v>
      </c>
      <c r="W2">
        <v>0</v>
      </c>
      <c r="X2" s="6">
        <f>_xlfn.IFNA(IF($E2="Robot",VLOOKUP(V2,[1]Weapon!$B$1:$G$351,6,FALSE)/2,VLOOKUP(V2,[1]Weapon!$B$1:$G$351,6,FALSE)),0)</f>
        <v>-2</v>
      </c>
      <c r="Y2" s="31" t="str">
        <f>IF(ISBLANK(VLOOKUP($E2,[1]Monster!$A$2:$X$258,19,FALSE)),"",VLOOKUP($E2,[1]Monster!$A$2:$X$258,19,FALSE))</f>
        <v/>
      </c>
      <c r="Z2">
        <v>0</v>
      </c>
      <c r="AA2" s="6">
        <f>_xlfn.IFNA(IF($E2="Robot",VLOOKUP(Y2,[1]Weapon!$B$1:$G$351,6,FALSE)/2,VLOOKUP(Y2,[1]Weapon!$B$1:$G$351,6,FALSE)),0)</f>
        <v>0</v>
      </c>
      <c r="AB2" s="31" t="str">
        <f>IF(ISBLANK(VLOOKUP($E2,[1]Monster!$A$2:$X$258,20,FALSE)),"",VLOOKUP($E2,[1]Monster!$A$2:$X$258,20,FALSE))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1" t="str">
        <f>IF(ISBLANK(VLOOKUP($E2,[1]Monster!$A$2:$X$258,21,FALSE)),"",VLOOKUP($E2,[1]Monster!$A$2:$X$258,21,FALSE))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1" t="str">
        <f>IF(ISBLANK(VLOOKUP($E2,[1]Monster!$A$2:$X$258,22,FALSE)),"",VLOOKUP($E2,[1]Monster!$A$2:$X$258,22,FALSE))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86"/>
      <c r="AL2">
        <v>0</v>
      </c>
      <c r="AM2" s="6">
        <f>_xlfn.IFNA(IF($E2="Robot",VLOOKUP(AK2,[1]Weapon!$B$1:$G$351,6,FALSE)/2,VLOOKUP(AK2,[1]Weapon!$B$1:$G$351,6,FALSE)),0)</f>
        <v>0</v>
      </c>
      <c r="AN2" s="26"/>
      <c r="AO2">
        <v>0</v>
      </c>
      <c r="AP2" s="6">
        <f>_xlfn.IFNA(IF($E2="Robot",VLOOKUP(AN2,[1]Weapon!$B$1:$G$351,6,FALSE)/2,VLOOKUP(AN2,[1]Weapon!$B$1:$G$351,6,FALSE)),0)</f>
        <v>0</v>
      </c>
      <c r="AQ2" s="68"/>
      <c r="AR2" s="103" t="s">
        <v>164</v>
      </c>
      <c r="AS2">
        <f>VLOOKUP(B2,Toolkit!$Q$3:$U$22,2,FALSE)</f>
        <v>468</v>
      </c>
    </row>
    <row r="3" spans="1:46" x14ac:dyDescent="0.25">
      <c r="A3" s="60" t="str">
        <f t="shared" si="0"/>
        <v>Grace</v>
      </c>
      <c r="B3" s="114" t="s">
        <v>93</v>
      </c>
      <c r="C3" s="77"/>
      <c r="D3" s="34" t="s">
        <v>94</v>
      </c>
      <c r="E3" s="107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$275,9,FALSE),0)+_xlfn.IFNA(VLOOKUP($S3,[1]Weapon!$A$1:$M$275,9,FALSE),0)+_xlfn.IFNA(VLOOKUP($V3,[1]Weapon!$A$1:$M$275,9,FALSE),0)+_xlfn.IFNA(VLOOKUP($Y3,[1]Weapon!$A$1:$M$275,9,FALSE),0)+_xlfn.IFNA(VLOOKUP($AB3,[1]Weapon!$A$1:$M$275,9,FALSE),0)+_xlfn.IFNA(VLOOKUP($AE3,[1]Weapon!$A$1:$M$275,9,FALSE),0)+_xlfn.IFNA(VLOOKUP($AH3,[1]Weapon!$A$1:$M$275,9,FALSE),0)+_xlfn.IFNA(VLOOKUP($AK3,[1]Weapon!$A$1:$M$275,9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88" t="s">
        <v>89</v>
      </c>
      <c r="Q3">
        <v>12</v>
      </c>
      <c r="R3" s="6">
        <f>_xlfn.IFNA(IF($E3="Robot",VLOOKUP(P3,[1]Weapon!$B$1:$G$351,6,FALSE)/2,VLOOKUP(P3,[1]Weapon!$B$1:$G$351,6,FALSE)),0)</f>
        <v>15</v>
      </c>
      <c r="S3" s="89" t="s">
        <v>139</v>
      </c>
      <c r="T3">
        <v>13</v>
      </c>
      <c r="U3" s="6">
        <f>_xlfn.IFNA(IF($E3="Robot",VLOOKUP(S3,[1]Weapon!$B$1:$G$351,6,FALSE)/2,VLOOKUP(S3,[1]Weapon!$B$1:$G$351,6,FALSE)),0)</f>
        <v>15</v>
      </c>
      <c r="V3" s="90"/>
      <c r="W3">
        <v>0</v>
      </c>
      <c r="X3" s="6">
        <f>_xlfn.IFNA(IF($E3="Robot",VLOOKUP(V3,[1]Weapon!$B$1:$G$351,6,FALSE)/2,VLOOKUP(V3,[1]Weapon!$B$1:$G$351,6,FALSE)),0)</f>
        <v>0</v>
      </c>
      <c r="Y3" s="90"/>
      <c r="Z3">
        <v>0</v>
      </c>
      <c r="AA3" s="6">
        <f>_xlfn.IFNA(IF($E3="Robot",VLOOKUP(Y3,[1]Weapon!$B$1:$G$351,6,FALSE)/2,VLOOKUP(Y3,[1]Weapon!$B$1:$G$351,6,FALSE)),0)</f>
        <v>0</v>
      </c>
      <c r="AB3" s="36" t="s">
        <v>95</v>
      </c>
      <c r="AC3">
        <v>48</v>
      </c>
      <c r="AD3" s="6">
        <f>_xlfn.IFNA(IF($E3="Robot",VLOOKUP(AB3,[1]Weapon!$B$1:$G$351,6,FALSE)/2,VLOOKUP(AB3,[1]Weapon!$B$1:$G$351,6,FALSE)),0)</f>
        <v>50</v>
      </c>
      <c r="AE3" s="36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78" t="s">
        <v>141</v>
      </c>
      <c r="AI3">
        <v>-1</v>
      </c>
      <c r="AJ3" s="6">
        <f>_xlfn.IFNA(IF($E3="Robot",VLOOKUP(AH3,[1]Weapon!$B$1:$G$351,6,FALSE)/2,VLOOKUP(AH3,[1]Weapon!$B$1:$G$351,6,FALSE)),0)</f>
        <v>-2</v>
      </c>
      <c r="AK3" s="78" t="s">
        <v>155</v>
      </c>
      <c r="AL3">
        <v>-1</v>
      </c>
      <c r="AM3" s="6">
        <f>_xlfn.IFNA(IF($E3="Robot",VLOOKUP(AK3,[1]Weapon!$B$1:$G$351,6,FALSE)/2,VLOOKUP(AK3,[1]Weapon!$B$1:$G$351,6,FALSE)),0)</f>
        <v>-2</v>
      </c>
      <c r="AN3" s="31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103" t="s">
        <v>142</v>
      </c>
      <c r="AS3">
        <f>VLOOKUP(B3,Toolkit!$Q$3:$U$22,2,FALSE)</f>
        <v>374</v>
      </c>
    </row>
    <row r="4" spans="1:46" x14ac:dyDescent="0.25">
      <c r="A4" s="60" t="str">
        <f t="shared" si="0"/>
        <v>Astrid</v>
      </c>
      <c r="B4" s="114" t="s">
        <v>97</v>
      </c>
      <c r="C4" s="77"/>
      <c r="D4" s="34" t="s">
        <v>78</v>
      </c>
      <c r="E4" s="107" t="s">
        <v>91</v>
      </c>
      <c r="F4">
        <v>65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$275,9,FALSE),0)+_xlfn.IFNA(VLOOKUP($S4,[1]Weapon!$A$1:$M$275,9,FALSE),0)+_xlfn.IFNA(VLOOKUP($V4,[1]Weapon!$A$1:$M$275,9,FALSE),0)+_xlfn.IFNA(VLOOKUP($Y4,[1]Weapon!$A$1:$M$275,9,FALSE),0)+_xlfn.IFNA(VLOOKUP($AB4,[1]Weapon!$A$1:$M$275,9,FALSE),0)+_xlfn.IFNA(VLOOKUP($AE4,[1]Weapon!$A$1:$M$275,9,FALSE),0)+_xlfn.IFNA(VLOOKUP($AH4,[1]Weapon!$A$1:$M$275,9,FALSE),0)+_xlfn.IFNA(VLOOKUP($AK4,[1]Weapon!$A$1:$M$275,9,FALSE),0)</f>
        <v>5</v>
      </c>
      <c r="L4" s="3">
        <v>6</v>
      </c>
      <c r="M4" s="5">
        <f>L4</f>
        <v>6</v>
      </c>
      <c r="N4" s="4">
        <v>8</v>
      </c>
      <c r="O4" s="2">
        <f t="shared" ref="O4" si="4">N4</f>
        <v>8</v>
      </c>
      <c r="P4" s="88" t="s">
        <v>88</v>
      </c>
      <c r="Q4">
        <v>12</v>
      </c>
      <c r="R4" s="6">
        <f>_xlfn.IFNA(IF($E4="Robot",VLOOKUP(P4,[1]Weapon!$B$1:$G$351,6,FALSE)/2,VLOOKUP(P4,[1]Weapon!$B$1:$G$351,6,FALSE)),0)</f>
        <v>15</v>
      </c>
      <c r="S4" s="91" t="s">
        <v>143</v>
      </c>
      <c r="T4">
        <v>-2</v>
      </c>
      <c r="U4" s="6">
        <f>_xlfn.IFNA(IF($E4="Robot",VLOOKUP(S4,[1]Weapon!$B$1:$G$351,6,FALSE)/2,VLOOKUP(S4,[1]Weapon!$B$1:$G$351,6,FALSE)),0)</f>
        <v>-2</v>
      </c>
      <c r="V4" s="92" t="s">
        <v>145</v>
      </c>
      <c r="W4">
        <v>-2</v>
      </c>
      <c r="X4" s="6">
        <f>_xlfn.IFNA(IF($E4="Robot",VLOOKUP(V4,[1]Weapon!$B$1:$G$351,6,FALSE)/2,VLOOKUP(V4,[1]Weapon!$B$1:$G$351,6,FALSE)),0)</f>
        <v>-2</v>
      </c>
      <c r="Y4" s="101"/>
      <c r="Z4">
        <v>0</v>
      </c>
      <c r="AA4" s="6">
        <f>_xlfn.IFNA(IF($E4="Robot",VLOOKUP(Y4,[1]Weapon!$B$1:$G$351,6,FALSE)/2,VLOOKUP(Y4,[1]Weapon!$B$1:$G$351,6,FALSE)),0)</f>
        <v>0</v>
      </c>
      <c r="AB4" s="36" t="s">
        <v>95</v>
      </c>
      <c r="AC4">
        <v>44</v>
      </c>
      <c r="AD4" s="6">
        <f>_xlfn.IFNA(IF($E4="Robot",VLOOKUP(AB4,[1]Weapon!$B$1:$G$351,6,FALSE)/2,VLOOKUP(AB4,[1]Weapon!$B$1:$G$351,6,FALSE)),0)</f>
        <v>50</v>
      </c>
      <c r="AE4" s="36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78" t="s">
        <v>141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81" t="s">
        <v>142</v>
      </c>
      <c r="AS4">
        <f>VLOOKUP(B4,Toolkit!$Q$3:$U$22,2,FALSE)</f>
        <v>366</v>
      </c>
    </row>
    <row r="5" spans="1:46" x14ac:dyDescent="0.25">
      <c r="A5" s="60" t="str">
        <f t="shared" si="0"/>
        <v>Cuthbert</v>
      </c>
      <c r="B5" s="106" t="s">
        <v>98</v>
      </c>
      <c r="C5" s="77"/>
      <c r="D5" s="34" t="s">
        <v>99</v>
      </c>
      <c r="E5" s="116" t="s">
        <v>179</v>
      </c>
      <c r="F5">
        <v>81</v>
      </c>
      <c r="G5" s="2">
        <f>IF(ISBLANK(VLOOKUP($E5,[1]Monster!$A$2:$X$258,10,FALSE)),"",VLOOKUP($E5,[1]Monster!$A$2:$X$258,10,FALSE))</f>
        <v>81</v>
      </c>
      <c r="H5" s="3">
        <v>0</v>
      </c>
      <c r="I5" s="5">
        <f>IF(ISBLANK(VLOOKUP($E5,[1]Monster!$A$2:$X$258,11,FALSE)),"",VLOOKUP($E5,[1]Monster!$A$2:$X$258,11,FALSE))+H5</f>
        <v>4</v>
      </c>
      <c r="J5" s="4">
        <v>0</v>
      </c>
      <c r="K5" s="2">
        <f>IF(ISBLANK(VLOOKUP($E5,[1]Monster!$A$2:$X$258,14,FALSE)),"",VLOOKUP($E5,[1]Monster!$A$2:$X$258,14,FALSE))+J5</f>
        <v>10</v>
      </c>
      <c r="L5" s="3">
        <v>0</v>
      </c>
      <c r="M5" s="5">
        <f>IF(ISBLANK(VLOOKUP($E5,[1]Monster!$A$2:$X$258,12,FALSE)),"",VLOOKUP($E5,[1]Monster!$A$2:$X$258,12,FALSE))+L5</f>
        <v>10</v>
      </c>
      <c r="N5" s="4">
        <v>0</v>
      </c>
      <c r="O5" s="2">
        <f>IF(ISBLANK(VLOOKUP($E5,[1]Monster!$A$2:$X$258,13,FALSE)),"",VLOOKUP($E5,[1]Monster!$A$2:$X$258,13,FALSE))+N5</f>
        <v>8</v>
      </c>
      <c r="P5" s="31" t="str">
        <f>IF(ISBLANK(VLOOKUP($E5,[1]Monster!$A$2:$X$258,16,FALSE)),"",VLOOKUP($E5,[1]Monster!$A$2:$X$258,16,FALSE))</f>
        <v>Mandible</v>
      </c>
      <c r="Q5">
        <v>24</v>
      </c>
      <c r="R5" s="6">
        <f>_xlfn.IFNA(IF($E5="Robot",VLOOKUP(P5,[1]Weapon!$B$1:$G$351,6,FALSE)/2,VLOOKUP(P5,[1]Weapon!$B$1:$G$351,6,FALSE)),0)</f>
        <v>30</v>
      </c>
      <c r="S5" s="31" t="str">
        <f>IF(ISBLANK(VLOOKUP($E5,[1]Monster!$A$2:$X$258,17,FALSE)),"",VLOOKUP($E5,[1]Monster!$A$2:$X$258,17,FALSE))</f>
        <v>Stench</v>
      </c>
      <c r="T5">
        <v>-2</v>
      </c>
      <c r="U5" s="6">
        <f>_xlfn.IFNA(IF($E5="Robot",VLOOKUP(S5,[1]Weapon!$B$1:$G$351,6,FALSE)/2,VLOOKUP(S5,[1]Weapon!$B$1:$G$351,6,FALSE)),0)</f>
        <v>15</v>
      </c>
      <c r="V5" s="31" t="str">
        <f>IF(ISBLANK(VLOOKUP($E5,[1]Monster!$A$2:$X$258,18,FALSE)),"",VLOOKUP($E5,[1]Monster!$A$2:$X$258,18,FALSE))</f>
        <v>X-Ice</v>
      </c>
      <c r="W5">
        <v>0</v>
      </c>
      <c r="X5" s="6">
        <f>_xlfn.IFNA(IF($E5="Robot",VLOOKUP(V5,[1]Weapon!$B$1:$G$351,6,FALSE)/2,VLOOKUP(V5,[1]Weapon!$B$1:$G$351,6,FALSE)),0)</f>
        <v>-2</v>
      </c>
      <c r="Y5" s="31" t="str">
        <f>IF(ISBLANK(VLOOKUP($E5,[1]Monster!$A$2:$X$258,19,FALSE)),"",VLOOKUP($E5,[1]Monster!$A$2:$X$258,19,FALSE))</f>
        <v/>
      </c>
      <c r="Z5">
        <v>0</v>
      </c>
      <c r="AA5" s="6">
        <f>_xlfn.IFNA(IF($E5="Robot",VLOOKUP(Y5,[1]Weapon!$B$1:$G$351,6,FALSE)/2,VLOOKUP(Y5,[1]Weapon!$B$1:$G$351,6,FALSE)),0)</f>
        <v>0</v>
      </c>
      <c r="AB5" s="31" t="str">
        <f>IF(ISBLANK(VLOOKUP($E5,[1]Monster!$A$2:$X$258,20,FALSE)),"",VLOOKUP($E5,[1]Monster!$A$2:$X$258,20,FALSE))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1" t="str">
        <f>IF(ISBLANK(VLOOKUP($E5,[1]Monster!$A$2:$X$258,21,FALSE)),"",VLOOKUP($E5,[1]Monster!$A$2:$X$258,21,FALSE))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1" t="str">
        <f>IF(ISBLANK(VLOOKUP($E5,[1]Monster!$A$2:$X$258,22,FALSE)),"",VLOOKUP($E5,[1]Monster!$A$2:$X$258,22,FALSE))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1" t="str">
        <f>IF(ISBLANK(VLOOKUP($E5,[1]Monster!$A$2:$X$258,23,FALSE)),"",VLOOKUP($E5,[1]Monster!$A$2:$X$258,23,FALSE))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81" t="s">
        <v>142</v>
      </c>
      <c r="AS5">
        <f>VLOOKUP(B5,Toolkit!$Q$3:$U$22,2,FALSE)</f>
        <v>463</v>
      </c>
    </row>
    <row r="6" spans="1:46" x14ac:dyDescent="0.25">
      <c r="A6" s="60" t="str">
        <f t="shared" si="0"/>
        <v>Sandy</v>
      </c>
      <c r="B6" s="114" t="s">
        <v>76</v>
      </c>
      <c r="C6" s="77"/>
      <c r="D6" s="34" t="s">
        <v>77</v>
      </c>
      <c r="E6" s="118" t="s">
        <v>60</v>
      </c>
      <c r="F6">
        <v>52</v>
      </c>
      <c r="G6" s="2">
        <v>62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$275,9,FALSE),0)+_xlfn.IFNA(VLOOKUP($S6,[1]Weapon!$A$1:$M$275,9,FALSE),0)+_xlfn.IFNA(VLOOKUP($V6,[1]Weapon!$A$1:$M$275,9,FALSE),0)+_xlfn.IFNA(VLOOKUP($Y6,[1]Weapon!$A$1:$M$275,9,FALSE),0)+_xlfn.IFNA(VLOOKUP($AB6,[1]Weapon!$A$1:$M$275,9,FALSE),0)+_xlfn.IFNA(VLOOKUP($AE6,[1]Weapon!$A$1:$M$275,9,FALSE),0)+_xlfn.IFNA(VLOOKUP($AH6,[1]Weapon!$A$1:$M$275,9,FALSE),0)+_xlfn.IFNA(VLOOKUP($AK6,[1]Weapon!$A$1:$M$275,9,FALSE),0)</f>
        <v>6</v>
      </c>
      <c r="L6" s="3">
        <v>6</v>
      </c>
      <c r="M6" s="5">
        <f>L6</f>
        <v>6</v>
      </c>
      <c r="N6" s="4">
        <v>6</v>
      </c>
      <c r="O6" s="2">
        <f t="shared" ref="O6" si="6">N6</f>
        <v>6</v>
      </c>
      <c r="P6" s="39" t="s">
        <v>121</v>
      </c>
      <c r="Q6">
        <v>53</v>
      </c>
      <c r="R6" s="6">
        <f>_xlfn.IFNA(IF($E6="Robot",VLOOKUP(P6,[1]Weapon!$B$1:$G$351,6,FALSE)/2,VLOOKUP(P6,[1]Weapon!$B$1:$G$351,6,FALSE)),0)</f>
        <v>70</v>
      </c>
      <c r="S6" s="36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69" t="s">
        <v>41</v>
      </c>
      <c r="W6">
        <v>47</v>
      </c>
      <c r="X6" s="6">
        <f>_xlfn.IFNA(IF($E6="Robot",VLOOKUP(V6,[1]Weapon!$B$1:$G$351,6,FALSE)/2,VLOOKUP(V6,[1]Weapon!$B$1:$G$351,6,FALSE)),0)</f>
        <v>50</v>
      </c>
      <c r="Y6" s="75" t="s">
        <v>141</v>
      </c>
      <c r="Z6">
        <v>-1</v>
      </c>
      <c r="AA6" s="6">
        <f>_xlfn.IFNA(IF($E6="Robot",VLOOKUP(Y6,[1]Weapon!$B$1:$G$351,6,FALSE)/2,VLOOKUP(Y6,[1]Weapon!$B$1:$G$351,6,FALSE)),0)</f>
        <v>-2</v>
      </c>
      <c r="AB6" s="78" t="s">
        <v>155</v>
      </c>
      <c r="AC6">
        <v>-1</v>
      </c>
      <c r="AD6" s="6">
        <f>_xlfn.IFNA(IF($E6="Robot",VLOOKUP(AB6,[1]Weapon!$B$1:$G$351,6,FALSE)/2,VLOOKUP(AB6,[1]Weapon!$B$1:$G$351,6,FALSE)),0)</f>
        <v>-2</v>
      </c>
      <c r="AE6" s="31"/>
      <c r="AF6">
        <v>-1</v>
      </c>
      <c r="AG6" s="6">
        <f>_xlfn.IFNA(IF($E6="Robot",VLOOKUP(AE6,[1]Weapon!$B$1:$G$351,6,FALSE)/2,VLOOKUP(AE6,[1]Weapon!$B$1:$G$351,6,FALSE)),0)</f>
        <v>0</v>
      </c>
      <c r="AH6" s="31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119" t="s">
        <v>164</v>
      </c>
      <c r="AS6">
        <f>VLOOKUP(B6,Toolkit!$Q$3:$U$22,2,FALSE)</f>
        <v>521</v>
      </c>
    </row>
    <row r="7" spans="1:46" x14ac:dyDescent="0.25">
      <c r="A7" s="60" t="str">
        <f t="shared" si="0"/>
        <v>Roy</v>
      </c>
      <c r="B7" s="65" t="s">
        <v>101</v>
      </c>
      <c r="C7" s="77"/>
      <c r="D7" s="37" t="s">
        <v>102</v>
      </c>
      <c r="E7" s="111" t="s">
        <v>90</v>
      </c>
      <c r="F7">
        <v>75</v>
      </c>
      <c r="G7" s="2">
        <f>24+_xlfn.IFNA(VLOOKUP($P7,[1]Weapon!$A$1:$M$275,12,FALSE),0)+_xlfn.IFNA(VLOOKUP($S7,[1]Weapon!$A$1:$M$275,12,FALSE),0)+_xlfn.IFNA(VLOOKUP($V7,[1]Weapon!$A$1:$M$275,12,FALSE),0)+_xlfn.IFNA(VLOOKUP($Y7,[1]Weapon!$A$1:$M$275,12,FALSE),0)+_xlfn.IFNA(VLOOKUP($AB7,[1]Weapon!$A$1:$M$275,12,FALSE),0)+_xlfn.IFNA(VLOOKUP($AE7,[1]Weapon!$A$1:$M$275,12,FALSE),0)+_xlfn.IFNA(VLOOKUP($AH7,[1]Weapon!$A$1:$M$275,12,FALSE),0)+_xlfn.IFNA(VLOOKUP($AK7,[1]Weapon!$A$1:$M$275,12,FALSE),0)</f>
        <v>105</v>
      </c>
      <c r="H7" s="79">
        <v>0</v>
      </c>
      <c r="I7" s="41">
        <f>H7+_xlfn.IFNA(IF(VLOOKUP($P7,[1]Weapon!$B$2:$O$284,13,FALSE)="Str",VLOOKUP($P7,[1]Weapon!$B$2:$O$284,14,FALSE),0),0)+_xlfn.IFNA(IF(VLOOKUP($S7,[1]Weapon!$B$2:$O$284,13,FALSE)="Str",VLOOKUP($S7,[1]Weapon!$B$2:$O$284,14,FALSE),0),0)+_xlfn.IFNA(IF(VLOOKUP($V7,[1]Weapon!$B$2:$O$284,13,FALSE)="Str",VLOOKUP($V7,[1]Weapon!$B$2:$O$284,14,FALSE),0),0)+_xlfn.IFNA(IF(VLOOKUP($Y7,[1]Weapon!$B$2:$O$284,13,FALSE)="Str",VLOOKUP($Y7,[1]Weapon!$B$2:$O$284,14,FALSE),0),0)+_xlfn.IFNA(IF(VLOOKUP($AB7,[1]Weapon!$B$2:$O$284,13,FALSE)="Str",VLOOKUP($AB7,[1]Weapon!$B$2:$O$284,14,FALSE),0),0)+_xlfn.IFNA(IF(VLOOKUP($AE7,[1]Weapon!$B$2:$O$284,13,FALSE)="Str",VLOOKUP($AE7,[1]Weapon!$B$2:$O$284,14,FALSE),0),0)+_xlfn.IFNA(IF(VLOOKUP($AH7,[1]Weapon!$B$2:$O$284,13,FALSE)="Str",VLOOKUP($AH7,[1]Weapon!$B$2:$O$284,14,FALSE),0),0)+_xlfn.IFNA(IF(VLOOKUP($AK7,[1]Weapon!$B$2:$O$284,13,FALSE)="Str",VLOOKUP($AK7,[1]Weapon!$B$2:$O$284,14,FALSE),0),0)</f>
        <v>6</v>
      </c>
      <c r="J7" s="4">
        <v>6</v>
      </c>
      <c r="K7" s="2">
        <f>J7+_xlfn.IFNA(IF(VLOOKUP($P7,[1]Weapon!$B$2:$O$284,13,FALSE)="Def",VLOOKUP($P7,[1]Weapon!$B$2:$O$284,14,FALSE),0),0)+_xlfn.IFNA(IF(VLOOKUP($S7,[1]Weapon!$B$2:$O$284,13,FALSE)="Def",VLOOKUP($S7,[1]Weapon!$B$2:$O$284,14,FALSE),0),0)+_xlfn.IFNA(IF(VLOOKUP($V7,[1]Weapon!$B$2:$O$284,13,FALSE)="Def",VLOOKUP($V7,[1]Weapon!$B$2:$O$284,14,FALSE),0),0)+_xlfn.IFNA(IF(VLOOKUP($Y7,[1]Weapon!$B$2:$O$284,13,FALSE)="Def",VLOOKUP($Y7,[1]Weapon!$B$2:$O$284,14,FALSE),0),0)+_xlfn.IFNA(IF(VLOOKUP($AB7,[1]Weapon!$B$2:$O$284,13,FALSE)="Def",VLOOKUP($AB7,[1]Weapon!$B$2:$O$284,14,FALSE),0),0)+_xlfn.IFNA(IF(VLOOKUP($AE7,[1]Weapon!$B$2:$O$284,13,FALSE)="Def",VLOOKUP($AE7,[1]Weapon!$B$2:$O$284,14,FALSE),0),0)+_xlfn.IFNA(IF(VLOOKUP($AH7,[1]Weapon!$B$2:$O$284,13,FALSE)="Def",VLOOKUP($AH7,[1]Weapon!$B$2:$O$284,14,FALSE),0),0)+_xlfn.IFNA(IF(VLOOKUP($AK7,[1]Weapon!$B$2:$O$284,13,FALSE)="Def",VLOOKUP($AK7,[1]Weapon!$B$2:$O$284,14,FALSE),0),0)</f>
        <v>14</v>
      </c>
      <c r="L7" s="3">
        <v>5</v>
      </c>
      <c r="M7" s="5">
        <f>L7+_xlfn.IFNA(IF(VLOOKUP($P7,[1]Weapon!$B$2:$O$284,13,FALSE)="Agl",VLOOKUP($P7,[1]Weapon!$B$2:$O$284,14,FALSE),0),0)+_xlfn.IFNA(IF(VLOOKUP($S7,[1]Weapon!$B$2:$O$284,13,FALSE)="Agl",VLOOKUP($S7,[1]Weapon!$B$2:$O$284,14,FALSE),0),0)+_xlfn.IFNA(IF(VLOOKUP($V7,[1]Weapon!$B$2:$O$284,13,FALSE)="Agl",VLOOKUP($V7,[1]Weapon!$B$2:$O$284,14,FALSE),0),0)+_xlfn.IFNA(IF(VLOOKUP($Y7,[1]Weapon!$B$2:$O$284,13,FALSE)="Agl",VLOOKUP($Y7,[1]Weapon!$B$2:$O$284,14,FALSE),0),0)+_xlfn.IFNA(IF(VLOOKUP($AB7,[1]Weapon!$B$2:$O$284,13,FALSE)="Agl",VLOOKUP($AB7,[1]Weapon!$B$2:$O$284,14,FALSE),0),0)+_xlfn.IFNA(IF(VLOOKUP($AE7,[1]Weapon!$B$2:$O$284,13,FALSE)="Agl",VLOOKUP($AE7,[1]Weapon!$B$2:$O$284,14,FALSE),0),0)+_xlfn.IFNA(IF(VLOOKUP($AH7,[1]Weapon!$B$2:$O$284,13,FALSE)="Agl",VLOOKUP($AH7,[1]Weapon!$B$2:$O$284,14,FALSE),0),0)+_xlfn.IFNA(IF(VLOOKUP($AK7,[1]Weapon!$B$2:$O$284,13,FALSE)="Agl",VLOOKUP($AK7,[1]Weapon!$B$2:$O$284,14,FALSE),0),0)</f>
        <v>6</v>
      </c>
      <c r="N7" s="4">
        <v>0</v>
      </c>
      <c r="O7" s="2">
        <f t="shared" ref="O7:O16" si="7">N7</f>
        <v>0</v>
      </c>
      <c r="P7" s="38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38" t="s">
        <v>104</v>
      </c>
      <c r="T7">
        <v>11</v>
      </c>
      <c r="U7" s="6">
        <f>_xlfn.IFNA(IF($E7="Robot",VLOOKUP(S7,[1]Weapon!$B$1:$G$351,6,FALSE)/2,VLOOKUP(S7,[1]Weapon!$B$1:$G$351,6,FALSE)),0)</f>
        <v>25</v>
      </c>
      <c r="V7" s="67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78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78" t="s">
        <v>155</v>
      </c>
      <c r="AC7">
        <v>-1</v>
      </c>
      <c r="AD7" s="6">
        <f>_xlfn.IFNA(IF($E7="Robot",VLOOKUP(AB7,[1]Weapon!$B$1:$G$351,6,FALSE)/2,VLOOKUP(AB7,[1]Weapon!$B$1:$G$351,6,FALSE)),0)</f>
        <v>-1</v>
      </c>
      <c r="AE7" s="78" t="s">
        <v>155</v>
      </c>
      <c r="AF7">
        <v>-1</v>
      </c>
      <c r="AG7" s="6">
        <f>_xlfn.IFNA(IF($E7="Robot",VLOOKUP(AE7,[1]Weapon!$B$1:$G$351,6,FALSE)/2,VLOOKUP(AE7,[1]Weapon!$B$1:$G$351,6,FALSE)),0)</f>
        <v>-1</v>
      </c>
      <c r="AH7" s="78" t="s">
        <v>155</v>
      </c>
      <c r="AI7">
        <v>-1</v>
      </c>
      <c r="AJ7" s="6">
        <f>_xlfn.IFNA(IF($E7="Robot",VLOOKUP(AH7,[1]Weapon!$B$1:$G$351,6,FALSE)/2,VLOOKUP(AH7,[1]Weapon!$B$1:$G$351,6,FALSE)),0)</f>
        <v>-1</v>
      </c>
      <c r="AK7" s="99"/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81" t="s">
        <v>142</v>
      </c>
      <c r="AS7">
        <f>VLOOKUP(B7,Toolkit!$Q$3:$U$22,2,FALSE)</f>
        <v>279</v>
      </c>
    </row>
    <row r="8" spans="1:46" x14ac:dyDescent="0.25">
      <c r="A8" s="60" t="str">
        <f t="shared" si="0"/>
        <v>Saffron</v>
      </c>
      <c r="B8" s="115" t="s">
        <v>105</v>
      </c>
      <c r="C8" s="77"/>
      <c r="D8" s="37" t="s">
        <v>106</v>
      </c>
      <c r="E8" s="110" t="s">
        <v>60</v>
      </c>
      <c r="F8">
        <v>69</v>
      </c>
      <c r="G8" s="2">
        <v>69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$275,9,FALSE),0)+_xlfn.IFNA(VLOOKUP($S8,[1]Weapon!$A$1:$M$275,9,FALSE),0)+_xlfn.IFNA(VLOOKUP($V8,[1]Weapon!$A$1:$M$275,9,FALSE),0)+_xlfn.IFNA(VLOOKUP($Y8,[1]Weapon!$A$1:$M$275,9,FALSE),0)+_xlfn.IFNA(VLOOKUP($AB8,[1]Weapon!$A$1:$M$275,9,FALSE),0)+_xlfn.IFNA(VLOOKUP($AE8,[1]Weapon!$A$1:$M$275,9,FALSE),0)+_xlfn.IFNA(VLOOKUP($AH8,[1]Weapon!$A$1:$M$275,9,FALSE),0)+_xlfn.IFNA(VLOOKUP($AK8,[1]Weapon!$A$1:$M$275,9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38" t="s">
        <v>41</v>
      </c>
      <c r="Q8">
        <v>35</v>
      </c>
      <c r="R8" s="6">
        <f>_xlfn.IFNA(IF($E8="Robot",VLOOKUP(P8,[1]Weapon!$B$1:$G$351,6,FALSE)/2,VLOOKUP(P8,[1]Weapon!$B$1:$G$351,6,FALSE)),0)</f>
        <v>50</v>
      </c>
      <c r="S8" s="38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75" t="s">
        <v>95</v>
      </c>
      <c r="W8">
        <v>45</v>
      </c>
      <c r="X8" s="6">
        <f>_xlfn.IFNA(IF($E8="Robot",VLOOKUP(V8,[1]Weapon!$B$1:$G$351,6,FALSE)/2,VLOOKUP(V8,[1]Weapon!$B$1:$G$351,6,FALSE)),0)</f>
        <v>50</v>
      </c>
      <c r="Y8" s="78" t="s">
        <v>141</v>
      </c>
      <c r="Z8">
        <v>-1</v>
      </c>
      <c r="AA8" s="6">
        <f>_xlfn.IFNA(IF($E8="Robot",VLOOKUP(Y8,[1]Weapon!$B$1:$G$351,6,FALSE)/2,VLOOKUP(Y8,[1]Weapon!$B$1:$G$351,6,FALSE)),0)</f>
        <v>-2</v>
      </c>
      <c r="AB8" s="78" t="s">
        <v>155</v>
      </c>
      <c r="AC8">
        <v>-1</v>
      </c>
      <c r="AD8" s="6">
        <f>_xlfn.IFNA(IF($E8="Robot",VLOOKUP(AB8,[1]Weapon!$B$1:$G$351,6,FALSE)/2,VLOOKUP(AB8,[1]Weapon!$B$1:$G$351,6,FALSE)),0)</f>
        <v>-2</v>
      </c>
      <c r="AE8" s="31"/>
      <c r="AF8">
        <v>-1</v>
      </c>
      <c r="AG8" s="6">
        <f>_xlfn.IFNA(IF($E8="Robot",VLOOKUP(AE8,[1]Weapon!$B$1:$G$351,6,FALSE)/2,VLOOKUP(AE8,[1]Weapon!$B$1:$G$351,6,FALSE)),0)</f>
        <v>0</v>
      </c>
      <c r="AH8" s="32"/>
      <c r="AI8">
        <v>-1</v>
      </c>
      <c r="AJ8" s="6">
        <f>_xlfn.IFNA(IF($E8="Robot",VLOOKUP(AH8,[1]Weapon!$B$1:$G$351,6,FALSE)/2,VLOOKUP(AH8,[1]Weapon!$B$1:$G$351,6,FALSE)),0)</f>
        <v>0</v>
      </c>
      <c r="AK8" s="67" t="s">
        <v>144</v>
      </c>
      <c r="AL8">
        <v>1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1" t="s">
        <v>161</v>
      </c>
      <c r="AS8">
        <f>VLOOKUP(B8,Toolkit!$Q$3:$U$22,2,FALSE)</f>
        <v>512</v>
      </c>
    </row>
    <row r="9" spans="1:46" x14ac:dyDescent="0.25">
      <c r="A9" s="60" t="str">
        <f t="shared" si="0"/>
        <v>Elishar</v>
      </c>
      <c r="B9" s="65" t="s">
        <v>107</v>
      </c>
      <c r="C9" s="77"/>
      <c r="D9" s="37" t="s">
        <v>108</v>
      </c>
      <c r="E9" s="110" t="s">
        <v>60</v>
      </c>
      <c r="F9">
        <v>47</v>
      </c>
      <c r="G9" s="2">
        <v>73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$275,9,FALSE),0)+_xlfn.IFNA(VLOOKUP($S9,[1]Weapon!$A$1:$M$275,9,FALSE),0)+_xlfn.IFNA(VLOOKUP($V9,[1]Weapon!$A$1:$M$275,9,FALSE),0)+_xlfn.IFNA(VLOOKUP($Y9,[1]Weapon!$A$1:$M$275,9,FALSE),0)+_xlfn.IFNA(VLOOKUP($AB9,[1]Weapon!$A$1:$M$275,9,FALSE),0)+_xlfn.IFNA(VLOOKUP($AE9,[1]Weapon!$A$1:$M$275,9,FALSE),0)+_xlfn.IFNA(VLOOKUP($AH9,[1]Weapon!$A$1:$M$275,9,FALSE),0)+_xlfn.IFNA(VLOOKUP($AK9,[1]Weapon!$A$1:$M$275,9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38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38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67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78" t="s">
        <v>141</v>
      </c>
      <c r="Z9">
        <v>-1</v>
      </c>
      <c r="AA9" s="6">
        <f>_xlfn.IFNA(IF($E9="Robot",VLOOKUP(Y9,[1]Weapon!$B$1:$G$351,6,FALSE)/2,VLOOKUP(Y9,[1]Weapon!$B$1:$G$351,6,FALSE)),0)</f>
        <v>-2</v>
      </c>
      <c r="AB9" s="78" t="s">
        <v>155</v>
      </c>
      <c r="AC9">
        <v>-1</v>
      </c>
      <c r="AD9" s="6">
        <f>_xlfn.IFNA(IF($E9="Robot",VLOOKUP(AB9,[1]Weapon!$B$1:$G$351,6,FALSE)/2,VLOOKUP(AB9,[1]Weapon!$B$1:$G$351,6,FALSE)),0)</f>
        <v>-2</v>
      </c>
      <c r="AE9" s="31"/>
      <c r="AF9">
        <v>-1</v>
      </c>
      <c r="AG9" s="6">
        <f>_xlfn.IFNA(IF($E9="Robot",VLOOKUP(AE9,[1]Weapon!$B$1:$G$351,6,FALSE)/2,VLOOKUP(AE9,[1]Weapon!$B$1:$G$351,6,FALSE)),0)</f>
        <v>0</v>
      </c>
      <c r="AH9" s="31"/>
      <c r="AI9">
        <v>-1</v>
      </c>
      <c r="AJ9" s="6">
        <f>_xlfn.IFNA(IF($E9="Robot",VLOOKUP(AH9,[1]Weapon!$B$1:$G$351,6,FALSE)/2,VLOOKUP(AH9,[1]Weapon!$B$1:$G$351,6,FALSE)),0)</f>
        <v>0</v>
      </c>
      <c r="AK9" s="98" t="s">
        <v>144</v>
      </c>
      <c r="AL9">
        <v>4</v>
      </c>
      <c r="AM9" s="6">
        <f>_xlfn.IFNA(IF($E9="Robot",VLOOKUP(AK9,[1]Weapon!$B$1:$G$351,6,FALSE)/2,VLOOKUP(AK9,[1]Weapon!$B$1:$G$351,6,FALSE)),0)</f>
        <v>4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81"/>
      <c r="AS9">
        <f>VLOOKUP(B9,Toolkit!$Q$3:$U$22,2,FALSE)</f>
        <v>354</v>
      </c>
    </row>
    <row r="10" spans="1:46" x14ac:dyDescent="0.25">
      <c r="A10" s="60" t="str">
        <f t="shared" si="0"/>
        <v>Malli</v>
      </c>
      <c r="B10" s="115" t="s">
        <v>109</v>
      </c>
      <c r="C10" s="77"/>
      <c r="D10" s="37" t="s">
        <v>110</v>
      </c>
      <c r="E10" s="108" t="s">
        <v>91</v>
      </c>
      <c r="F10">
        <v>56</v>
      </c>
      <c r="G10" s="2">
        <v>67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$275,9,FALSE),0)+_xlfn.IFNA(VLOOKUP($S10,[1]Weapon!$A$1:$M$275,9,FALSE),0)+_xlfn.IFNA(VLOOKUP($V10,[1]Weapon!$A$1:$M$275,9,FALSE),0)+_xlfn.IFNA(VLOOKUP($Y10,[1]Weapon!$A$1:$M$275,9,FALSE),0)+_xlfn.IFNA(VLOOKUP($AB10,[1]Weapon!$A$1:$M$275,9,FALSE),0)+_xlfn.IFNA(VLOOKUP($AE10,[1]Weapon!$A$1:$M$275,9,FALSE),0)+_xlfn.IFNA(VLOOKUP($AH10,[1]Weapon!$A$1:$M$275,9,FALSE),0)+_xlfn.IFNA(VLOOKUP($AK10,[1]Weapon!$A$1:$M$275,9,FALSE),0)</f>
        <v>3</v>
      </c>
      <c r="L10" s="3">
        <v>4</v>
      </c>
      <c r="M10" s="5">
        <f t="shared" si="8"/>
        <v>4</v>
      </c>
      <c r="N10" s="4">
        <v>6</v>
      </c>
      <c r="O10" s="2">
        <f t="shared" si="7"/>
        <v>6</v>
      </c>
      <c r="P10" s="93" t="s">
        <v>89</v>
      </c>
      <c r="Q10">
        <v>9</v>
      </c>
      <c r="R10" s="6">
        <f>_xlfn.IFNA(IF($E10="Robot",VLOOKUP(P10,[1]Weapon!$B$1:$G$351,6,FALSE)/2,VLOOKUP(P10,[1]Weapon!$B$1:$G$351,6,FALSE)),0)</f>
        <v>15</v>
      </c>
      <c r="S10" s="94" t="s">
        <v>143</v>
      </c>
      <c r="T10">
        <v>-2</v>
      </c>
      <c r="U10" s="6">
        <f>_xlfn.IFNA(IF($E10="Robot",VLOOKUP(S10,[1]Weapon!$B$1:$G$351,6,FALSE)/2,VLOOKUP(S10,[1]Weapon!$B$1:$G$351,6,FALSE)),0)</f>
        <v>-2</v>
      </c>
      <c r="V10" s="96"/>
      <c r="W10">
        <v>0</v>
      </c>
      <c r="X10" s="6">
        <f>_xlfn.IFNA(IF($E10="Robot",VLOOKUP(V10,[1]Weapon!$B$1:$G$351,6,FALSE)/2,VLOOKUP(V10,[1]Weapon!$B$1:$G$351,6,FALSE)),0)</f>
        <v>0</v>
      </c>
      <c r="Y10" s="90"/>
      <c r="Z10">
        <v>0</v>
      </c>
      <c r="AA10" s="6">
        <f>_xlfn.IFNA(IF($E10="Robot",VLOOKUP(Y10,[1]Weapon!$B$1:$G$351,6,FALSE)/2,VLOOKUP(Y10,[1]Weapon!$B$1:$G$351,6,FALSE)),0)</f>
        <v>0</v>
      </c>
      <c r="AB10" s="38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38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67" t="s">
        <v>95</v>
      </c>
      <c r="AI10">
        <v>49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619</v>
      </c>
    </row>
    <row r="11" spans="1:46" x14ac:dyDescent="0.25">
      <c r="A11" s="60" t="str">
        <f t="shared" si="0"/>
        <v>Jaelyn</v>
      </c>
      <c r="B11" s="115" t="s">
        <v>74</v>
      </c>
      <c r="C11" s="77"/>
      <c r="D11" s="37" t="s">
        <v>112</v>
      </c>
      <c r="E11" s="108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$275,9,FALSE),0)+_xlfn.IFNA(VLOOKUP($S11,[1]Weapon!$A$1:$M$275,9,FALSE),0)+_xlfn.IFNA(VLOOKUP($V11,[1]Weapon!$A$1:$M$275,9,FALSE),0)+_xlfn.IFNA(VLOOKUP($Y11,[1]Weapon!$A$1:$M$275,9,FALSE),0)+_xlfn.IFNA(VLOOKUP($AB11,[1]Weapon!$A$1:$M$275,9,FALSE),0)+_xlfn.IFNA(VLOOKUP($AE11,[1]Weapon!$A$1:$M$275,9,FALSE),0)+_xlfn.IFNA(VLOOKUP($AH11,[1]Weapon!$A$1:$M$275,9,FALSE),0)+_xlfn.IFNA(VLOOKUP($AK11,[1]Weapon!$A$1:$M$275,9,FALSE),0)</f>
        <v>4</v>
      </c>
      <c r="L11" s="79">
        <f>4+1</f>
        <v>5</v>
      </c>
      <c r="M11" s="41">
        <f>L11</f>
        <v>5</v>
      </c>
      <c r="N11" s="4">
        <v>10</v>
      </c>
      <c r="O11" s="2">
        <f t="shared" si="7"/>
        <v>10</v>
      </c>
      <c r="P11" s="93" t="s">
        <v>88</v>
      </c>
      <c r="Q11">
        <v>11</v>
      </c>
      <c r="R11" s="6">
        <f>_xlfn.IFNA(IF($E11="Robot",VLOOKUP(P11,[1]Weapon!$B$1:$G$351,6,FALSE)/2,VLOOKUP(P11,[1]Weapon!$B$1:$G$351,6,FALSE)),0)</f>
        <v>15</v>
      </c>
      <c r="S11" s="95" t="s">
        <v>139</v>
      </c>
      <c r="T11">
        <v>15</v>
      </c>
      <c r="U11" s="6">
        <f>_xlfn.IFNA(IF($E11="Robot",VLOOKUP(S11,[1]Weapon!$B$1:$G$351,6,FALSE)/2,VLOOKUP(S11,[1]Weapon!$B$1:$G$351,6,FALSE)),0)</f>
        <v>15</v>
      </c>
      <c r="V11" s="94" t="s">
        <v>151</v>
      </c>
      <c r="W11">
        <v>14</v>
      </c>
      <c r="X11" s="6">
        <f>_xlfn.IFNA(IF($E11="Robot",VLOOKUP(V11,[1]Weapon!$B$1:$G$351,6,FALSE)/2,VLOOKUP(V11,[1]Weapon!$B$1:$G$351,6,FALSE)),0)</f>
        <v>15</v>
      </c>
      <c r="Y11" s="101" t="s">
        <v>145</v>
      </c>
      <c r="Z11">
        <v>0</v>
      </c>
      <c r="AA11" s="6">
        <f>_xlfn.IFNA(IF($E11="Robot",VLOOKUP(Y11,[1]Weapon!$B$1:$G$351,6,FALSE)/2,VLOOKUP(Y11,[1]Weapon!$B$1:$G$351,6,FALSE)),0)</f>
        <v>-2</v>
      </c>
      <c r="AB11" s="38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38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75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78" t="s">
        <v>141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76"/>
      <c r="AS11">
        <f>VLOOKUP(B11,Toolkit!$Q$3:$U$22,2,FALSE)</f>
        <v>563</v>
      </c>
    </row>
    <row r="12" spans="1:46" x14ac:dyDescent="0.25">
      <c r="A12" s="60" t="str">
        <f t="shared" si="0"/>
        <v>DAD-E</v>
      </c>
      <c r="B12" s="65" t="s">
        <v>114</v>
      </c>
      <c r="C12" s="77"/>
      <c r="D12" s="37" t="s">
        <v>115</v>
      </c>
      <c r="E12" s="111" t="s">
        <v>90</v>
      </c>
      <c r="F12">
        <v>83</v>
      </c>
      <c r="G12" s="2">
        <f>24+_xlfn.IFNA(VLOOKUP($P12,[1]Weapon!$A$1:$M$275,12,FALSE),0)+_xlfn.IFNA(VLOOKUP($S12,[1]Weapon!$A$1:$M$275,12,FALSE),0)+_xlfn.IFNA(VLOOKUP($V12,[1]Weapon!$A$1:$M$275,12,FALSE),0)+_xlfn.IFNA(VLOOKUP($Y12,[1]Weapon!$A$1:$M$275,12,FALSE),0)+_xlfn.IFNA(VLOOKUP($AB12,[1]Weapon!$A$1:$M$275,12,FALSE),0)+_xlfn.IFNA(VLOOKUP($AE12,[1]Weapon!$A$1:$M$275,12,FALSE),0)+_xlfn.IFNA(VLOOKUP($AH12,[1]Weapon!$A$1:$M$275,12,FALSE),0)+_xlfn.IFNA(VLOOKUP($AK12,[1]Weapon!$A$1:$M$275,12,FALSE),0)</f>
        <v>114</v>
      </c>
      <c r="H12" s="79">
        <v>0</v>
      </c>
      <c r="I12" s="41">
        <f>H12+_xlfn.IFNA(IF(VLOOKUP($P12,[1]Weapon!$B$2:$O$284,13,FALSE)="Str",VLOOKUP($P12,[1]Weapon!$B$2:$O$284,14,FALSE),0),0)+_xlfn.IFNA(IF(VLOOKUP($S12,[1]Weapon!$B$2:$O$284,13,FALSE)="Str",VLOOKUP($S12,[1]Weapon!$B$2:$O$284,14,FALSE),0),0)+_xlfn.IFNA(IF(VLOOKUP($V12,[1]Weapon!$B$2:$O$284,13,FALSE)="Str",VLOOKUP($V12,[1]Weapon!$B$2:$O$284,14,FALSE),0),0)+_xlfn.IFNA(IF(VLOOKUP($Y12,[1]Weapon!$B$2:$O$284,13,FALSE)="Str",VLOOKUP($Y12,[1]Weapon!$B$2:$O$284,14,FALSE),0),0)+_xlfn.IFNA(IF(VLOOKUP($AB12,[1]Weapon!$B$2:$O$284,13,FALSE)="Str",VLOOKUP($AB12,[1]Weapon!$B$2:$O$284,14,FALSE),0),0)+_xlfn.IFNA(IF(VLOOKUP($AE12,[1]Weapon!$B$2:$O$284,13,FALSE)="Str",VLOOKUP($AE12,[1]Weapon!$B$2:$O$284,14,FALSE),0),0)+_xlfn.IFNA(IF(VLOOKUP($AH12,[1]Weapon!$B$2:$O$284,13,FALSE)="Str",VLOOKUP($AH12,[1]Weapon!$B$2:$O$284,14,FALSE),0),0)+_xlfn.IFNA(IF(VLOOKUP($AK12,[1]Weapon!$B$2:$O$284,13,FALSE)="Str",VLOOKUP($AK12,[1]Weapon!$B$2:$O$284,14,FALSE),0),0)</f>
        <v>8</v>
      </c>
      <c r="J12" s="4">
        <v>6</v>
      </c>
      <c r="K12" s="2">
        <f>J12+_xlfn.IFNA(IF(VLOOKUP($P12,[1]Weapon!$B$2:$O$284,13,FALSE)="Def",VLOOKUP($P12,[1]Weapon!$B$2:$O$284,14,FALSE),0),0)+_xlfn.IFNA(IF(VLOOKUP($S12,[1]Weapon!$B$2:$O$284,13,FALSE)="Def",VLOOKUP($S12,[1]Weapon!$B$2:$O$284,14,FALSE),0),0)+_xlfn.IFNA(IF(VLOOKUP($V12,[1]Weapon!$B$2:$O$284,13,FALSE)="Def",VLOOKUP($V12,[1]Weapon!$B$2:$O$284,14,FALSE),0),0)+_xlfn.IFNA(IF(VLOOKUP($Y12,[1]Weapon!$B$2:$O$284,13,FALSE)="Def",VLOOKUP($Y12,[1]Weapon!$B$2:$O$284,14,FALSE),0),0)+_xlfn.IFNA(IF(VLOOKUP($AB12,[1]Weapon!$B$2:$O$284,13,FALSE)="Def",VLOOKUP($AB12,[1]Weapon!$B$2:$O$284,14,FALSE),0),0)+_xlfn.IFNA(IF(VLOOKUP($AE12,[1]Weapon!$B$2:$O$284,13,FALSE)="Def",VLOOKUP($AE12,[1]Weapon!$B$2:$O$284,14,FALSE),0),0)+_xlfn.IFNA(IF(VLOOKUP($AH12,[1]Weapon!$B$2:$O$284,13,FALSE)="Def",VLOOKUP($AH12,[1]Weapon!$B$2:$O$284,14,FALSE),0),0)+_xlfn.IFNA(IF(VLOOKUP($AK12,[1]Weapon!$B$2:$O$284,13,FALSE)="Def",VLOOKUP($AK12,[1]Weapon!$B$2:$O$284,14,FALSE),0),0)</f>
        <v>10</v>
      </c>
      <c r="L12" s="3">
        <v>5</v>
      </c>
      <c r="M12" s="5">
        <f>L12+_xlfn.IFNA(IF(VLOOKUP($P12,[1]Weapon!$B$2:$O$284,13,FALSE)="Agl",VLOOKUP($P12,[1]Weapon!$B$2:$O$284,14,FALSE),0),0)+_xlfn.IFNA(IF(VLOOKUP($S12,[1]Weapon!$B$2:$O$284,13,FALSE)="Agl",VLOOKUP($S12,[1]Weapon!$B$2:$O$284,14,FALSE),0),0)+_xlfn.IFNA(IF(VLOOKUP($V12,[1]Weapon!$B$2:$O$284,13,FALSE)="Agl",VLOOKUP($V12,[1]Weapon!$B$2:$O$284,14,FALSE),0),0)+_xlfn.IFNA(IF(VLOOKUP($Y12,[1]Weapon!$B$2:$O$284,13,FALSE)="Agl",VLOOKUP($Y12,[1]Weapon!$B$2:$O$284,14,FALSE),0),0)+_xlfn.IFNA(IF(VLOOKUP($AB12,[1]Weapon!$B$2:$O$284,13,FALSE)="Agl",VLOOKUP($AB12,[1]Weapon!$B$2:$O$284,14,FALSE),0),0)+_xlfn.IFNA(IF(VLOOKUP($AE12,[1]Weapon!$B$2:$O$284,13,FALSE)="Agl",VLOOKUP($AE12,[1]Weapon!$B$2:$O$284,14,FALSE),0),0)+_xlfn.IFNA(IF(VLOOKUP($AH12,[1]Weapon!$B$2:$O$284,13,FALSE)="Agl",VLOOKUP($AH12,[1]Weapon!$B$2:$O$284,14,FALSE),0),0)+_xlfn.IFNA(IF(VLOOKUP($AK12,[1]Weapon!$B$2:$O$284,13,FALSE)="Agl",VLOOKUP($AK12,[1]Weapon!$B$2:$O$284,14,FALSE),0),0)</f>
        <v>8</v>
      </c>
      <c r="N12" s="4">
        <v>0</v>
      </c>
      <c r="O12" s="2">
        <f t="shared" ref="O12" si="9">N12</f>
        <v>0</v>
      </c>
      <c r="P12" s="38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38" t="s">
        <v>116</v>
      </c>
      <c r="T12">
        <v>17</v>
      </c>
      <c r="U12" s="6">
        <f>_xlfn.IFNA(IF($E12="Robot",VLOOKUP(S12,[1]Weapon!$B$1:$G$351,6,FALSE)/2,VLOOKUP(S12,[1]Weapon!$B$1:$G$351,6,FALSE)),0)</f>
        <v>20</v>
      </c>
      <c r="V12" s="67" t="s">
        <v>111</v>
      </c>
      <c r="W12">
        <v>22</v>
      </c>
      <c r="X12" s="6">
        <f>_xlfn.IFNA(IF($E12="Robot",VLOOKUP(V12,[1]Weapon!$B$1:$G$351,6,FALSE)/2,VLOOKUP(V12,[1]Weapon!$B$1:$G$351,6,FALSE)),0)</f>
        <v>25</v>
      </c>
      <c r="Y12" s="69" t="s">
        <v>41</v>
      </c>
      <c r="Z12">
        <v>24</v>
      </c>
      <c r="AA12" s="6">
        <f>_xlfn.IFNA(IF($E12="Robot",VLOOKUP(Y12,[1]Weapon!$B$1:$G$351,6,FALSE)/2,VLOOKUP(Y12,[1]Weapon!$B$1:$G$351,6,FALSE)),0)</f>
        <v>25</v>
      </c>
      <c r="AB12" s="78" t="s">
        <v>155</v>
      </c>
      <c r="AC12">
        <v>-1</v>
      </c>
      <c r="AD12" s="6">
        <f>_xlfn.IFNA(IF($E12="Robot",VLOOKUP(AB12,[1]Weapon!$B$1:$G$351,6,FALSE)/2,VLOOKUP(AB12,[1]Weapon!$B$1:$G$351,6,FALSE)),0)</f>
        <v>-1</v>
      </c>
      <c r="AE12" s="78" t="s">
        <v>124</v>
      </c>
      <c r="AF12">
        <v>24</v>
      </c>
      <c r="AG12" s="6">
        <f>_xlfn.IFNA(IF($E12="Robot",VLOOKUP(AE12,[1]Weapon!$B$1:$G$351,6,FALSE)/2,VLOOKUP(AE12,[1]Weapon!$B$1:$G$351,6,FALSE)),0)</f>
        <v>25</v>
      </c>
      <c r="AH12" s="78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87" t="s">
        <v>170</v>
      </c>
      <c r="AS12">
        <f>VLOOKUP(B12,Toolkit!$Q$3:$U$22,2,FALSE)</f>
        <v>377</v>
      </c>
    </row>
    <row r="13" spans="1:46" x14ac:dyDescent="0.25">
      <c r="A13" s="60" t="str">
        <f t="shared" ref="A13:A20" si="10">B13</f>
        <v>Tankbot</v>
      </c>
      <c r="B13" s="65" t="s">
        <v>117</v>
      </c>
      <c r="C13" s="77"/>
      <c r="D13" s="37" t="s">
        <v>118</v>
      </c>
      <c r="E13" s="111" t="s">
        <v>90</v>
      </c>
      <c r="F13">
        <v>51</v>
      </c>
      <c r="G13" s="2">
        <f>24+_xlfn.IFNA(VLOOKUP($P13,[1]Weapon!$A$1:$M$275,12,FALSE),0)+_xlfn.IFNA(VLOOKUP($S13,[1]Weapon!$A$1:$M$275,12,FALSE),0)+_xlfn.IFNA(VLOOKUP($V13,[1]Weapon!$A$1:$M$275,12,FALSE),0)+_xlfn.IFNA(VLOOKUP($Y13,[1]Weapon!$A$1:$M$275,12,FALSE),0)+_xlfn.IFNA(VLOOKUP($AB13,[1]Weapon!$A$1:$M$275,12,FALSE),0)+_xlfn.IFNA(VLOOKUP($AE13,[1]Weapon!$A$1:$M$275,12,FALSE),0)+_xlfn.IFNA(VLOOKUP($AH13,[1]Weapon!$A$1:$M$275,12,FALSE),0)+_xlfn.IFNA(VLOOKUP($AK13,[1]Weapon!$A$1:$M$275,12,FALSE),0)</f>
        <v>96</v>
      </c>
      <c r="H13" s="79">
        <v>0</v>
      </c>
      <c r="I13" s="41">
        <f>H13+_xlfn.IFNA(IF(VLOOKUP($P13,[1]Weapon!$B$2:$O$284,13,FALSE)="Str",VLOOKUP($P13,[1]Weapon!$B$2:$O$284,14,FALSE),0),0)+_xlfn.IFNA(IF(VLOOKUP($S13,[1]Weapon!$B$2:$O$284,13,FALSE)="Str",VLOOKUP($S13,[1]Weapon!$B$2:$O$284,14,FALSE),0),0)+_xlfn.IFNA(IF(VLOOKUP($V13,[1]Weapon!$B$2:$O$284,13,FALSE)="Str",VLOOKUP($V13,[1]Weapon!$B$2:$O$284,14,FALSE),0),0)+_xlfn.IFNA(IF(VLOOKUP($Y13,[1]Weapon!$B$2:$O$284,13,FALSE)="Str",VLOOKUP($Y13,[1]Weapon!$B$2:$O$284,14,FALSE),0),0)+_xlfn.IFNA(IF(VLOOKUP($AB13,[1]Weapon!$B$2:$O$284,13,FALSE)="Str",VLOOKUP($AB13,[1]Weapon!$B$2:$O$284,14,FALSE),0),0)+_xlfn.IFNA(IF(VLOOKUP($AE13,[1]Weapon!$B$2:$O$284,13,FALSE)="Str",VLOOKUP($AE13,[1]Weapon!$B$2:$O$284,14,FALSE),0),0)+_xlfn.IFNA(IF(VLOOKUP($AH13,[1]Weapon!$B$2:$O$284,13,FALSE)="Str",VLOOKUP($AH13,[1]Weapon!$B$2:$O$284,14,FALSE),0),0)+_xlfn.IFNA(IF(VLOOKUP($AK13,[1]Weapon!$B$2:$O$284,13,FALSE)="Str",VLOOKUP($AK13,[1]Weapon!$B$2:$O$284,14,FALSE),0),0)</f>
        <v>0</v>
      </c>
      <c r="J13" s="4">
        <v>6</v>
      </c>
      <c r="K13" s="2">
        <f>J13+_xlfn.IFNA(IF(VLOOKUP($P13,[1]Weapon!$B$2:$O$284,13,FALSE)="Def",VLOOKUP($P13,[1]Weapon!$B$2:$O$284,14,FALSE),0),0)+_xlfn.IFNA(IF(VLOOKUP($S13,[1]Weapon!$B$2:$O$284,13,FALSE)="Def",VLOOKUP($S13,[1]Weapon!$B$2:$O$284,14,FALSE),0),0)+_xlfn.IFNA(IF(VLOOKUP($V13,[1]Weapon!$B$2:$O$284,13,FALSE)="Def",VLOOKUP($V13,[1]Weapon!$B$2:$O$284,14,FALSE),0),0)+_xlfn.IFNA(IF(VLOOKUP($Y13,[1]Weapon!$B$2:$O$284,13,FALSE)="Def",VLOOKUP($Y13,[1]Weapon!$B$2:$O$284,14,FALSE),0),0)+_xlfn.IFNA(IF(VLOOKUP($AB13,[1]Weapon!$B$2:$O$284,13,FALSE)="Def",VLOOKUP($AB13,[1]Weapon!$B$2:$O$284,14,FALSE),0),0)+_xlfn.IFNA(IF(VLOOKUP($AE13,[1]Weapon!$B$2:$O$284,13,FALSE)="Def",VLOOKUP($AE13,[1]Weapon!$B$2:$O$284,14,FALSE),0),0)+_xlfn.IFNA(IF(VLOOKUP($AH13,[1]Weapon!$B$2:$O$284,13,FALSE)="Def",VLOOKUP($AH13,[1]Weapon!$B$2:$O$284,14,FALSE),0),0)+_xlfn.IFNA(IF(VLOOKUP($AK13,[1]Weapon!$B$2:$O$284,13,FALSE)="Def",VLOOKUP($AK13,[1]Weapon!$B$2:$O$284,14,FALSE),0),0)</f>
        <v>16</v>
      </c>
      <c r="L13" s="3">
        <v>5</v>
      </c>
      <c r="M13" s="5">
        <f>L13+_xlfn.IFNA(IF(VLOOKUP($P13,[1]Weapon!$B$2:$O$284,13,FALSE)="Agl",VLOOKUP($P13,[1]Weapon!$B$2:$O$284,14,FALSE),0),0)+_xlfn.IFNA(IF(VLOOKUP($S13,[1]Weapon!$B$2:$O$284,13,FALSE)="Agl",VLOOKUP($S13,[1]Weapon!$B$2:$O$284,14,FALSE),0),0)+_xlfn.IFNA(IF(VLOOKUP($V13,[1]Weapon!$B$2:$O$284,13,FALSE)="Agl",VLOOKUP($V13,[1]Weapon!$B$2:$O$284,14,FALSE),0),0)+_xlfn.IFNA(IF(VLOOKUP($Y13,[1]Weapon!$B$2:$O$284,13,FALSE)="Agl",VLOOKUP($Y13,[1]Weapon!$B$2:$O$284,14,FALSE),0),0)+_xlfn.IFNA(IF(VLOOKUP($AB13,[1]Weapon!$B$2:$O$284,13,FALSE)="Agl",VLOOKUP($AB13,[1]Weapon!$B$2:$O$284,14,FALSE),0),0)+_xlfn.IFNA(IF(VLOOKUP($AE13,[1]Weapon!$B$2:$O$284,13,FALSE)="Agl",VLOOKUP($AE13,[1]Weapon!$B$2:$O$284,14,FALSE),0),0)+_xlfn.IFNA(IF(VLOOKUP($AH13,[1]Weapon!$B$2:$O$284,13,FALSE)="Agl",VLOOKUP($AH13,[1]Weapon!$B$2:$O$284,14,FALSE),0),0)+_xlfn.IFNA(IF(VLOOKUP($AK13,[1]Weapon!$B$2:$O$284,13,FALSE)="Agl",VLOOKUP($AK13,[1]Weapon!$B$2:$O$284,14,FALSE),0),0)</f>
        <v>5</v>
      </c>
      <c r="N13" s="4">
        <v>0</v>
      </c>
      <c r="O13" s="2">
        <f t="shared" ref="O13" si="11">N13</f>
        <v>0</v>
      </c>
      <c r="P13" s="38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39" t="s">
        <v>124</v>
      </c>
      <c r="T13">
        <v>20</v>
      </c>
      <c r="U13" s="6">
        <f>_xlfn.IFNA(IF($E13="Robot",VLOOKUP(S13,[1]Weapon!$B$1:$G$351,6,FALSE)/2,VLOOKUP(S13,[1]Weapon!$B$1:$G$351,6,FALSE)),0)</f>
        <v>25</v>
      </c>
      <c r="V13" s="63" t="s">
        <v>141</v>
      </c>
      <c r="W13">
        <v>-1</v>
      </c>
      <c r="X13" s="6">
        <f>_xlfn.IFNA(IF($E13="Robot",VLOOKUP(V13,[1]Weapon!$B$1:$G$351,6,FALSE)/2,VLOOKUP(V13,[1]Weapon!$B$1:$G$351,6,FALSE)),0)</f>
        <v>-1</v>
      </c>
      <c r="Y13" s="82" t="s">
        <v>124</v>
      </c>
      <c r="Z13">
        <v>25</v>
      </c>
      <c r="AA13" s="6">
        <f>_xlfn.IFNA(IF($E13="Robot",VLOOKUP(Y13,[1]Weapon!$B$1:$G$351,6,FALSE)/2,VLOOKUP(Y13,[1]Weapon!$B$1:$G$351,6,FALSE)),0)</f>
        <v>25</v>
      </c>
      <c r="AB13" s="82" t="s">
        <v>155</v>
      </c>
      <c r="AC13">
        <v>0</v>
      </c>
      <c r="AD13" s="6">
        <f>_xlfn.IFNA(IF($E13="Robot",VLOOKUP(AB13,[1]Weapon!$B$1:$G$351,6,FALSE)/2,VLOOKUP(AB13,[1]Weapon!$B$1:$G$351,6,FALSE)),0)</f>
        <v>-1</v>
      </c>
      <c r="AE13" s="82" t="s">
        <v>155</v>
      </c>
      <c r="AF13">
        <v>0</v>
      </c>
      <c r="AG13" s="6">
        <f>_xlfn.IFNA(IF($E13="Robot",VLOOKUP(AE13,[1]Weapon!$B$1:$G$351,6,FALSE)/2,VLOOKUP(AE13,[1]Weapon!$B$1:$G$351,6,FALSE)),0)</f>
        <v>-1</v>
      </c>
      <c r="AH13" s="82" t="s">
        <v>144</v>
      </c>
      <c r="AI13">
        <v>1</v>
      </c>
      <c r="AJ13" s="6">
        <f>_xlfn.IFNA(IF($E13="Robot",VLOOKUP(AH13,[1]Weapon!$B$1:$G$351,6,FALSE)/2,VLOOKUP(AH13,[1]Weapon!$B$1:$G$351,6,FALSE)),0)</f>
        <v>2</v>
      </c>
      <c r="AK13" s="82" t="s">
        <v>144</v>
      </c>
      <c r="AL13">
        <v>2</v>
      </c>
      <c r="AM13" s="6">
        <f>_xlfn.IFNA(IF($E13="Robot",VLOOKUP(AK13,[1]Weapon!$B$1:$G$351,6,FALSE)/2,VLOOKUP(AK13,[1]Weapon!$B$1:$G$351,6,FALSE)),0)</f>
        <v>2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81" t="s">
        <v>142</v>
      </c>
      <c r="AS13">
        <f>VLOOKUP(B13,Toolkit!$Q$3:$U$22,2,FALSE)</f>
        <v>214</v>
      </c>
    </row>
    <row r="14" spans="1:46" x14ac:dyDescent="0.25">
      <c r="A14" s="60" t="str">
        <f t="shared" si="10"/>
        <v>DM</v>
      </c>
      <c r="B14" s="65" t="s">
        <v>119</v>
      </c>
      <c r="C14" s="77"/>
      <c r="D14" s="37" t="s">
        <v>120</v>
      </c>
      <c r="E14" s="116" t="s">
        <v>154</v>
      </c>
      <c r="F14">
        <v>126</v>
      </c>
      <c r="G14" s="2">
        <f>IF(ISBLANK(VLOOKUP($E14,[1]Monster!$A$2:$X$258,10,FALSE)),"",VLOOKUP($E14,[1]Monster!$A$2:$X$258,10,FALSE))</f>
        <v>126</v>
      </c>
      <c r="H14" s="3">
        <v>0</v>
      </c>
      <c r="I14" s="5">
        <f>IF(ISBLANK(VLOOKUP($E14,[1]Monster!$A$2:$X$258,11,FALSE)),"",VLOOKUP($E14,[1]Monster!$A$2:$X$258,11,FALSE))+H14</f>
        <v>14</v>
      </c>
      <c r="J14" s="4">
        <v>0</v>
      </c>
      <c r="K14" s="2">
        <f>IF(ISBLANK(VLOOKUP($E14,[1]Monster!$A$2:$X$258,14,FALSE)),"",VLOOKUP($E14,[1]Monster!$A$2:$X$258,14,FALSE))+J14</f>
        <v>13</v>
      </c>
      <c r="L14" s="3">
        <v>0</v>
      </c>
      <c r="M14" s="5">
        <f>IF(ISBLANK(VLOOKUP($E14,[1]Monster!$A$2:$X$258,12,FALSE)),"",VLOOKUP($E14,[1]Monster!$A$2:$X$258,12,FALSE))+L14</f>
        <v>14</v>
      </c>
      <c r="N14" s="4">
        <v>0</v>
      </c>
      <c r="O14" s="2">
        <f>IF(ISBLANK(VLOOKUP($E14,[1]Monster!$A$2:$X$258,13,FALSE)),"",VLOOKUP($E14,[1]Monster!$A$2:$X$258,13,FALSE))+N14</f>
        <v>10</v>
      </c>
      <c r="P14" s="31" t="str">
        <f>IF(ISBLANK(VLOOKUP($E14,[1]Monster!$A$2:$X$258,16,FALSE)),"",VLOOKUP($E14,[1]Monster!$A$2:$X$258,16,FALSE))</f>
        <v>Kick</v>
      </c>
      <c r="Q14">
        <v>10</v>
      </c>
      <c r="R14" s="6">
        <f>_xlfn.IFNA(IF($E14="Robot",VLOOKUP(P14,[1]Weapon!$B$1:$G$351,6,FALSE)/2,VLOOKUP(P14,[1]Weapon!$B$1:$G$351,6,FALSE)),0)</f>
        <v>15</v>
      </c>
      <c r="S14" s="31" t="str">
        <f>IF(ISBLANK(VLOOKUP($E14,[1]Monster!$A$2:$X$258,17,FALSE)),"",VLOOKUP($E14,[1]Monster!$A$2:$X$258,17,FALSE))</f>
        <v>Breath</v>
      </c>
      <c r="T14">
        <v>19</v>
      </c>
      <c r="U14" s="6">
        <f>_xlfn.IFNA(IF($E14="Robot",VLOOKUP(S14,[1]Weapon!$B$1:$G$351,6,FALSE)/2,VLOOKUP(S14,[1]Weapon!$B$1:$G$351,6,FALSE)),0)</f>
        <v>20</v>
      </c>
      <c r="V14" s="32" t="str">
        <f>IF(ISBLANK(VLOOKUP($E14,[1]Monster!$A$2:$X$258,18,FALSE)),"",VLOOKUP($E14,[1]Monster!$A$2:$X$258,18,FALSE))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1" t="str">
        <f>IF(ISBLANK(VLOOKUP($E14,[1]Monster!$A$2:$X$258,19,FALSE)),"",VLOOKUP($E14,[1]Monster!$A$2:$X$258,19,FALSE))</f>
        <v/>
      </c>
      <c r="Z14">
        <v>0</v>
      </c>
      <c r="AA14" s="6">
        <f>_xlfn.IFNA(IF($E14="Robot",VLOOKUP(Y14,[1]Weapon!$B$1:$G$351,6,FALSE)/2,VLOOKUP(Y14,[1]Weapon!$B$1:$G$351,6,FALSE)),0)</f>
        <v>0</v>
      </c>
      <c r="AB14" s="31" t="str">
        <f>IF(ISBLANK(VLOOKUP($E14,[1]Monster!$A$2:$X$258,20,FALSE)),"",VLOOKUP($E14,[1]Monster!$A$2:$X$258,20,FALSE))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1" t="str">
        <f>IF(ISBLANK(VLOOKUP($E14,[1]Monster!$A$2:$X$258,21,FALSE)),"",VLOOKUP($E14,[1]Monster!$A$2:$X$258,21,FALSE))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2" t="str">
        <f>IF(ISBLANK(VLOOKUP($E14,[1]Monster!$A$2:$X$258,22,FALSE)),"",VLOOKUP($E14,[1]Monster!$A$2:$X$258,22,FALSE))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IF(ISBLANK(VLOOKUP($E14,[1]Monster!$A$2:$X$258,23,FALSE)),"",VLOOKUP($E14,[1]Monster!$A$2:$X$258,23,FALSE))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1" t="s">
        <v>158</v>
      </c>
      <c r="AS14">
        <f>VLOOKUP(B14,Toolkit!$Q$3:$U$22,2,FALSE)</f>
        <v>241</v>
      </c>
    </row>
    <row r="15" spans="1:46" x14ac:dyDescent="0.25">
      <c r="A15" s="60" t="str">
        <f t="shared" si="10"/>
        <v>Lictus</v>
      </c>
      <c r="B15" s="104" t="s">
        <v>127</v>
      </c>
      <c r="C15" s="77"/>
      <c r="D15" s="40" t="s">
        <v>122</v>
      </c>
      <c r="E15" s="117" t="s">
        <v>60</v>
      </c>
      <c r="F15">
        <v>1</v>
      </c>
      <c r="G15" s="2">
        <v>67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$275,9,FALSE),0)+_xlfn.IFNA(VLOOKUP($S15,[1]Weapon!$A$1:$M$275,9,FALSE),0)+_xlfn.IFNA(VLOOKUP($V15,[1]Weapon!$A$1:$M$275,9,FALSE),0)+_xlfn.IFNA(VLOOKUP($Y15,[1]Weapon!$A$1:$M$275,9,FALSE),0)+_xlfn.IFNA(VLOOKUP($AB15,[1]Weapon!$A$1:$M$275,9,FALSE),0)+_xlfn.IFNA(VLOOKUP($AE15,[1]Weapon!$A$1:$M$275,9,FALSE),0)+_xlfn.IFNA(VLOOKUP($AH15,[1]Weapon!$A$1:$M$275,9,FALSE),0)+_xlfn.IFNA(VLOOKUP($AK15,[1]Weapon!$A$1:$M$275,9,FALSE),0)</f>
        <v>6</v>
      </c>
      <c r="L15" s="3">
        <v>8</v>
      </c>
      <c r="M15" s="5">
        <f t="shared" ref="M15" si="13">L15</f>
        <v>8</v>
      </c>
      <c r="N15" s="4">
        <v>4</v>
      </c>
      <c r="O15" s="2">
        <f t="shared" si="7"/>
        <v>4</v>
      </c>
      <c r="P15" s="39" t="s">
        <v>123</v>
      </c>
      <c r="Q15">
        <v>29</v>
      </c>
      <c r="R15" s="6">
        <f>_xlfn.IFNA(IF($E15="Robot",VLOOKUP(P15,[1]Weapon!$B$1:$G$351,6,FALSE)/2,VLOOKUP(P15,[1]Weapon!$B$1:$G$351,6,FALSE)),0)</f>
        <v>50</v>
      </c>
      <c r="S15" s="39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75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78" t="s">
        <v>141</v>
      </c>
      <c r="Z15">
        <v>-1</v>
      </c>
      <c r="AA15" s="6">
        <f>_xlfn.IFNA(IF($E15="Robot",VLOOKUP(Y15,[1]Weapon!$B$1:$G$351,6,FALSE)/2,VLOOKUP(Y15,[1]Weapon!$B$1:$G$351,6,FALSE)),0)</f>
        <v>-2</v>
      </c>
      <c r="AB15" s="78" t="s">
        <v>155</v>
      </c>
      <c r="AC15">
        <v>-1</v>
      </c>
      <c r="AD15" s="6">
        <f>_xlfn.IFNA(IF($E15="Robot",VLOOKUP(AB15,[1]Weapon!$B$1:$G$351,6,FALSE)/2,VLOOKUP(AB15,[1]Weapon!$B$1:$G$351,6,FALSE)),0)</f>
        <v>-2</v>
      </c>
      <c r="AE15" s="31"/>
      <c r="AF15">
        <v>-1</v>
      </c>
      <c r="AG15" s="6">
        <f>_xlfn.IFNA(IF($E15="Robot",VLOOKUP(AE15,[1]Weapon!$B$1:$G$351,6,FALSE)/2,VLOOKUP(AE15,[1]Weapon!$B$1:$G$351,6,FALSE)),0)</f>
        <v>0</v>
      </c>
      <c r="AH15" s="31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87" t="s">
        <v>165</v>
      </c>
      <c r="AS15">
        <f>VLOOKUP(B15,Toolkit!$Q$3:$U$22,2,FALSE)</f>
        <v>332</v>
      </c>
    </row>
    <row r="16" spans="1:46" x14ac:dyDescent="0.25">
      <c r="A16" s="60" t="str">
        <f t="shared" si="10"/>
        <v>BYTE</v>
      </c>
      <c r="B16" s="104" t="s">
        <v>125</v>
      </c>
      <c r="C16" s="77"/>
      <c r="D16" s="42" t="s">
        <v>126</v>
      </c>
      <c r="E16" s="111" t="s">
        <v>90</v>
      </c>
      <c r="F16">
        <v>29</v>
      </c>
      <c r="G16" s="2">
        <f>24+_xlfn.IFNA(VLOOKUP($P16,[1]Weapon!$A$1:$M$275,12,FALSE),0)+_xlfn.IFNA(VLOOKUP($S16,[1]Weapon!$A$1:$M$275,12,FALSE),0)+_xlfn.IFNA(VLOOKUP($V16,[1]Weapon!$A$1:$M$275,12,FALSE),0)+_xlfn.IFNA(VLOOKUP($Y16,[1]Weapon!$A$1:$M$275,12,FALSE),0)+_xlfn.IFNA(VLOOKUP($AB16,[1]Weapon!$A$1:$M$275,12,FALSE),0)+_xlfn.IFNA(VLOOKUP($AE16,[1]Weapon!$A$1:$M$275,12,FALSE),0)+_xlfn.IFNA(VLOOKUP($AH16,[1]Weapon!$A$1:$M$275,12,FALSE),0)+_xlfn.IFNA(VLOOKUP($AK16,[1]Weapon!$A$1:$M$275,12,FALSE),0)</f>
        <v>132</v>
      </c>
      <c r="H16" s="79">
        <v>0</v>
      </c>
      <c r="I16" s="41">
        <f>H16+_xlfn.IFNA(IF(VLOOKUP($P16,[1]Weapon!$B$2:$O$284,13,FALSE)="Str",VLOOKUP($P16,[1]Weapon!$B$2:$O$284,14,FALSE),0),0)+_xlfn.IFNA(IF(VLOOKUP($S16,[1]Weapon!$B$2:$O$284,13,FALSE)="Str",VLOOKUP($S16,[1]Weapon!$B$2:$O$284,14,FALSE),0),0)+_xlfn.IFNA(IF(VLOOKUP($V16,[1]Weapon!$B$2:$O$284,13,FALSE)="Str",VLOOKUP($V16,[1]Weapon!$B$2:$O$284,14,FALSE),0),0)+_xlfn.IFNA(IF(VLOOKUP($Y16,[1]Weapon!$B$2:$O$284,13,FALSE)="Str",VLOOKUP($Y16,[1]Weapon!$B$2:$O$284,14,FALSE),0),0)+_xlfn.IFNA(IF(VLOOKUP($AB16,[1]Weapon!$B$2:$O$284,13,FALSE)="Str",VLOOKUP($AB16,[1]Weapon!$B$2:$O$284,14,FALSE),0),0)+_xlfn.IFNA(IF(VLOOKUP($AE16,[1]Weapon!$B$2:$O$284,13,FALSE)="Str",VLOOKUP($AE16,[1]Weapon!$B$2:$O$284,14,FALSE),0),0)+_xlfn.IFNA(IF(VLOOKUP($AH16,[1]Weapon!$B$2:$O$284,13,FALSE)="Str",VLOOKUP($AH16,[1]Weapon!$B$2:$O$284,14,FALSE),0),0)+_xlfn.IFNA(IF(VLOOKUP($AK16,[1]Weapon!$B$2:$O$284,13,FALSE)="Str",VLOOKUP($AK16,[1]Weapon!$B$2:$O$284,14,FALSE),0),0)</f>
        <v>22</v>
      </c>
      <c r="J16" s="4">
        <v>6</v>
      </c>
      <c r="K16" s="2">
        <f>J16+_xlfn.IFNA(IF(VLOOKUP($P16,[1]Weapon!$B$2:$O$284,13,FALSE)="Def",VLOOKUP($P16,[1]Weapon!$B$2:$O$284,14,FALSE),0),0)+_xlfn.IFNA(IF(VLOOKUP($S16,[1]Weapon!$B$2:$O$284,13,FALSE)="Def",VLOOKUP($S16,[1]Weapon!$B$2:$O$284,14,FALSE),0),0)+_xlfn.IFNA(IF(VLOOKUP($V16,[1]Weapon!$B$2:$O$284,13,FALSE)="Def",VLOOKUP($V16,[1]Weapon!$B$2:$O$284,14,FALSE),0),0)+_xlfn.IFNA(IF(VLOOKUP($Y16,[1]Weapon!$B$2:$O$284,13,FALSE)="Def",VLOOKUP($Y16,[1]Weapon!$B$2:$O$284,14,FALSE),0),0)+_xlfn.IFNA(IF(VLOOKUP($AB16,[1]Weapon!$B$2:$O$284,13,FALSE)="Def",VLOOKUP($AB16,[1]Weapon!$B$2:$O$284,14,FALSE),0),0)+_xlfn.IFNA(IF(VLOOKUP($AE16,[1]Weapon!$B$2:$O$284,13,FALSE)="Def",VLOOKUP($AE16,[1]Weapon!$B$2:$O$284,14,FALSE),0),0)+_xlfn.IFNA(IF(VLOOKUP($AH16,[1]Weapon!$B$2:$O$284,13,FALSE)="Def",VLOOKUP($AH16,[1]Weapon!$B$2:$O$284,14,FALSE),0),0)+_xlfn.IFNA(IF(VLOOKUP($AK16,[1]Weapon!$B$2:$O$284,13,FALSE)="Def",VLOOKUP($AK16,[1]Weapon!$B$2:$O$284,14,FALSE),0),0)</f>
        <v>6</v>
      </c>
      <c r="L16" s="3">
        <v>5</v>
      </c>
      <c r="M16" s="5">
        <f>L16+_xlfn.IFNA(IF(VLOOKUP($P16,[1]Weapon!$B$2:$O$284,13,FALSE)="Agl",VLOOKUP($P16,[1]Weapon!$B$2:$O$284,14,FALSE),0),0)+_xlfn.IFNA(IF(VLOOKUP($S16,[1]Weapon!$B$2:$O$284,13,FALSE)="Agl",VLOOKUP($S16,[1]Weapon!$B$2:$O$284,14,FALSE),0),0)+_xlfn.IFNA(IF(VLOOKUP($V16,[1]Weapon!$B$2:$O$284,13,FALSE)="Agl",VLOOKUP($V16,[1]Weapon!$B$2:$O$284,14,FALSE),0),0)+_xlfn.IFNA(IF(VLOOKUP($Y16,[1]Weapon!$B$2:$O$284,13,FALSE)="Agl",VLOOKUP($Y16,[1]Weapon!$B$2:$O$284,14,FALSE),0),0)+_xlfn.IFNA(IF(VLOOKUP($AB16,[1]Weapon!$B$2:$O$284,13,FALSE)="Agl",VLOOKUP($AB16,[1]Weapon!$B$2:$O$284,14,FALSE),0),0)+_xlfn.IFNA(IF(VLOOKUP($AE16,[1]Weapon!$B$2:$O$284,13,FALSE)="Agl",VLOOKUP($AE16,[1]Weapon!$B$2:$O$284,14,FALSE),0),0)+_xlfn.IFNA(IF(VLOOKUP($AH16,[1]Weapon!$B$2:$O$284,13,FALSE)="Agl",VLOOKUP($AH16,[1]Weapon!$B$2:$O$284,14,FALSE),0),0)+_xlfn.IFNA(IF(VLOOKUP($AK16,[1]Weapon!$B$2:$O$284,13,FALSE)="Agl",VLOOKUP($AK16,[1]Weapon!$B$2:$O$284,14,FALSE),0),0)</f>
        <v>5</v>
      </c>
      <c r="N16" s="4">
        <v>0</v>
      </c>
      <c r="O16" s="2">
        <f t="shared" si="7"/>
        <v>0</v>
      </c>
      <c r="P16" s="38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38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75" t="s">
        <v>111</v>
      </c>
      <c r="W16">
        <v>23</v>
      </c>
      <c r="X16" s="6">
        <f>_xlfn.IFNA(IF($E16="Robot",VLOOKUP(V16,[1]Weapon!$B$1:$G$351,6,FALSE)/2,VLOOKUP(V16,[1]Weapon!$B$1:$G$351,6,FALSE)),0)</f>
        <v>25</v>
      </c>
      <c r="Y16" s="78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78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78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78" t="s">
        <v>41</v>
      </c>
      <c r="AI16">
        <v>21</v>
      </c>
      <c r="AJ16" s="6">
        <f>_xlfn.IFNA(IF($E16="Robot",VLOOKUP(AH16,[1]Weapon!$B$1:$G$351,6,FALSE)/2,VLOOKUP(AH16,[1]Weapon!$B$1:$G$351,6,FALSE)),0)</f>
        <v>25</v>
      </c>
      <c r="AK16" s="82" t="s">
        <v>41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81" t="s">
        <v>142</v>
      </c>
      <c r="AS16">
        <f>VLOOKUP(B16,Toolkit!$Q$3:$U$22,2,FALSE)</f>
        <v>196</v>
      </c>
    </row>
    <row r="17" spans="1:45" x14ac:dyDescent="0.25">
      <c r="A17" s="60" t="str">
        <f t="shared" si="10"/>
        <v>Mr. S</v>
      </c>
      <c r="B17" s="59" t="s">
        <v>133</v>
      </c>
      <c r="C17" s="7"/>
      <c r="D17" s="112" t="s">
        <v>134</v>
      </c>
      <c r="E17" s="59" t="s">
        <v>135</v>
      </c>
      <c r="F17">
        <v>185</v>
      </c>
      <c r="G17" s="2">
        <f>IF(ISBLANK(VLOOKUP($E17,[1]Monster!$A$2:$X$258,10,FALSE)),"",VLOOKUP($E17,[1]Monster!$A$2:$X$258,10,FALSE))</f>
        <v>185</v>
      </c>
      <c r="H17" s="3">
        <v>0</v>
      </c>
      <c r="I17" s="5">
        <f>IF(ISBLANK(VLOOKUP($E17,[1]Monster!$A$2:$X$258,11,FALSE)),"",VLOOKUP($E17,[1]Monster!$A$2:$X$258,11,FALSE))+H17</f>
        <v>18</v>
      </c>
      <c r="J17" s="4">
        <v>0</v>
      </c>
      <c r="K17" s="2">
        <f>IF(ISBLANK(VLOOKUP($E17,[1]Monster!$A$2:$X$258,14,FALSE)),"",VLOOKUP($E17,[1]Monster!$A$2:$X$258,14,FALSE))+J17</f>
        <v>18</v>
      </c>
      <c r="L17" s="3">
        <v>0</v>
      </c>
      <c r="M17" s="5">
        <f>IF(ISBLANK(VLOOKUP($E17,[1]Monster!$A$2:$X$258,12,FALSE)),"",VLOOKUP($E17,[1]Monster!$A$2:$X$258,12,FALSE))+L17</f>
        <v>15</v>
      </c>
      <c r="N17" s="4">
        <v>0</v>
      </c>
      <c r="O17" s="2">
        <f>IF(ISBLANK(VLOOKUP($E17,[1]Monster!$A$2:$X$258,13,FALSE)),"",VLOOKUP($E17,[1]Monster!$A$2:$X$258,13,FALSE))+N17</f>
        <v>19</v>
      </c>
      <c r="P17" s="31" t="str">
        <f>IF(ISBLANK(VLOOKUP($E17,[1]Monster!$A$2:$X$258,16,FALSE)),"",VLOOKUP($E17,[1]Monster!$A$2:$X$258,16,FALSE))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1" t="str">
        <f>IF(ISBLANK(VLOOKUP($E17,[1]Monster!$A$2:$X$258,17,FALSE)),"",VLOOKUP($E17,[1]Monster!$A$2:$X$258,17,FALSE))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2" t="str">
        <f>IF(ISBLANK(VLOOKUP($E17,[1]Monster!$A$2:$X$258,18,FALSE)),"",VLOOKUP($E17,[1]Monster!$A$2:$X$258,18,FALSE))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2"/>
      <c r="Z17">
        <v>-1</v>
      </c>
      <c r="AA17" s="6">
        <f>_xlfn.IFNA(IF($E17="Robot",VLOOKUP(Y17,[1]Weapon!$B$1:$G$351,6,FALSE)/2,VLOOKUP(Y17,[1]Weapon!$B$1:$G$351,6,FALSE)),0)</f>
        <v>0</v>
      </c>
      <c r="AB17" s="31" t="str">
        <f>IF(ISBLANK(VLOOKUP($E17,[1]Monster!$A$2:$X$258,20,FALSE)),"",VLOOKUP($E17,[1]Monster!$A$2:$X$258,20,FALSE))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1" t="str">
        <f>IF(ISBLANK(VLOOKUP($E17,[1]Monster!$A$2:$X$258,21,FALSE)),"",VLOOKUP($E17,[1]Monster!$A$2:$X$258,21,FALSE))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2" t="str">
        <f>IF(ISBLANK(VLOOKUP($E17,[1]Monster!$A$2:$X$258,22,FALSE)),"",VLOOKUP($E17,[1]Monster!$A$2:$X$258,22,FALSE))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IF(ISBLANK(VLOOKUP($E17,[1]Monster!$A$2:$X$258,23,FALSE)),"",VLOOKUP($E17,[1]Monster!$A$2:$X$258,23,FALSE))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105" t="s">
        <v>156</v>
      </c>
      <c r="C18" s="7"/>
      <c r="D18" s="80" t="s">
        <v>157</v>
      </c>
      <c r="E18" s="109" t="s">
        <v>91</v>
      </c>
      <c r="F18">
        <v>52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$275,9,FALSE),0)+_xlfn.IFNA(VLOOKUP($S18,[1]Weapon!$A$1:$M$275,9,FALSE),0)+_xlfn.IFNA(VLOOKUP($V18,[1]Weapon!$A$1:$M$275,9,FALSE),0)+_xlfn.IFNA(VLOOKUP($Y18,[1]Weapon!$A$1:$M$275,9,FALSE),0)+_xlfn.IFNA(VLOOKUP($AB18,[1]Weapon!$A$1:$M$275,9,FALSE),0)+_xlfn.IFNA(VLOOKUP($AE18,[1]Weapon!$A$1:$M$275,9,FALSE),0)+_xlfn.IFNA(VLOOKUP($AH18,[1]Weapon!$A$1:$M$275,9,FALSE),0)+_xlfn.IFNA(VLOOKUP($AK18,[1]Weapon!$A$1:$M$275,9,FALSE),0)</f>
        <v>6</v>
      </c>
      <c r="L18" s="79">
        <v>4</v>
      </c>
      <c r="M18" s="41">
        <f>L18</f>
        <v>4</v>
      </c>
      <c r="N18" s="4">
        <v>6</v>
      </c>
      <c r="O18" s="2">
        <f t="shared" ref="O18:O20" si="15">N18</f>
        <v>6</v>
      </c>
      <c r="P18" s="97" t="s">
        <v>88</v>
      </c>
      <c r="Q18">
        <v>11</v>
      </c>
      <c r="R18" s="6">
        <f>_xlfn.IFNA(IF($E18="Robot",VLOOKUP(P18,[1]Weapon!$B$1:$G$351,6,FALSE)/2,VLOOKUP(P18,[1]Weapon!$B$1:$G$351,6,FALSE)),0)</f>
        <v>15</v>
      </c>
      <c r="S18" s="95"/>
      <c r="T18">
        <v>-1</v>
      </c>
      <c r="U18" s="6">
        <f>_xlfn.IFNA(IF($E18="Robot",VLOOKUP(S18,[1]Weapon!$B$1:$G$351,6,FALSE)/2,VLOOKUP(S18,[1]Weapon!$B$1:$G$351,6,FALSE)),0)</f>
        <v>0</v>
      </c>
      <c r="V18" s="94"/>
      <c r="W18">
        <v>-1</v>
      </c>
      <c r="X18" s="6">
        <f>_xlfn.IFNA(IF($E18="Robot",VLOOKUP(V18,[1]Weapon!$B$1:$G$351,6,FALSE)/2,VLOOKUP(V18,[1]Weapon!$B$1:$G$351,6,FALSE)),0)</f>
        <v>0</v>
      </c>
      <c r="Y18" s="90"/>
      <c r="Z18">
        <v>0</v>
      </c>
      <c r="AA18" s="6">
        <f>_xlfn.IFNA(IF($E18="Robot",VLOOKUP(Y18,[1]Weapon!$B$1:$G$351,6,FALSE)/2,VLOOKUP(Y18,[1]Weapon!$B$1:$G$351,6,FALSE)),0)</f>
        <v>0</v>
      </c>
      <c r="AB18" s="38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82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82" t="s">
        <v>141</v>
      </c>
      <c r="AI18">
        <v>0</v>
      </c>
      <c r="AJ18" s="6">
        <f>_xlfn.IFNA(IF($E18="Robot",VLOOKUP(AH18,[1]Weapon!$B$1:$G$351,6,FALSE)/2,VLOOKUP(AH18,[1]Weapon!$B$1:$G$351,6,FALSE)),0)</f>
        <v>-2</v>
      </c>
      <c r="AK18" s="82" t="s">
        <v>155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76"/>
      <c r="AS18">
        <f>VLOOKUP(B18,Toolkit!$Q$3:$U$22,2,FALSE)</f>
        <v>173</v>
      </c>
    </row>
    <row r="19" spans="1:45" x14ac:dyDescent="0.25">
      <c r="A19" s="1" t="str">
        <f t="shared" si="10"/>
        <v>Ella</v>
      </c>
      <c r="B19" s="84" t="s">
        <v>162</v>
      </c>
      <c r="C19" s="7"/>
      <c r="D19" s="113" t="s">
        <v>134</v>
      </c>
      <c r="E19" s="81" t="s">
        <v>60</v>
      </c>
      <c r="F19">
        <v>52</v>
      </c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$275,9,FALSE),0)+_xlfn.IFNA(VLOOKUP($S19,[1]Weapon!$A$1:$M$275,9,FALSE),0)+_xlfn.IFNA(VLOOKUP($V19,[1]Weapon!$A$1:$M$275,9,FALSE),0)+_xlfn.IFNA(VLOOKUP($Y19,[1]Weapon!$A$1:$M$275,9,FALSE),0)+_xlfn.IFNA(VLOOKUP($AB19,[1]Weapon!$A$1:$M$275,9,FALSE),0)+_xlfn.IFNA(VLOOKUP($AE19,[1]Weapon!$A$1:$M$275,9,FALSE),0)+_xlfn.IFNA(VLOOKUP($AH19,[1]Weapon!$A$1:$M$275,9,FALSE),0)+_xlfn.IFNA(VLOOKUP($AK19,[1]Weapon!$A$1:$M$275,9,FALSE),0)</f>
        <v>3</v>
      </c>
      <c r="L19" s="3">
        <v>6</v>
      </c>
      <c r="M19" s="41">
        <f t="shared" ref="M19:M20" si="16">L19</f>
        <v>6</v>
      </c>
      <c r="N19" s="4">
        <v>4</v>
      </c>
      <c r="O19" s="2">
        <f t="shared" si="15"/>
        <v>4</v>
      </c>
      <c r="P19" s="82" t="s">
        <v>123</v>
      </c>
      <c r="Q19">
        <v>46</v>
      </c>
      <c r="R19" s="6">
        <f>_xlfn.IFNA(IF($E19="Robot",VLOOKUP(P19,[1]Weapon!$B$1:$G$351,6,FALSE)/2,VLOOKUP(P19,[1]Weapon!$B$1:$G$351,6,FALSE)),0)</f>
        <v>50</v>
      </c>
      <c r="S19" s="82" t="s">
        <v>96</v>
      </c>
      <c r="T19">
        <v>-1</v>
      </c>
      <c r="U19" s="6">
        <f>_xlfn.IFNA(IF($E19="Robot",VLOOKUP(S19,[1]Weapon!$B$1:$G$351,6,FALSE)/2,VLOOKUP(S19,[1]Weapon!$B$1:$G$351,6,FALSE)),0)</f>
        <v>-2</v>
      </c>
      <c r="V19" s="32"/>
      <c r="W19">
        <v>-1</v>
      </c>
      <c r="Y19" s="32"/>
      <c r="Z19">
        <v>-1</v>
      </c>
      <c r="AB19" s="32"/>
      <c r="AC19">
        <v>-1</v>
      </c>
      <c r="AF19">
        <v>-1</v>
      </c>
      <c r="AI19">
        <v>-1</v>
      </c>
      <c r="AL19">
        <v>-1</v>
      </c>
      <c r="AO19">
        <v>0</v>
      </c>
      <c r="AP19" s="28">
        <v>0</v>
      </c>
      <c r="AR19" s="9"/>
    </row>
    <row r="20" spans="1:45" x14ac:dyDescent="0.25">
      <c r="A20" s="1" t="str">
        <f t="shared" si="10"/>
        <v>Vince</v>
      </c>
      <c r="B20" s="81" t="s">
        <v>163</v>
      </c>
      <c r="D20" s="113" t="s">
        <v>134</v>
      </c>
      <c r="E20" s="81" t="s">
        <v>60</v>
      </c>
      <c r="F20">
        <v>59</v>
      </c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$275,9,FALSE),0)+_xlfn.IFNA(VLOOKUP($S20,[1]Weapon!$A$1:$M$275,9,FALSE),0)+_xlfn.IFNA(VLOOKUP($V20,[1]Weapon!$A$1:$M$275,9,FALSE),0)+_xlfn.IFNA(VLOOKUP($Y20,[1]Weapon!$A$1:$M$275,9,FALSE),0)+_xlfn.IFNA(VLOOKUP($AB20,[1]Weapon!$A$1:$M$275,9,FALSE),0)+_xlfn.IFNA(VLOOKUP($AE20,[1]Weapon!$A$1:$M$275,9,FALSE),0)+_xlfn.IFNA(VLOOKUP($AH20,[1]Weapon!$A$1:$M$275,9,FALSE),0)+_xlfn.IFNA(VLOOKUP($AK20,[1]Weapon!$A$1:$M$275,9,FALSE),0)</f>
        <v>3</v>
      </c>
      <c r="L20" s="3">
        <v>5</v>
      </c>
      <c r="M20" s="41">
        <f t="shared" si="16"/>
        <v>5</v>
      </c>
      <c r="N20" s="1">
        <v>3</v>
      </c>
      <c r="O20" s="2">
        <f t="shared" si="15"/>
        <v>3</v>
      </c>
      <c r="P20" s="82" t="s">
        <v>41</v>
      </c>
      <c r="Q20">
        <v>46</v>
      </c>
      <c r="R20" s="6">
        <f>_xlfn.IFNA(IF($E20="Robot",VLOOKUP(P20,[1]Weapon!$B$1:$G$351,6,FALSE)/2,VLOOKUP(P20,[1]Weapon!$B$1:$G$351,6,FALSE)),0)</f>
        <v>50</v>
      </c>
      <c r="S20" s="82" t="s">
        <v>96</v>
      </c>
      <c r="T20">
        <v>-1</v>
      </c>
      <c r="U20" s="6">
        <f>_xlfn.IFNA(IF($E20="Robot",VLOOKUP(S20,[1]Weapon!$B$1:$G$351,6,FALSE)/2,VLOOKUP(S20,[1]Weapon!$B$1:$G$351,6,FALSE)),0)</f>
        <v>-2</v>
      </c>
      <c r="V20" s="33"/>
      <c r="W20">
        <v>-1</v>
      </c>
      <c r="Y20" s="33"/>
      <c r="Z20">
        <v>-1</v>
      </c>
      <c r="AB20" s="33"/>
      <c r="AC20">
        <v>-1</v>
      </c>
      <c r="AF20">
        <v>-1</v>
      </c>
      <c r="AH20" s="24"/>
      <c r="AI20">
        <v>-1</v>
      </c>
      <c r="AK20" s="24"/>
      <c r="AL20">
        <v>-1</v>
      </c>
      <c r="AO20">
        <v>0</v>
      </c>
      <c r="AP20" s="28">
        <v>0</v>
      </c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6" priority="2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5" priority="26" operator="lessThan">
      <formula>0</formula>
    </cfRule>
  </conditionalFormatting>
  <conditionalFormatting sqref="A13:A19">
    <cfRule type="notContainsBlanks" dxfId="14" priority="1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3" priority="16" operator="lessThan">
      <formula>0</formula>
    </cfRule>
  </conditionalFormatting>
  <conditionalFormatting sqref="AH9">
    <cfRule type="cellIs" dxfId="12" priority="15" operator="lessThan">
      <formula>0</formula>
    </cfRule>
  </conditionalFormatting>
  <conditionalFormatting sqref="AH6">
    <cfRule type="cellIs" dxfId="11" priority="14" operator="lessThan">
      <formula>0</formula>
    </cfRule>
  </conditionalFormatting>
  <conditionalFormatting sqref="AH3">
    <cfRule type="cellIs" dxfId="10" priority="13" operator="lessThan">
      <formula>0</formula>
    </cfRule>
  </conditionalFormatting>
  <conditionalFormatting sqref="Y9">
    <cfRule type="cellIs" dxfId="9" priority="12" operator="lessThan">
      <formula>0</formula>
    </cfRule>
  </conditionalFormatting>
  <conditionalFormatting sqref="Q5 Z5 S5:T5 W5 AB5:AC5 AE5:AF5 AH5:AI5 AK5:AL5">
    <cfRule type="cellIs" dxfId="8" priority="10" operator="lessThan">
      <formula>0</formula>
    </cfRule>
  </conditionalFormatting>
  <conditionalFormatting sqref="Q14 S14:T14 V14:W14 Z14 AB14:AC14 AE14:AF14 AH14:AI14 AK14:AL14">
    <cfRule type="cellIs" dxfId="7" priority="8" operator="lessThan">
      <formula>0</formula>
    </cfRule>
  </conditionalFormatting>
  <conditionalFormatting sqref="Q16 S16:T16">
    <cfRule type="cellIs" dxfId="6" priority="7" operator="lessThan">
      <formula>0</formula>
    </cfRule>
  </conditionalFormatting>
  <conditionalFormatting sqref="Q17 S17:T17 V17:W17 Y17:Z17 AB17:AC17 AE17:AF17 AH17:AI17 AK17:AL17">
    <cfRule type="cellIs" dxfId="5" priority="6" operator="lessThan">
      <formula>0</formula>
    </cfRule>
  </conditionalFormatting>
  <conditionalFormatting sqref="Q18:AP18 R19:R20 U19:U20">
    <cfRule type="cellIs" dxfId="4" priority="5" operator="lessThan">
      <formula>0</formula>
    </cfRule>
  </conditionalFormatting>
  <conditionalFormatting sqref="V5">
    <cfRule type="cellIs" dxfId="3" priority="4" operator="lessThan">
      <formula>0</formula>
    </cfRule>
  </conditionalFormatting>
  <conditionalFormatting sqref="Y2">
    <cfRule type="cellIs" dxfId="2" priority="3" operator="lessThan">
      <formula>0</formula>
    </cfRule>
  </conditionalFormatting>
  <conditionalFormatting sqref="Y5">
    <cfRule type="cellIs" dxfId="1" priority="2" operator="lessThan">
      <formula>0</formula>
    </cfRule>
  </conditionalFormatting>
  <conditionalFormatting sqref="Y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O14" sqref="O14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20" t="s">
        <v>131</v>
      </c>
      <c r="B1" s="121"/>
      <c r="C1" s="121"/>
      <c r="D1" s="121"/>
      <c r="E1" s="121"/>
      <c r="F1" s="121"/>
      <c r="G1" s="121"/>
      <c r="H1" s="121"/>
      <c r="I1" s="122"/>
      <c r="K1" s="123" t="s">
        <v>132</v>
      </c>
      <c r="L1" s="124"/>
      <c r="M1" s="124"/>
      <c r="N1" s="124"/>
      <c r="O1" s="125"/>
      <c r="Q1" s="123" t="s">
        <v>149</v>
      </c>
      <c r="R1" s="124"/>
      <c r="S1" s="124"/>
      <c r="T1" s="124"/>
      <c r="U1" s="125"/>
    </row>
    <row r="2" spans="1:21" x14ac:dyDescent="0.2">
      <c r="A2" s="55" t="s">
        <v>40</v>
      </c>
      <c r="B2" s="56" t="s">
        <v>8</v>
      </c>
      <c r="C2" s="56" t="s">
        <v>85</v>
      </c>
      <c r="D2" s="56" t="s">
        <v>82</v>
      </c>
      <c r="E2" s="57" t="s">
        <v>79</v>
      </c>
      <c r="F2" s="57" t="s">
        <v>80</v>
      </c>
      <c r="G2" s="56" t="s">
        <v>83</v>
      </c>
      <c r="H2" s="56" t="s">
        <v>81</v>
      </c>
      <c r="I2" s="58" t="s">
        <v>86</v>
      </c>
      <c r="K2" s="48" t="s">
        <v>128</v>
      </c>
      <c r="L2" s="49" t="s">
        <v>140</v>
      </c>
      <c r="M2" s="49" t="s">
        <v>69</v>
      </c>
      <c r="N2" s="49" t="s">
        <v>129</v>
      </c>
      <c r="O2" s="50" t="s">
        <v>130</v>
      </c>
      <c r="Q2" s="48" t="s">
        <v>128</v>
      </c>
      <c r="R2" s="49" t="s">
        <v>136</v>
      </c>
      <c r="S2" s="49" t="s">
        <v>137</v>
      </c>
      <c r="T2" s="49" t="s">
        <v>150</v>
      </c>
      <c r="U2" s="50" t="s">
        <v>138</v>
      </c>
    </row>
    <row r="3" spans="1:21" ht="15" x14ac:dyDescent="0.25">
      <c r="A3" s="44"/>
      <c r="B3" s="51" t="e">
        <f>VLOOKUP(A3,Players!$B$2:$O$20,5,FALSE)</f>
        <v>#N/A</v>
      </c>
      <c r="C3" s="51" t="e">
        <f>VLOOKUP(A3,Players!$B$2:$O$20,6,FALSE)</f>
        <v>#N/A</v>
      </c>
      <c r="D3" s="51" t="e">
        <f>VLOOKUP(A3,Players!$B$2:$O$20,14,FALSE)</f>
        <v>#N/A</v>
      </c>
      <c r="E3" s="51" t="s">
        <v>144</v>
      </c>
      <c r="F3" s="51" t="s">
        <v>93</v>
      </c>
      <c r="G3" s="51">
        <f>VLOOKUP(F3,Players!$B$2:$O$20,14,FALSE)</f>
        <v>7</v>
      </c>
      <c r="H3" s="51">
        <f>IF(E3="Cure Potion",40,IF(E3="Spell",PRODUCT(4,D3+G3),0))</f>
        <v>40</v>
      </c>
      <c r="I3" s="52" t="e">
        <f>IF(SUM(H3+B3)&lt;C3,SUM(H3+B3),C3)</f>
        <v>#N/A</v>
      </c>
      <c r="K3" s="45" t="s">
        <v>92</v>
      </c>
      <c r="L3" s="83" t="s">
        <v>159</v>
      </c>
      <c r="M3" s="64">
        <f ca="1">VLOOKUP($K3,INDIRECT("'"&amp;L3&amp;"'!$A$2:$F$10"),6,FALSE)</f>
        <v>61</v>
      </c>
      <c r="N3" s="51" t="s">
        <v>172</v>
      </c>
      <c r="O3" s="52" t="s">
        <v>187</v>
      </c>
      <c r="Q3" s="45" t="s">
        <v>92</v>
      </c>
      <c r="R3">
        <v>468</v>
      </c>
      <c r="S3" s="51">
        <f t="shared" ref="S3:S17" si="0">VLOOKUP(L3,R$26:S$34,2,FALSE)</f>
        <v>0</v>
      </c>
      <c r="T3" s="51"/>
      <c r="U3" s="52">
        <f t="shared" ref="U3:U17" si="1">S3+R3-T3</f>
        <v>468</v>
      </c>
    </row>
    <row r="4" spans="1:21" ht="15" x14ac:dyDescent="0.25">
      <c r="A4" s="44"/>
      <c r="B4" s="51" t="e">
        <f>VLOOKUP(A4,Players!$B$2:$O$20,5,FALSE)</f>
        <v>#N/A</v>
      </c>
      <c r="C4" s="51" t="e">
        <f>VLOOKUP(A4,Players!$B$2:$O$20,6,FALSE)</f>
        <v>#N/A</v>
      </c>
      <c r="D4" s="51" t="e">
        <f>VLOOKUP(A4,Players!$B$2:$O$20,14,FALSE)</f>
        <v>#N/A</v>
      </c>
      <c r="E4" s="51" t="s">
        <v>144</v>
      </c>
      <c r="F4" s="51" t="s">
        <v>93</v>
      </c>
      <c r="G4" s="51">
        <f>VLOOKUP(F4,Players!$B$2:$O$20,14,FALSE)</f>
        <v>7</v>
      </c>
      <c r="H4" s="51">
        <f t="shared" ref="H4:H10" si="2">IF(E4="Cure Potion",40,IF(E4="Spell",PRODUCT(4,D4+G4),0))</f>
        <v>40</v>
      </c>
      <c r="I4" s="52" t="e">
        <f>IF(SUM(H4+B4)&lt;C4,SUM(H4+B4),C4)</f>
        <v>#N/A</v>
      </c>
      <c r="K4" s="45" t="s">
        <v>93</v>
      </c>
      <c r="L4" s="100" t="s">
        <v>176</v>
      </c>
      <c r="M4" s="64">
        <f t="shared" ref="M4:M17" ca="1" si="3">VLOOKUP($K4,INDIRECT("'"&amp;L4&amp;"'!$A$2:$F$10"),6,FALSE)</f>
        <v>60</v>
      </c>
      <c r="N4" s="51" t="s">
        <v>89</v>
      </c>
      <c r="O4" s="52"/>
      <c r="Q4" s="45" t="s">
        <v>93</v>
      </c>
      <c r="R4">
        <v>374</v>
      </c>
      <c r="S4" s="51">
        <f t="shared" si="0"/>
        <v>0</v>
      </c>
      <c r="T4" s="51"/>
      <c r="U4" s="52">
        <f t="shared" si="1"/>
        <v>374</v>
      </c>
    </row>
    <row r="5" spans="1:21" ht="15" x14ac:dyDescent="0.25">
      <c r="A5" s="44"/>
      <c r="B5" s="51" t="e">
        <f>VLOOKUP(A5,Players!$B$2:$O$20,5,FALSE)</f>
        <v>#N/A</v>
      </c>
      <c r="C5" s="51" t="e">
        <f>VLOOKUP(A5,Players!$B$2:$O$20,6,FALSE)</f>
        <v>#N/A</v>
      </c>
      <c r="D5" s="51" t="e">
        <f>VLOOKUP(A5,Players!$B$2:$O$20,14,FALSE)</f>
        <v>#N/A</v>
      </c>
      <c r="E5" s="51" t="s">
        <v>144</v>
      </c>
      <c r="F5" s="51" t="s">
        <v>92</v>
      </c>
      <c r="G5" s="51">
        <f>VLOOKUP(F5,Players!$B$2:$O$20,14,FALSE)</f>
        <v>8</v>
      </c>
      <c r="H5" s="51">
        <f t="shared" si="2"/>
        <v>40</v>
      </c>
      <c r="I5" s="52" t="e">
        <f t="shared" ref="I5:I10" si="4">IF(SUM(H5+B5)&lt;C5,SUM(H5+B5),C5)</f>
        <v>#N/A</v>
      </c>
      <c r="K5" s="45" t="s">
        <v>97</v>
      </c>
      <c r="L5" s="100" t="s">
        <v>176</v>
      </c>
      <c r="M5" s="64">
        <f t="shared" ca="1" si="3"/>
        <v>65</v>
      </c>
      <c r="N5" s="51" t="s">
        <v>88</v>
      </c>
      <c r="O5" s="52"/>
      <c r="Q5" s="45" t="s">
        <v>97</v>
      </c>
      <c r="R5">
        <v>366</v>
      </c>
      <c r="S5" s="51">
        <f t="shared" si="0"/>
        <v>0</v>
      </c>
      <c r="T5" s="51"/>
      <c r="U5" s="52">
        <f t="shared" si="1"/>
        <v>366</v>
      </c>
    </row>
    <row r="6" spans="1:21" ht="15" x14ac:dyDescent="0.25">
      <c r="A6" s="44"/>
      <c r="B6" s="51" t="e">
        <f>VLOOKUP(A6,Players!$B$2:$O$20,5,FALSE)</f>
        <v>#N/A</v>
      </c>
      <c r="C6" s="51" t="e">
        <f>VLOOKUP(A6,Players!$B$2:$O$20,6,FALSE)</f>
        <v>#N/A</v>
      </c>
      <c r="D6" s="51" t="e">
        <f>VLOOKUP(A6,Players!$B$2:$O$20,14,FALSE)</f>
        <v>#N/A</v>
      </c>
      <c r="E6" s="51" t="s">
        <v>144</v>
      </c>
      <c r="F6" s="51" t="s">
        <v>105</v>
      </c>
      <c r="G6" s="51">
        <f>VLOOKUP(F6,Players!$B$2:$O$20,14,FALSE)</f>
        <v>3</v>
      </c>
      <c r="H6" s="51">
        <f t="shared" si="2"/>
        <v>40</v>
      </c>
      <c r="I6" s="52" t="e">
        <f t="shared" si="4"/>
        <v>#N/A</v>
      </c>
      <c r="K6" s="45" t="s">
        <v>98</v>
      </c>
      <c r="L6" s="102" t="s">
        <v>189</v>
      </c>
      <c r="M6" s="64">
        <f t="shared" ca="1" si="3"/>
        <v>81</v>
      </c>
      <c r="N6" s="51" t="s">
        <v>190</v>
      </c>
      <c r="O6" s="52" t="s">
        <v>167</v>
      </c>
      <c r="Q6" s="45" t="s">
        <v>98</v>
      </c>
      <c r="R6">
        <v>463</v>
      </c>
      <c r="S6" s="51">
        <f t="shared" si="0"/>
        <v>0</v>
      </c>
      <c r="T6" s="51"/>
      <c r="U6" s="52">
        <f t="shared" si="1"/>
        <v>463</v>
      </c>
    </row>
    <row r="7" spans="1:21" ht="15" x14ac:dyDescent="0.25">
      <c r="A7" s="44"/>
      <c r="B7" s="51" t="e">
        <f>VLOOKUP(A7,Players!$B$2:$O$20,5,FALSE)</f>
        <v>#N/A</v>
      </c>
      <c r="C7" s="51" t="e">
        <f>VLOOKUP(A7,Players!$B$2:$O$20,6,FALSE)</f>
        <v>#N/A</v>
      </c>
      <c r="D7" s="51" t="e">
        <f>VLOOKUP(A7,Players!$B$2:$O$20,14,FALSE)</f>
        <v>#N/A</v>
      </c>
      <c r="E7" s="51" t="s">
        <v>84</v>
      </c>
      <c r="F7" s="51" t="s">
        <v>74</v>
      </c>
      <c r="G7" s="51">
        <f>VLOOKUP(F7,Players!$B$2:$O$20,14,FALSE)</f>
        <v>10</v>
      </c>
      <c r="H7" s="51" t="e">
        <f t="shared" si="2"/>
        <v>#N/A</v>
      </c>
      <c r="I7" s="52" t="e">
        <f t="shared" si="4"/>
        <v>#N/A</v>
      </c>
      <c r="K7" s="45" t="s">
        <v>76</v>
      </c>
      <c r="L7" s="83" t="s">
        <v>159</v>
      </c>
      <c r="M7" s="64">
        <f t="shared" ca="1" si="3"/>
        <v>52</v>
      </c>
      <c r="N7" s="51" t="s">
        <v>121</v>
      </c>
      <c r="O7" s="52" t="s">
        <v>187</v>
      </c>
      <c r="Q7" s="45" t="s">
        <v>76</v>
      </c>
      <c r="R7">
        <v>521</v>
      </c>
      <c r="S7" s="51">
        <f t="shared" si="0"/>
        <v>0</v>
      </c>
      <c r="T7" s="51"/>
      <c r="U7" s="52">
        <f t="shared" si="1"/>
        <v>521</v>
      </c>
    </row>
    <row r="8" spans="1:21" ht="15" x14ac:dyDescent="0.25">
      <c r="A8" s="44"/>
      <c r="B8" s="51" t="e">
        <f>VLOOKUP(A8,Players!$B$2:$O$20,5,FALSE)</f>
        <v>#N/A</v>
      </c>
      <c r="C8" s="51" t="e">
        <f>VLOOKUP(A8,Players!$B$2:$O$20,6,FALSE)</f>
        <v>#N/A</v>
      </c>
      <c r="D8" s="51" t="e">
        <f>VLOOKUP(A8,Players!$B$2:$O$20,14,FALSE)</f>
        <v>#N/A</v>
      </c>
      <c r="E8" s="51" t="s">
        <v>84</v>
      </c>
      <c r="F8" s="51" t="s">
        <v>133</v>
      </c>
      <c r="G8" s="51">
        <f>VLOOKUP(F8,Players!$B$2:$O$20,14,FALSE)</f>
        <v>19</v>
      </c>
      <c r="H8" s="51" t="e">
        <f t="shared" si="2"/>
        <v>#N/A</v>
      </c>
      <c r="I8" s="52" t="e">
        <f t="shared" si="4"/>
        <v>#N/A</v>
      </c>
      <c r="K8" s="46" t="s">
        <v>101</v>
      </c>
      <c r="L8" s="100" t="s">
        <v>177</v>
      </c>
      <c r="M8" s="64">
        <f t="shared" ca="1" si="3"/>
        <v>75</v>
      </c>
      <c r="N8" s="51" t="s">
        <v>104</v>
      </c>
      <c r="O8" s="52" t="s">
        <v>186</v>
      </c>
      <c r="Q8" s="46" t="s">
        <v>101</v>
      </c>
      <c r="R8">
        <v>279</v>
      </c>
      <c r="S8" s="51">
        <f t="shared" si="0"/>
        <v>0</v>
      </c>
      <c r="T8" s="51"/>
      <c r="U8" s="52">
        <f t="shared" si="1"/>
        <v>279</v>
      </c>
    </row>
    <row r="9" spans="1:21" ht="15" x14ac:dyDescent="0.25">
      <c r="A9" s="44"/>
      <c r="B9" s="51" t="e">
        <f>VLOOKUP(A9,Players!$B$2:$O$20,5,FALSE)</f>
        <v>#N/A</v>
      </c>
      <c r="C9" s="51" t="e">
        <f>VLOOKUP(A9,Players!$B$2:$O$20,6,FALSE)</f>
        <v>#N/A</v>
      </c>
      <c r="D9" s="51" t="e">
        <f>VLOOKUP(A9,Players!$B$2:$O$20,14,FALSE)</f>
        <v>#N/A</v>
      </c>
      <c r="E9" s="51" t="s">
        <v>84</v>
      </c>
      <c r="F9" s="51" t="s">
        <v>133</v>
      </c>
      <c r="G9" s="51">
        <f>VLOOKUP(F9,Players!$B$2:$O$20,14,FALSE)</f>
        <v>19</v>
      </c>
      <c r="H9" s="51" t="e">
        <f t="shared" si="2"/>
        <v>#N/A</v>
      </c>
      <c r="I9" s="52" t="e">
        <f t="shared" si="4"/>
        <v>#N/A</v>
      </c>
      <c r="K9" s="46" t="s">
        <v>105</v>
      </c>
      <c r="L9" s="100" t="s">
        <v>176</v>
      </c>
      <c r="M9" s="64">
        <f t="shared" ca="1" si="3"/>
        <v>69</v>
      </c>
      <c r="N9" s="51" t="s">
        <v>41</v>
      </c>
      <c r="O9" s="52" t="s">
        <v>186</v>
      </c>
      <c r="Q9" s="46" t="s">
        <v>105</v>
      </c>
      <c r="R9">
        <v>512</v>
      </c>
      <c r="S9" s="51">
        <f t="shared" si="0"/>
        <v>0</v>
      </c>
      <c r="T9" s="51"/>
      <c r="U9" s="52">
        <f t="shared" si="1"/>
        <v>512</v>
      </c>
    </row>
    <row r="10" spans="1:21" ht="15" x14ac:dyDescent="0.25">
      <c r="A10" s="44"/>
      <c r="B10" s="51" t="e">
        <f>VLOOKUP(A10,Players!$B$2:$O$20,5,FALSE)</f>
        <v>#N/A</v>
      </c>
      <c r="C10" s="51" t="e">
        <f>VLOOKUP(A10,Players!$B$2:$O$20,6,FALSE)</f>
        <v>#N/A</v>
      </c>
      <c r="D10" s="51" t="e">
        <f>VLOOKUP(A10,Players!$B$2:$O$20,14,FALSE)</f>
        <v>#N/A</v>
      </c>
      <c r="E10" s="51" t="s">
        <v>84</v>
      </c>
      <c r="F10" s="51" t="s">
        <v>133</v>
      </c>
      <c r="G10" s="51">
        <f>VLOOKUP(F10,Players!$B$2:$O$20,14,FALSE)</f>
        <v>19</v>
      </c>
      <c r="H10" s="51" t="e">
        <f t="shared" si="2"/>
        <v>#N/A</v>
      </c>
      <c r="I10" s="52" t="e">
        <f t="shared" si="4"/>
        <v>#N/A</v>
      </c>
      <c r="K10" s="46" t="s">
        <v>107</v>
      </c>
      <c r="L10" s="102" t="s">
        <v>188</v>
      </c>
      <c r="M10" s="64">
        <f t="shared" ca="1" si="3"/>
        <v>47</v>
      </c>
      <c r="N10" s="51" t="s">
        <v>121</v>
      </c>
      <c r="O10" s="52" t="s">
        <v>167</v>
      </c>
      <c r="Q10" s="46" t="s">
        <v>107</v>
      </c>
      <c r="R10">
        <v>354</v>
      </c>
      <c r="S10" s="51">
        <f t="shared" si="0"/>
        <v>0</v>
      </c>
      <c r="T10" s="51"/>
      <c r="U10" s="52">
        <f t="shared" si="1"/>
        <v>354</v>
      </c>
    </row>
    <row r="11" spans="1:21" ht="15.75" thickBot="1" x14ac:dyDescent="0.3">
      <c r="A11" s="43"/>
      <c r="B11" s="53"/>
      <c r="C11" s="53"/>
      <c r="D11" s="53"/>
      <c r="E11" s="53"/>
      <c r="F11" s="53"/>
      <c r="G11" s="53"/>
      <c r="H11" s="53"/>
      <c r="I11" s="54"/>
      <c r="K11" s="46" t="s">
        <v>109</v>
      </c>
      <c r="L11" s="83" t="s">
        <v>159</v>
      </c>
      <c r="M11" s="64">
        <f t="shared" ca="1" si="3"/>
        <v>56</v>
      </c>
      <c r="N11" s="51" t="s">
        <v>89</v>
      </c>
      <c r="O11" s="52"/>
      <c r="Q11" s="46" t="s">
        <v>109</v>
      </c>
      <c r="R11">
        <v>619</v>
      </c>
      <c r="S11" s="51">
        <f t="shared" si="0"/>
        <v>0</v>
      </c>
      <c r="T11" s="51"/>
      <c r="U11" s="52">
        <f t="shared" si="1"/>
        <v>619</v>
      </c>
    </row>
    <row r="12" spans="1:21" ht="15" x14ac:dyDescent="0.25">
      <c r="K12" s="46" t="s">
        <v>74</v>
      </c>
      <c r="L12" s="85" t="s">
        <v>166</v>
      </c>
      <c r="M12" s="64">
        <f t="shared" ca="1" si="3"/>
        <v>62</v>
      </c>
      <c r="N12" s="51"/>
      <c r="O12" s="52"/>
      <c r="Q12" s="46" t="s">
        <v>74</v>
      </c>
      <c r="R12">
        <v>563</v>
      </c>
      <c r="S12" s="51">
        <f t="shared" si="0"/>
        <v>0</v>
      </c>
      <c r="T12" s="51"/>
      <c r="U12" s="52">
        <f t="shared" si="1"/>
        <v>563</v>
      </c>
    </row>
    <row r="13" spans="1:21" ht="15" x14ac:dyDescent="0.25">
      <c r="A13" t="s">
        <v>153</v>
      </c>
      <c r="K13" s="46" t="s">
        <v>114</v>
      </c>
      <c r="L13" s="83" t="s">
        <v>159</v>
      </c>
      <c r="M13" s="64">
        <f t="shared" ca="1" si="3"/>
        <v>83</v>
      </c>
      <c r="N13" s="51" t="s">
        <v>111</v>
      </c>
      <c r="O13" s="52" t="s">
        <v>187</v>
      </c>
      <c r="Q13" s="46" t="s">
        <v>114</v>
      </c>
      <c r="R13">
        <v>377</v>
      </c>
      <c r="S13" s="51">
        <f t="shared" si="0"/>
        <v>0</v>
      </c>
      <c r="T13" s="51"/>
      <c r="U13" s="52">
        <f t="shared" si="1"/>
        <v>377</v>
      </c>
    </row>
    <row r="14" spans="1:21" ht="15" x14ac:dyDescent="0.25">
      <c r="A14" t="s">
        <v>74</v>
      </c>
      <c r="B14" t="s">
        <v>88</v>
      </c>
      <c r="C14">
        <v>1</v>
      </c>
      <c r="K14" s="46" t="s">
        <v>117</v>
      </c>
      <c r="L14" s="83" t="s">
        <v>117</v>
      </c>
      <c r="M14" s="64" t="e">
        <f t="shared" ca="1" si="3"/>
        <v>#REF!</v>
      </c>
      <c r="N14" s="51"/>
      <c r="O14" s="52"/>
      <c r="Q14" s="46" t="s">
        <v>117</v>
      </c>
      <c r="R14">
        <v>214</v>
      </c>
      <c r="S14" s="51">
        <f t="shared" si="0"/>
        <v>0</v>
      </c>
      <c r="T14" s="51"/>
      <c r="U14" s="52">
        <f t="shared" si="1"/>
        <v>214</v>
      </c>
    </row>
    <row r="15" spans="1:21" ht="15" x14ac:dyDescent="0.25">
      <c r="K15" s="46" t="s">
        <v>119</v>
      </c>
      <c r="L15" s="85" t="s">
        <v>166</v>
      </c>
      <c r="M15" s="64">
        <f t="shared" ca="1" si="3"/>
        <v>126</v>
      </c>
      <c r="N15" s="51"/>
      <c r="O15" s="52"/>
      <c r="Q15" s="46" t="s">
        <v>119</v>
      </c>
      <c r="R15">
        <v>241</v>
      </c>
      <c r="S15" s="51">
        <f t="shared" si="0"/>
        <v>0</v>
      </c>
      <c r="T15" s="51"/>
      <c r="U15" s="52">
        <f>S15+R15-T15</f>
        <v>241</v>
      </c>
    </row>
    <row r="16" spans="1:21" ht="15" x14ac:dyDescent="0.25">
      <c r="K16" s="47" t="s">
        <v>127</v>
      </c>
      <c r="L16" s="83" t="s">
        <v>159</v>
      </c>
      <c r="M16" s="64">
        <f t="shared" ca="1" si="3"/>
        <v>1</v>
      </c>
      <c r="N16" s="51" t="s">
        <v>123</v>
      </c>
      <c r="O16" s="52" t="s">
        <v>187</v>
      </c>
      <c r="Q16" s="47" t="s">
        <v>127</v>
      </c>
      <c r="R16">
        <v>332</v>
      </c>
      <c r="S16" s="51">
        <f t="shared" si="0"/>
        <v>0</v>
      </c>
      <c r="T16" s="51"/>
      <c r="U16" s="52">
        <f t="shared" si="1"/>
        <v>332</v>
      </c>
    </row>
    <row r="17" spans="11:21" ht="15" x14ac:dyDescent="0.25">
      <c r="K17" s="47" t="s">
        <v>125</v>
      </c>
      <c r="L17" s="83" t="s">
        <v>159</v>
      </c>
      <c r="M17" s="64">
        <f t="shared" ca="1" si="3"/>
        <v>29</v>
      </c>
      <c r="N17" s="51" t="s">
        <v>41</v>
      </c>
      <c r="O17" s="52" t="s">
        <v>187</v>
      </c>
      <c r="Q17" s="47" t="s">
        <v>125</v>
      </c>
      <c r="R17">
        <v>196</v>
      </c>
      <c r="S17" s="51">
        <f t="shared" si="0"/>
        <v>0</v>
      </c>
      <c r="T17" s="51"/>
      <c r="U17" s="52">
        <f t="shared" si="1"/>
        <v>196</v>
      </c>
    </row>
    <row r="18" spans="11:21" ht="15" x14ac:dyDescent="0.25">
      <c r="K18" s="44" t="s">
        <v>156</v>
      </c>
      <c r="L18" s="102" t="s">
        <v>188</v>
      </c>
      <c r="M18" s="61"/>
      <c r="N18" s="51" t="s">
        <v>88</v>
      </c>
      <c r="O18" s="52"/>
      <c r="Q18" s="44" t="s">
        <v>156</v>
      </c>
      <c r="R18">
        <v>173</v>
      </c>
      <c r="S18" s="51">
        <f t="shared" ref="S18" si="5">VLOOKUP(L18,R$26:S$34,2,FALSE)</f>
        <v>0</v>
      </c>
      <c r="T18" s="51"/>
      <c r="U18" s="52">
        <f t="shared" ref="U18" si="6">S18+R18-T18</f>
        <v>173</v>
      </c>
    </row>
    <row r="19" spans="11:21" x14ac:dyDescent="0.2">
      <c r="K19" s="44"/>
      <c r="L19" s="61"/>
      <c r="M19" s="61"/>
      <c r="N19" s="51"/>
      <c r="O19" s="52"/>
      <c r="Q19" s="44"/>
      <c r="R19" s="51"/>
      <c r="S19" s="51"/>
      <c r="T19" s="51"/>
      <c r="U19" s="52"/>
    </row>
    <row r="20" spans="11:21" x14ac:dyDescent="0.2">
      <c r="K20" s="44"/>
      <c r="L20" s="61"/>
      <c r="M20" s="61"/>
      <c r="N20" s="51"/>
      <c r="O20" s="52"/>
      <c r="Q20" s="44"/>
      <c r="R20" s="51"/>
      <c r="S20" s="51"/>
      <c r="T20" s="51"/>
      <c r="U20" s="52"/>
    </row>
    <row r="21" spans="11:21" x14ac:dyDescent="0.2">
      <c r="K21" s="44"/>
      <c r="L21" s="61"/>
      <c r="M21" s="61"/>
      <c r="N21" s="51"/>
      <c r="O21" s="52"/>
      <c r="Q21" s="44"/>
      <c r="R21" s="51"/>
      <c r="S21" s="51"/>
      <c r="T21" s="51"/>
      <c r="U21" s="52"/>
    </row>
    <row r="22" spans="11:21" ht="13.5" thickBot="1" x14ac:dyDescent="0.25">
      <c r="K22" s="43"/>
      <c r="L22" s="62"/>
      <c r="M22" s="62"/>
      <c r="N22" s="53"/>
      <c r="O22" s="54"/>
      <c r="Q22" s="43"/>
      <c r="R22" s="53"/>
      <c r="S22" s="53"/>
      <c r="T22" s="53"/>
      <c r="U22" s="54"/>
    </row>
    <row r="23" spans="11:21" ht="13.5" thickBot="1" x14ac:dyDescent="0.25"/>
    <row r="24" spans="11:21" ht="18.75" thickBot="1" x14ac:dyDescent="0.3">
      <c r="Q24" s="123" t="s">
        <v>152</v>
      </c>
      <c r="R24" s="124"/>
      <c r="S24" s="125"/>
    </row>
    <row r="25" spans="11:21" x14ac:dyDescent="0.2">
      <c r="Q25" s="72" t="s">
        <v>148</v>
      </c>
      <c r="R25" s="73" t="s">
        <v>147</v>
      </c>
      <c r="S25" s="74" t="s">
        <v>146</v>
      </c>
    </row>
    <row r="26" spans="11:21" x14ac:dyDescent="0.2">
      <c r="Q26" s="44">
        <v>4</v>
      </c>
      <c r="R26" s="61" t="str">
        <f t="shared" ref="R26:R31" si="7">INDEX(SheetNames,Q26)</f>
        <v>Below the Law - Roy</v>
      </c>
      <c r="S26" s="70"/>
    </row>
    <row r="27" spans="11:21" x14ac:dyDescent="0.2">
      <c r="Q27" s="44">
        <v>5</v>
      </c>
      <c r="R27" s="61" t="str">
        <f t="shared" si="7"/>
        <v>Below the Law - Assault</v>
      </c>
      <c r="S27" s="70"/>
    </row>
    <row r="28" spans="11:21" x14ac:dyDescent="0.2">
      <c r="Q28" s="44">
        <v>6</v>
      </c>
      <c r="R28" s="61" t="str">
        <f t="shared" si="7"/>
        <v>On Deadl-E Ground 1</v>
      </c>
      <c r="S28" s="70"/>
    </row>
    <row r="29" spans="11:21" x14ac:dyDescent="0.2">
      <c r="Q29" s="44">
        <v>7</v>
      </c>
      <c r="R29" s="61" t="str">
        <f t="shared" si="7"/>
        <v>On Deadl-E Ground 2-1</v>
      </c>
      <c r="S29" s="70"/>
    </row>
    <row r="30" spans="11:21" x14ac:dyDescent="0.2">
      <c r="Q30" s="44">
        <v>8</v>
      </c>
      <c r="R30" s="61" t="str">
        <f t="shared" si="7"/>
        <v>On Deadl-E Ground 2-2</v>
      </c>
      <c r="S30" s="70"/>
    </row>
    <row r="31" spans="11:21" x14ac:dyDescent="0.2">
      <c r="Q31" s="44">
        <v>9</v>
      </c>
      <c r="R31" s="61" t="str">
        <f t="shared" si="7"/>
        <v>Dark Territory</v>
      </c>
      <c r="S31" s="70"/>
    </row>
    <row r="32" spans="11:21" x14ac:dyDescent="0.2">
      <c r="Q32" s="44">
        <v>10</v>
      </c>
      <c r="R32" s="61" t="str">
        <f t="shared" ref="R32:R33" si="8">INDEX(SheetNames,Q32)</f>
        <v>Tankbot</v>
      </c>
      <c r="S32" s="70"/>
    </row>
    <row r="33" spans="17:19" x14ac:dyDescent="0.2">
      <c r="Q33" s="44">
        <v>11</v>
      </c>
      <c r="R33" s="61" t="e">
        <f t="shared" si="8"/>
        <v>#REF!</v>
      </c>
      <c r="S33" s="70"/>
    </row>
    <row r="34" spans="17:19" ht="13.5" thickBot="1" x14ac:dyDescent="0.25">
      <c r="Q34" s="43">
        <v>12</v>
      </c>
      <c r="R34" s="62" t="s">
        <v>160</v>
      </c>
      <c r="S34" s="71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7"/>
  <sheetViews>
    <sheetView workbookViewId="0">
      <selection activeCell="C8" sqref="C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168</v>
      </c>
      <c r="B2" t="s">
        <v>17</v>
      </c>
      <c r="C2">
        <v>1</v>
      </c>
      <c r="D2">
        <v>2</v>
      </c>
      <c r="E2">
        <v>5.8999999999999986</v>
      </c>
      <c r="F2">
        <v>45</v>
      </c>
      <c r="G2">
        <v>5</v>
      </c>
      <c r="H2">
        <v>5</v>
      </c>
      <c r="I2">
        <v>5</v>
      </c>
      <c r="J2">
        <v>5</v>
      </c>
      <c r="K2" t="str">
        <f>IF(NOT($B2="Enemy"),VLOOKUP($A2,Toolkit!$K$2:$O$37,4,FALSE),"")</f>
        <v/>
      </c>
      <c r="L2" t="str">
        <f>IF(NOT($B2="Enemy"),VLOOKUP($A2,Toolkit!$K$2:$O$37,5,FALSE),"")</f>
        <v/>
      </c>
      <c r="U2" t="s">
        <v>180</v>
      </c>
      <c r="V2" t="s">
        <v>181</v>
      </c>
    </row>
    <row r="3" spans="1:22" x14ac:dyDescent="0.2">
      <c r="A3" t="s">
        <v>168</v>
      </c>
      <c r="B3" t="s">
        <v>17</v>
      </c>
      <c r="C3">
        <v>0</v>
      </c>
      <c r="D3">
        <v>1</v>
      </c>
      <c r="E3">
        <v>5.3000000000000007</v>
      </c>
      <c r="F3">
        <v>0</v>
      </c>
      <c r="G3">
        <v>5</v>
      </c>
      <c r="H3">
        <v>5</v>
      </c>
      <c r="I3">
        <v>5</v>
      </c>
      <c r="J3">
        <v>5</v>
      </c>
      <c r="N3" t="s">
        <v>173</v>
      </c>
      <c r="O3" t="s">
        <v>173</v>
      </c>
      <c r="P3" t="s">
        <v>173</v>
      </c>
      <c r="Q3" t="s">
        <v>173</v>
      </c>
      <c r="R3" t="s">
        <v>173</v>
      </c>
      <c r="S3" t="s">
        <v>173</v>
      </c>
      <c r="U3" t="s">
        <v>182</v>
      </c>
      <c r="V3" t="s">
        <v>183</v>
      </c>
    </row>
    <row r="4" spans="1:22" x14ac:dyDescent="0.2">
      <c r="A4" t="s">
        <v>178</v>
      </c>
      <c r="B4" t="s">
        <v>17</v>
      </c>
      <c r="C4">
        <v>0</v>
      </c>
      <c r="D4">
        <v>1</v>
      </c>
      <c r="E4">
        <v>5.2</v>
      </c>
      <c r="F4">
        <v>0</v>
      </c>
      <c r="G4">
        <v>5</v>
      </c>
      <c r="H4">
        <v>5</v>
      </c>
      <c r="I4">
        <v>3</v>
      </c>
      <c r="J4">
        <v>5</v>
      </c>
      <c r="N4" t="s">
        <v>173</v>
      </c>
      <c r="O4" t="s">
        <v>173</v>
      </c>
      <c r="P4" t="s">
        <v>173</v>
      </c>
      <c r="Q4" t="s">
        <v>173</v>
      </c>
      <c r="R4" t="s">
        <v>173</v>
      </c>
      <c r="S4" t="s">
        <v>173</v>
      </c>
      <c r="U4" t="s">
        <v>184</v>
      </c>
      <c r="V4" t="s">
        <v>174</v>
      </c>
    </row>
    <row r="5" spans="1:22" x14ac:dyDescent="0.2">
      <c r="A5" t="s">
        <v>101</v>
      </c>
      <c r="B5" t="s">
        <v>16</v>
      </c>
      <c r="C5">
        <v>1</v>
      </c>
      <c r="D5">
        <v>1</v>
      </c>
      <c r="E5">
        <v>-2.46</v>
      </c>
      <c r="F5">
        <v>75</v>
      </c>
      <c r="G5">
        <v>6</v>
      </c>
      <c r="H5">
        <v>0</v>
      </c>
      <c r="I5">
        <v>0</v>
      </c>
      <c r="J5">
        <v>14</v>
      </c>
      <c r="K5" t="str">
        <f>IF(NOT($B5="Enemy"),VLOOKUP($A5,Toolkit!$K$2:$O$37,4,FALSE),"")</f>
        <v>Colt Gun</v>
      </c>
      <c r="L5" t="str">
        <f>IF(NOT($B5="Enemy"),VLOOKUP($A5,Toolkit!$K$2:$O$37,5,FALSE),"")</f>
        <v>Axe Gang</v>
      </c>
      <c r="U5" t="s">
        <v>185</v>
      </c>
      <c r="V5" t="s">
        <v>183</v>
      </c>
    </row>
    <row r="6" spans="1:22" x14ac:dyDescent="0.2">
      <c r="A6" t="s">
        <v>169</v>
      </c>
      <c r="B6" t="s">
        <v>17</v>
      </c>
      <c r="C6">
        <v>1</v>
      </c>
    </row>
    <row r="7" spans="1:22" x14ac:dyDescent="0.2">
      <c r="A7" t="s">
        <v>186</v>
      </c>
      <c r="B7" t="s">
        <v>17</v>
      </c>
      <c r="C7">
        <v>1</v>
      </c>
    </row>
  </sheetData>
  <dataValidations count="1">
    <dataValidation type="list" allowBlank="1" showInputMessage="1" showErrorMessage="1" sqref="L3:L4 L6:L19" xr:uid="{CD0C094A-3DD5-4259-8BD1-591C43C3DE05}">
      <formula1>$A$2:$A$19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662B-6A10-4392-912C-147DE21E84D3}">
  <sheetPr codeName="Sheet9"/>
  <dimension ref="A1:V7"/>
  <sheetViews>
    <sheetView workbookViewId="0">
      <selection activeCell="C8" sqref="C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105</v>
      </c>
      <c r="B2" t="s">
        <v>16</v>
      </c>
      <c r="C2">
        <v>1</v>
      </c>
      <c r="D2">
        <v>1</v>
      </c>
      <c r="F2">
        <f>VLOOKUP(A2,Players!$B$2:$F$30,5,FALSE)</f>
        <v>69</v>
      </c>
      <c r="K2" t="str">
        <f>IF(NOT($B2="Enemy"),VLOOKUP($A2,Toolkit!$K$2:$O$37,4,FALSE),"")</f>
        <v>Long Sword</v>
      </c>
      <c r="L2" t="str">
        <f>IF(NOT($B2="Enemy"),VLOOKUP($A2,Toolkit!$K$2:$O$37,5,FALSE),"")</f>
        <v>Axe Gang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f>VLOOKUP(A3,Players!$B$2:$F$30,5,FALSE)</f>
        <v>60</v>
      </c>
      <c r="K3" t="str">
        <f>IF(NOT($B3="Enemy"),VLOOKUP($A3,Toolkit!$K$2:$O$37,4,FALSE),"")</f>
        <v>Blizzard</v>
      </c>
      <c r="L3">
        <f>IF(NOT($B3="Enemy"),VLOOKUP($A3,Toolkit!$K$2:$O$37,5,FALSE),"")</f>
        <v>0</v>
      </c>
    </row>
    <row r="4" spans="1:22" x14ac:dyDescent="0.2">
      <c r="A4" t="s">
        <v>97</v>
      </c>
      <c r="B4" t="s">
        <v>16</v>
      </c>
      <c r="C4">
        <v>1</v>
      </c>
      <c r="D4">
        <v>3</v>
      </c>
      <c r="F4">
        <f>VLOOKUP(A4,Players!$B$2:$F$30,5,FALSE)</f>
        <v>65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169</v>
      </c>
      <c r="B5" t="s">
        <v>17</v>
      </c>
      <c r="C5">
        <v>2</v>
      </c>
    </row>
    <row r="6" spans="1:22" x14ac:dyDescent="0.2">
      <c r="A6" t="s">
        <v>178</v>
      </c>
      <c r="B6" t="s">
        <v>17</v>
      </c>
      <c r="C6">
        <v>2</v>
      </c>
    </row>
    <row r="7" spans="1:22" x14ac:dyDescent="0.2">
      <c r="A7" t="s">
        <v>186</v>
      </c>
      <c r="B7" t="s">
        <v>17</v>
      </c>
      <c r="C7">
        <v>2</v>
      </c>
    </row>
  </sheetData>
  <dataValidations count="1">
    <dataValidation type="list" allowBlank="1" showInputMessage="1" showErrorMessage="1" sqref="L5:L19" xr:uid="{E2062D79-ACEF-44DE-8A89-3F349CB35822}">
      <formula1>$A$2:$A$19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5"/>
  <sheetViews>
    <sheetView workbookViewId="0">
      <selection activeCell="J43" sqref="J4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62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175</v>
      </c>
      <c r="B4" t="s">
        <v>17</v>
      </c>
      <c r="C4">
        <v>2</v>
      </c>
    </row>
    <row r="5" spans="1:22" x14ac:dyDescent="0.2">
      <c r="A5" t="s">
        <v>167</v>
      </c>
      <c r="B5" t="s">
        <v>17</v>
      </c>
      <c r="C5">
        <v>2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3"/>
  <sheetViews>
    <sheetView workbookViewId="0">
      <selection activeCell="K43" sqref="K4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 t="str">
        <f>IF(NOT($B2="Enemy"),VLOOKUP($A2,Toolkit!$K$2:$O$37,4,FALSE),"")</f>
        <v>Mandible</v>
      </c>
      <c r="L2" t="str">
        <f>IF(NOT($B2="Enemy"),VLOOKUP($A2,Toolkit!$K$2:$O$37,5,FALSE),"")</f>
        <v>Skelton</v>
      </c>
    </row>
    <row r="3" spans="1:22" x14ac:dyDescent="0.2">
      <c r="A3" t="s">
        <v>167</v>
      </c>
      <c r="B3" t="s">
        <v>17</v>
      </c>
      <c r="C3">
        <v>1</v>
      </c>
    </row>
  </sheetData>
  <dataValidations count="1">
    <dataValidation type="list" allowBlank="1" showInputMessage="1" showErrorMessage="1" sqref="L3:L19" xr:uid="{9E198A22-BFFD-4773-BB4A-110DC94C80AD}">
      <formula1>$A$2:$A$19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988E4-0500-4CD1-AD62-14A0B9741573}">
  <sheetPr codeName="Sheet10"/>
  <dimension ref="A1:V4"/>
  <sheetViews>
    <sheetView workbookViewId="0">
      <selection activeCell="F2" sqref="F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107</v>
      </c>
      <c r="B2" t="s">
        <v>16</v>
      </c>
      <c r="C2">
        <v>1</v>
      </c>
      <c r="D2">
        <v>1</v>
      </c>
      <c r="F2">
        <f>VLOOKUP(A2,Players!$B$2:$F$30,5,FALSE)</f>
        <v>47</v>
      </c>
      <c r="K2" t="str">
        <f>IF(NOT($B2="Enemy"),VLOOKUP($A2,Toolkit!$K$2:$O$37,4,FALSE),"")</f>
        <v>Strike</v>
      </c>
      <c r="L2" t="str">
        <f>IF(NOT($B2="Enemy"),VLOOKUP($A2,Toolkit!$K$2:$O$37,5,FALSE),"")</f>
        <v>Skelton</v>
      </c>
    </row>
    <row r="3" spans="1:22" x14ac:dyDescent="0.2">
      <c r="A3" t="s">
        <v>156</v>
      </c>
      <c r="B3" t="s">
        <v>16</v>
      </c>
      <c r="C3">
        <v>1</v>
      </c>
      <c r="D3">
        <v>2</v>
      </c>
      <c r="F3">
        <f>VLOOKUP(A3,Players!$B$2:$F$30,5,FALSE)</f>
        <v>52</v>
      </c>
      <c r="K3" t="str">
        <f>IF(NOT($B3="Enemy"),VLOOKUP($A3,Toolkit!$K$2:$O$37,4,FALSE),"")</f>
        <v>Flame</v>
      </c>
      <c r="L3">
        <f>IF(NOT($B3="Enemy"),VLOOKUP($A3,Toolkit!$K$2:$O$37,5,FALSE),"")</f>
        <v>0</v>
      </c>
    </row>
    <row r="4" spans="1:22" x14ac:dyDescent="0.2">
      <c r="A4" t="s">
        <v>167</v>
      </c>
      <c r="B4" t="s">
        <v>17</v>
      </c>
      <c r="C4">
        <v>2</v>
      </c>
    </row>
  </sheetData>
  <dataValidations count="1">
    <dataValidation type="list" allowBlank="1" showInputMessage="1" showErrorMessage="1" sqref="L4:L19" xr:uid="{403C9642-10DE-48D6-8720-C12F175690FF}">
      <formula1>$A$2:$A$19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D8" sqref="D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114</v>
      </c>
      <c r="B2" t="s">
        <v>16</v>
      </c>
      <c r="C2">
        <v>1</v>
      </c>
      <c r="D2">
        <v>1</v>
      </c>
      <c r="F2">
        <f>VLOOKUP(A2,Players!$B$2:$F$30,5,FALSE)</f>
        <v>83</v>
      </c>
      <c r="K2" t="str">
        <f>IF(NOT($B2="Enemy"),VLOOKUP($A2,Toolkit!$K$2:$O$37,4,FALSE),"")</f>
        <v>Hammer</v>
      </c>
      <c r="L2" t="str">
        <f>IF(NOT($B2="Enemy"),VLOOKUP($A2,Toolkit!$K$2:$O$37,5,FALSE),"")</f>
        <v>BabyWyrm</v>
      </c>
    </row>
    <row r="3" spans="1:22" x14ac:dyDescent="0.2">
      <c r="A3" t="s">
        <v>125</v>
      </c>
      <c r="B3" t="s">
        <v>16</v>
      </c>
      <c r="C3">
        <v>1</v>
      </c>
      <c r="D3">
        <v>2</v>
      </c>
      <c r="F3">
        <f>VLOOKUP(A3,Players!$B$2:$F$30,5,FALSE)</f>
        <v>29</v>
      </c>
      <c r="K3" t="str">
        <f>IF(NOT($B3="Enemy"),VLOOKUP($A3,Toolkit!$K$2:$O$37,4,FALSE),"")</f>
        <v>Long Sword</v>
      </c>
      <c r="L3" t="str">
        <f>IF(NOT($B3="Enemy"),VLOOKUP($A3,Toolkit!$K$2:$O$37,5,FALSE),"")</f>
        <v>BabyWyrm</v>
      </c>
    </row>
    <row r="4" spans="1:22" x14ac:dyDescent="0.2">
      <c r="A4" t="s">
        <v>127</v>
      </c>
      <c r="B4" t="s">
        <v>16</v>
      </c>
      <c r="C4">
        <v>1</v>
      </c>
      <c r="D4">
        <v>3</v>
      </c>
      <c r="F4">
        <f>VLOOKUP(A4,Players!$B$2:$F$30,5,FALSE)</f>
        <v>1</v>
      </c>
      <c r="K4" t="str">
        <f>IF(NOT($B4="Enemy"),VLOOKUP($A4,Toolkit!$K$2:$O$37,4,FALSE),"")</f>
        <v>Rapier</v>
      </c>
      <c r="L4" t="str">
        <f>IF(NOT($B4="Enemy"),VLOOKUP($A4,Toolkit!$K$2:$O$37,5,FALSE),"")</f>
        <v>BabyWyrm</v>
      </c>
    </row>
    <row r="5" spans="1:22" x14ac:dyDescent="0.2">
      <c r="A5" t="s">
        <v>92</v>
      </c>
      <c r="B5" t="s">
        <v>16</v>
      </c>
      <c r="C5">
        <v>1</v>
      </c>
      <c r="D5">
        <v>4</v>
      </c>
      <c r="F5">
        <f>VLOOKUP(A5,Players!$B$2:$F$30,5,FALSE)</f>
        <v>61</v>
      </c>
      <c r="K5" t="str">
        <f>IF(NOT($B5="Enemy"),VLOOKUP($A5,Toolkit!$K$2:$O$37,4,FALSE),"")</f>
        <v>8-Legs</v>
      </c>
      <c r="L5" t="str">
        <f>IF(NOT($B5="Enemy"),VLOOKUP($A5,Toolkit!$K$2:$O$37,5,FALSE),"")</f>
        <v>BabyWyrm</v>
      </c>
    </row>
    <row r="6" spans="1:22" x14ac:dyDescent="0.2">
      <c r="A6" t="s">
        <v>76</v>
      </c>
      <c r="B6" t="s">
        <v>16</v>
      </c>
      <c r="C6">
        <v>1</v>
      </c>
      <c r="D6">
        <v>5</v>
      </c>
      <c r="F6">
        <f>VLOOKUP(A6,Players!$B$2:$F$30,5,FALSE)</f>
        <v>52</v>
      </c>
      <c r="K6" t="str">
        <f>IF(NOT($B6="Enemy"),VLOOKUP($A6,Toolkit!$K$2:$O$37,4,FALSE),"")</f>
        <v>Strike</v>
      </c>
      <c r="L6" t="str">
        <f>IF(NOT($B6="Enemy"),VLOOKUP($A6,Toolkit!$K$2:$O$37,5,FALSE),"")</f>
        <v>BabyWyrm</v>
      </c>
    </row>
    <row r="7" spans="1:22" x14ac:dyDescent="0.2">
      <c r="A7" t="s">
        <v>109</v>
      </c>
      <c r="B7" t="s">
        <v>16</v>
      </c>
      <c r="C7">
        <v>1</v>
      </c>
      <c r="D7">
        <v>6</v>
      </c>
      <c r="F7">
        <f>VLOOKUP(A7,Players!$B$2:$F$30,5,FALSE)</f>
        <v>56</v>
      </c>
      <c r="K7" t="str">
        <f>IF(NOT($B7="Enemy"),VLOOKUP($A7,Toolkit!$K$2:$O$37,4,FALSE),"")</f>
        <v>Blizzard</v>
      </c>
      <c r="L7">
        <f>IF(NOT($B7="Enemy"),VLOOKUP($A7,Toolkit!$K$2:$O$37,5,FALSE),"")</f>
        <v>0</v>
      </c>
    </row>
    <row r="8" spans="1:22" x14ac:dyDescent="0.2">
      <c r="A8" t="s">
        <v>187</v>
      </c>
      <c r="B8" t="s">
        <v>17</v>
      </c>
      <c r="C8">
        <v>4</v>
      </c>
    </row>
  </sheetData>
  <sortState xmlns:xlrd2="http://schemas.microsoft.com/office/spreadsheetml/2017/richdata2" ref="A2:L7">
    <sortCondition ref="D2:D7"/>
  </sortState>
  <dataValidations count="1">
    <dataValidation type="list" allowBlank="1" showInputMessage="1" showErrorMessage="1" sqref="L8:L14" xr:uid="{EBB04A11-21ED-4407-A460-0F9206DD93AC}">
      <formula1>$A$2:$A$14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Players</vt:lpstr>
      <vt:lpstr>Toolkit</vt:lpstr>
      <vt:lpstr>Template</vt:lpstr>
      <vt:lpstr>Below the Law - Roy</vt:lpstr>
      <vt:lpstr>Below the Law - Assault</vt:lpstr>
      <vt:lpstr>On Deadl-E Ground 1</vt:lpstr>
      <vt:lpstr>On Deadl-E Ground 2-1</vt:lpstr>
      <vt:lpstr>On Deadl-E Ground 2-2</vt:lpstr>
      <vt:lpstr>Dark Territory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2020-03-06T03:17:06Z</dcterms:modified>
</cp:coreProperties>
</file>