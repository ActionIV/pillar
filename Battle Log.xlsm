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DF87670D-788F-4D2D-A617-4EB422FDA50E}" xr6:coauthVersionLast="43" xr6:coauthVersionMax="43" xr10:uidLastSave="{00000000-0000-0000-0000-000000000000}"/>
  <bookViews>
    <workbookView xWindow="-120" yWindow="-120" windowWidth="29040" windowHeight="15840" tabRatio="838" xr2:uid="{00000000-000D-0000-FFFF-FFFF00000000}"/>
  </bookViews>
  <sheets>
    <sheet name="Players" sheetId="16" r:id="rId1"/>
    <sheet name="Template" sheetId="1" r:id="rId2"/>
    <sheet name="Front 1" sheetId="17" r:id="rId3"/>
    <sheet name="Front 2" sheetId="18" r:id="rId4"/>
    <sheet name="Front 3" sheetId="19" r:id="rId5"/>
    <sheet name="Front 4" sheetId="20" r:id="rId6"/>
  </sheets>
  <externalReferences>
    <externalReference r:id="rId7"/>
  </externalReferenc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4" i="16" l="1"/>
  <c r="AP2" i="16"/>
  <c r="AP3" i="16"/>
  <c r="AP4" i="16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M2" i="16"/>
  <c r="AM3" i="16"/>
  <c r="AM4" i="16"/>
  <c r="AM5" i="16"/>
  <c r="AM6" i="16"/>
  <c r="AM7" i="16"/>
  <c r="AM8" i="16"/>
  <c r="AM9" i="16"/>
  <c r="AM10" i="16"/>
  <c r="AM11" i="16"/>
  <c r="AM12" i="16"/>
  <c r="AM13" i="16"/>
  <c r="AM14" i="16"/>
  <c r="AM15" i="16"/>
  <c r="AM16" i="16"/>
  <c r="AM17" i="16"/>
  <c r="AJ2" i="16"/>
  <c r="AJ3" i="16"/>
  <c r="AJ4" i="16"/>
  <c r="AJ5" i="16"/>
  <c r="AJ6" i="16"/>
  <c r="AJ7" i="16"/>
  <c r="AJ8" i="16"/>
  <c r="AJ9" i="16"/>
  <c r="AJ10" i="16"/>
  <c r="AJ11" i="16"/>
  <c r="AJ12" i="16"/>
  <c r="AJ13" i="16"/>
  <c r="AJ14" i="16"/>
  <c r="AJ15" i="16"/>
  <c r="AJ16" i="16"/>
  <c r="AJ17" i="16"/>
  <c r="AG2" i="16"/>
  <c r="AG3" i="16"/>
  <c r="AG4" i="16"/>
  <c r="AG5" i="16"/>
  <c r="AG6" i="16"/>
  <c r="AG7" i="16"/>
  <c r="AG8" i="16"/>
  <c r="AG9" i="16"/>
  <c r="AG10" i="16"/>
  <c r="AG11" i="16"/>
  <c r="AG12" i="16"/>
  <c r="AG13" i="16"/>
  <c r="AG14" i="16"/>
  <c r="AG15" i="16"/>
  <c r="AG16" i="16"/>
  <c r="AG17" i="16"/>
  <c r="AD2" i="16"/>
  <c r="AD3" i="16"/>
  <c r="AD4" i="16"/>
  <c r="AD5" i="16"/>
  <c r="AD6" i="16"/>
  <c r="AD7" i="16"/>
  <c r="AD8" i="16"/>
  <c r="AD9" i="16"/>
  <c r="AD10" i="16"/>
  <c r="AD11" i="16"/>
  <c r="AD12" i="16"/>
  <c r="AD13" i="16"/>
  <c r="AD14" i="16"/>
  <c r="AD15" i="16"/>
  <c r="AD16" i="16"/>
  <c r="AD17" i="16"/>
  <c r="AA2" i="16"/>
  <c r="AA3" i="16"/>
  <c r="AA4" i="16"/>
  <c r="AA5" i="16"/>
  <c r="AA6" i="16"/>
  <c r="AA7" i="16"/>
  <c r="AA8" i="16"/>
  <c r="AA9" i="16"/>
  <c r="AA10" i="16"/>
  <c r="AA11" i="16"/>
  <c r="AA12" i="16"/>
  <c r="AA13" i="16"/>
  <c r="AA14" i="16"/>
  <c r="AA15" i="16"/>
  <c r="AA16" i="16"/>
  <c r="AA17" i="16"/>
  <c r="O17" i="16"/>
  <c r="O16" i="16"/>
  <c r="O15" i="16"/>
  <c r="O14" i="16"/>
  <c r="O13" i="16"/>
  <c r="O12" i="16"/>
  <c r="O11" i="16"/>
  <c r="O10" i="16"/>
  <c r="O9" i="16"/>
  <c r="O8" i="16"/>
  <c r="O7" i="16"/>
  <c r="O6" i="16"/>
  <c r="O5" i="16"/>
  <c r="O4" i="16"/>
  <c r="O3" i="16"/>
  <c r="O2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4" i="16"/>
  <c r="M3" i="16"/>
  <c r="M2" i="16"/>
  <c r="K17" i="16"/>
  <c r="K16" i="16"/>
  <c r="K15" i="16"/>
  <c r="K14" i="16"/>
  <c r="K13" i="16"/>
  <c r="K12" i="16"/>
  <c r="K11" i="16"/>
  <c r="K10" i="16"/>
  <c r="K9" i="16"/>
  <c r="K8" i="16"/>
  <c r="K7" i="16"/>
  <c r="K6" i="16"/>
  <c r="K5" i="16"/>
  <c r="K4" i="16"/>
  <c r="K3" i="16"/>
  <c r="K2" i="16"/>
  <c r="I17" i="16"/>
  <c r="I16" i="16"/>
  <c r="I15" i="16"/>
  <c r="I14" i="16"/>
  <c r="I13" i="16"/>
  <c r="I12" i="16"/>
  <c r="I11" i="16"/>
  <c r="I10" i="16"/>
  <c r="I9" i="16"/>
  <c r="I8" i="16"/>
  <c r="I7" i="16"/>
  <c r="I6" i="16"/>
  <c r="I5" i="16"/>
  <c r="I4" i="16"/>
  <c r="I3" i="16"/>
  <c r="I2" i="16"/>
  <c r="G15" i="16"/>
  <c r="G11" i="16"/>
  <c r="G10" i="16"/>
  <c r="G9" i="16"/>
  <c r="G12" i="16" l="1"/>
  <c r="G17" i="16"/>
  <c r="G3" i="16"/>
  <c r="X2" i="16"/>
  <c r="X3" i="16"/>
  <c r="X4" i="16"/>
  <c r="X5" i="16"/>
  <c r="X6" i="16"/>
  <c r="X7" i="16"/>
  <c r="X8" i="16"/>
  <c r="X9" i="16"/>
  <c r="X10" i="16"/>
  <c r="X11" i="16"/>
  <c r="X12" i="16"/>
  <c r="X13" i="16"/>
  <c r="X14" i="16"/>
  <c r="X15" i="16"/>
  <c r="X16" i="16"/>
  <c r="X17" i="16"/>
  <c r="U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R2" i="16"/>
  <c r="R3" i="16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17" i="16"/>
  <c r="A16" i="16" l="1"/>
  <c r="A17" i="16"/>
  <c r="A18" i="16"/>
  <c r="I18" i="16" l="1"/>
  <c r="O18" i="16"/>
  <c r="M18" i="16"/>
  <c r="A15" i="16" l="1"/>
  <c r="A14" i="16" l="1"/>
  <c r="A13" i="16" l="1"/>
  <c r="A12" i="16" l="1"/>
  <c r="A11" i="16" l="1"/>
  <c r="A10" i="16"/>
  <c r="A9" i="16" l="1"/>
  <c r="A8" i="16" l="1"/>
  <c r="A2" i="16" l="1"/>
  <c r="A3" i="16"/>
  <c r="A4" i="16"/>
  <c r="A5" i="16"/>
  <c r="A6" i="16"/>
  <c r="A7" i="16"/>
  <c r="AD18" i="16" l="1"/>
  <c r="AP18" i="16"/>
  <c r="AJ18" i="16"/>
  <c r="R18" i="16"/>
  <c r="AA18" i="16"/>
  <c r="AM18" i="16"/>
  <c r="U18" i="16"/>
  <c r="X18" i="16"/>
  <c r="AG18" i="16"/>
  <c r="K18" i="16" l="1"/>
</calcChain>
</file>

<file path=xl/sharedStrings.xml><?xml version="1.0" encoding="utf-8"?>
<sst xmlns="http://schemas.openxmlformats.org/spreadsheetml/2006/main" count="700" uniqueCount="195">
  <si>
    <t>NAME</t>
  </si>
  <si>
    <t>HUME</t>
  </si>
  <si>
    <t>MONS</t>
  </si>
  <si>
    <t>Nail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</si>
  <si>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</si>
  <si>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</si>
  <si>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</si>
  <si>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</si>
  <si>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</si>
  <si>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</si>
  <si>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</si>
  <si>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</si>
  <si>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</si>
  <si>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</si>
  <si>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</si>
  <si>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</si>
  <si>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</si>
  <si>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</si>
  <si>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</si>
  <si>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</si>
  <si>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</si>
  <si>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</si>
  <si>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</si>
  <si>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</si>
  <si>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</si>
  <si>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</si>
  <si>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Robot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</si>
  <si>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</si>
  <si>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</si>
  <si>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</si>
  <si>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</si>
  <si>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</si>
  <si>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</si>
  <si>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</si>
  <si>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</si>
  <si>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</si>
  <si>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</si>
  <si>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</si>
  <si>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</si>
  <si>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</si>
  <si>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</si>
  <si>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</si>
  <si>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</si>
  <si>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</si>
  <si>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</si>
  <si>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</si>
  <si>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</si>
  <si>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</si>
  <si>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</si>
  <si>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</si>
  <si>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</si>
  <si>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</si>
  <si>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</si>
  <si>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</si>
  <si>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</si>
  <si>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</si>
  <si>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</si>
  <si>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</si>
  <si>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</si>
  <si>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</si>
  <si>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</si>
  <si>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Haste, Haste</t>
  </si>
  <si>
    <t>STATS USED</t>
  </si>
  <si>
    <t>Human</t>
  </si>
  <si>
    <t>Mutant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</si>
  <si>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</si>
  <si>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</si>
  <si>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</si>
  <si>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</si>
  <si>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</si>
  <si>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</si>
  <si>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</si>
  <si>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</si>
  <si>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</si>
  <si>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</si>
  <si>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</si>
  <si>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</si>
  <si>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</si>
  <si>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</si>
  <si>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DarthCansupes</t>
  </si>
  <si>
    <t>Rando</t>
  </si>
  <si>
    <t>beege_man</t>
  </si>
  <si>
    <t>Beetle</t>
  </si>
  <si>
    <t>Zombie</t>
  </si>
  <si>
    <t>Bubble</t>
  </si>
  <si>
    <t>XScorpion</t>
  </si>
  <si>
    <t>Bubbleboots</t>
  </si>
  <si>
    <t>goatfishman</t>
  </si>
  <si>
    <t>Sandy</t>
  </si>
  <si>
    <t>Qazitory</t>
  </si>
  <si>
    <t>Astrid</t>
  </si>
  <si>
    <t>AstralEsper</t>
  </si>
  <si>
    <t>Obrez</t>
  </si>
  <si>
    <t>Backflippius</t>
  </si>
  <si>
    <t>Elishar</t>
  </si>
  <si>
    <t>Primus_Ultimas</t>
  </si>
  <si>
    <t>Tapioca</t>
  </si>
  <si>
    <t>Nobishnar</t>
  </si>
  <si>
    <t>Slime</t>
  </si>
  <si>
    <t>Tsumetai</t>
  </si>
  <si>
    <t>Linguar82</t>
  </si>
  <si>
    <t>Phil</t>
  </si>
  <si>
    <t>SchlossRitter</t>
  </si>
  <si>
    <t>Terrance</t>
  </si>
  <si>
    <t>Booguwah61482</t>
  </si>
  <si>
    <t>Barracud</t>
  </si>
  <si>
    <t>BYTE</t>
  </si>
  <si>
    <t>ZomBULL</t>
  </si>
  <si>
    <t>Trog</t>
  </si>
  <si>
    <t>ChainSaw</t>
  </si>
  <si>
    <t>O-Pa/Po</t>
  </si>
  <si>
    <t>kW B-Exp</t>
  </si>
  <si>
    <t>Hammer</t>
  </si>
  <si>
    <t>Bronze Glove</t>
  </si>
  <si>
    <t>Bronze Helm</t>
  </si>
  <si>
    <t>Bow</t>
  </si>
  <si>
    <t>Rapier</t>
  </si>
  <si>
    <t>Silver Glove</t>
  </si>
  <si>
    <t>Colt Gun</t>
  </si>
  <si>
    <t>Mini Tank</t>
  </si>
  <si>
    <t>Flame</t>
  </si>
  <si>
    <t>Warning</t>
  </si>
  <si>
    <t>Bronze Armor</t>
  </si>
  <si>
    <t>Silver Armor</t>
  </si>
  <si>
    <t>Revenge Sword</t>
  </si>
  <si>
    <t>Whip</t>
  </si>
  <si>
    <t>Strike</t>
  </si>
  <si>
    <t>HeadButt</t>
  </si>
  <si>
    <t>Cure Book</t>
  </si>
  <si>
    <t>Sleep Book</t>
  </si>
  <si>
    <t>Spark Book</t>
  </si>
  <si>
    <t>Silver Helm</t>
  </si>
  <si>
    <t>PowerUp</t>
  </si>
  <si>
    <t>Surprise</t>
  </si>
  <si>
    <t>Thunder</t>
  </si>
  <si>
    <t>O-Para</t>
  </si>
  <si>
    <t>Haste</t>
  </si>
  <si>
    <t>O-Quake</t>
  </si>
  <si>
    <t>O-Poison</t>
  </si>
  <si>
    <t>Blitz</t>
  </si>
  <si>
    <t>Remedy</t>
  </si>
  <si>
    <t>Mirror</t>
  </si>
  <si>
    <t>Ursula</t>
  </si>
  <si>
    <t>Voltgloss</t>
  </si>
  <si>
    <t>SMG</t>
  </si>
  <si>
    <t>gameenjoyer</t>
  </si>
  <si>
    <t>WereRat</t>
  </si>
  <si>
    <t>Squard</t>
  </si>
  <si>
    <t>Eagle</t>
  </si>
  <si>
    <t>Tusk</t>
  </si>
  <si>
    <t>Pebble</t>
  </si>
  <si>
    <t>Dissolve</t>
  </si>
  <si>
    <t>Fin</t>
  </si>
  <si>
    <t>None</t>
  </si>
  <si>
    <t>Single</t>
  </si>
  <si>
    <t>n</t>
  </si>
  <si>
    <t>Agl</t>
  </si>
  <si>
    <t>Str</t>
  </si>
  <si>
    <t>Mana</t>
  </si>
  <si>
    <t>Pincer</t>
  </si>
  <si>
    <t>blank</t>
  </si>
  <si>
    <t>X-Ice</t>
  </si>
  <si>
    <t>X-Fire</t>
  </si>
  <si>
    <t>Wind Up</t>
  </si>
  <si>
    <t>O-Fire</t>
  </si>
  <si>
    <t>X-Thunder</t>
  </si>
  <si>
    <t>Recover</t>
  </si>
  <si>
    <t>Group</t>
  </si>
  <si>
    <t>Sand</t>
  </si>
  <si>
    <t>Beak, Beak</t>
  </si>
  <si>
    <t>Agl, Agl</t>
  </si>
  <si>
    <t>Fin, Fin</t>
  </si>
  <si>
    <t>Str, Str</t>
  </si>
  <si>
    <t>Pincer, Pincer</t>
  </si>
  <si>
    <t>Thunder, Strike</t>
  </si>
  <si>
    <t>Mana, Mix</t>
  </si>
  <si>
    <t>Spark Book, Spark Book</t>
  </si>
  <si>
    <t>Mana, Mana</t>
  </si>
  <si>
    <t>Strike, HeadButt</t>
  </si>
  <si>
    <t>Mix, Mix</t>
  </si>
  <si>
    <t>SMG, SMG</t>
  </si>
  <si>
    <t>Wind Up, Wind Up</t>
  </si>
  <si>
    <t>Nail, Nail</t>
  </si>
  <si>
    <t>Flame, Flame</t>
  </si>
  <si>
    <t>PowerUp, Long Sword</t>
  </si>
  <si>
    <t>Mana, Str</t>
  </si>
  <si>
    <t>Revenge Sword, Whip</t>
  </si>
  <si>
    <t>Rapier, Haste, Rapier</t>
  </si>
  <si>
    <t>Agl, Mana, Agl</t>
  </si>
  <si>
    <t>ChainSaw, ChainSaw, ChainSaw</t>
  </si>
  <si>
    <t>Str, Str, Str</t>
  </si>
  <si>
    <t>Fin, Fin, Fin</t>
  </si>
  <si>
    <t>Agl, Agl, Agl</t>
  </si>
  <si>
    <t>Tusk, Tusk, Tusk</t>
  </si>
  <si>
    <t>Fire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</si>
</sst>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26" fillId="0" borderId="0"/>
  </cellStyleXfs>
  <cellXfs count="52">
    <xf numFmtId="0" fontId="0" fillId="0" borderId="0" xfId="0"/>
    <xf numFmtId="0" fontId="26" fillId="0" borderId="0" xfId="1"/>
    <xf numFmtId="0" fontId="16" fillId="0" borderId="0" xfId="1" applyFont="1"/>
    <xf numFmtId="0" fontId="26" fillId="2" borderId="0" xfId="1" applyFill="1"/>
    <xf numFmtId="0" fontId="12" fillId="0" borderId="0" xfId="1" applyFont="1"/>
    <xf numFmtId="0" fontId="10" fillId="0" borderId="0" xfId="1" applyFont="1"/>
    <xf numFmtId="0" fontId="26" fillId="0" borderId="1" xfId="1" applyBorder="1"/>
    <xf numFmtId="0" fontId="14" fillId="0" borderId="1" xfId="1" applyFont="1" applyBorder="1"/>
    <xf numFmtId="0" fontId="13" fillId="0" borderId="1" xfId="1" applyFont="1" applyBorder="1"/>
    <xf numFmtId="0" fontId="12" fillId="0" borderId="1" xfId="1" applyFont="1" applyBorder="1"/>
    <xf numFmtId="0" fontId="15" fillId="0" borderId="1" xfId="1" applyFont="1" applyBorder="1"/>
    <xf numFmtId="0" fontId="10" fillId="0" borderId="1" xfId="1" applyFont="1" applyBorder="1"/>
    <xf numFmtId="0" fontId="21" fillId="0" borderId="1" xfId="1" applyFont="1" applyBorder="1"/>
    <xf numFmtId="0" fontId="9" fillId="0" borderId="0" xfId="1" applyFont="1"/>
    <xf numFmtId="0" fontId="26" fillId="0" borderId="0" xfId="1" applyBorder="1"/>
    <xf numFmtId="0" fontId="26" fillId="2" borderId="5" xfId="1" applyFill="1" applyBorder="1"/>
    <xf numFmtId="0" fontId="9" fillId="0" borderId="2" xfId="1" applyFont="1" applyBorder="1" applyAlignment="1">
      <alignment horizontal="center" wrapText="1"/>
    </xf>
    <xf numFmtId="0" fontId="26" fillId="0" borderId="0" xfId="1" applyAlignment="1">
      <alignment horizontal="center"/>
    </xf>
    <xf numFmtId="0" fontId="22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3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0" fontId="11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10" fillId="0" borderId="0" xfId="1" applyFont="1" applyAlignment="1">
      <alignment horizontal="center"/>
    </xf>
    <xf numFmtId="0" fontId="26" fillId="0" borderId="2" xfId="1" applyBorder="1" applyAlignment="1">
      <alignment horizontal="center" wrapText="1"/>
    </xf>
    <xf numFmtId="0" fontId="26" fillId="2" borderId="2" xfId="1" applyFill="1" applyBorder="1" applyAlignment="1">
      <alignment horizontal="center" wrapText="1"/>
    </xf>
    <xf numFmtId="0" fontId="12" fillId="0" borderId="3" xfId="1" applyFont="1" applyBorder="1" applyAlignment="1">
      <alignment horizontal="center" wrapText="1"/>
    </xf>
    <xf numFmtId="0" fontId="26" fillId="2" borderId="4" xfId="1" applyFill="1" applyBorder="1" applyAlignment="1">
      <alignment horizontal="center" wrapText="1"/>
    </xf>
    <xf numFmtId="0" fontId="12" fillId="0" borderId="2" xfId="1" applyFont="1" applyBorder="1" applyAlignment="1">
      <alignment horizontal="center" wrapText="1"/>
    </xf>
    <xf numFmtId="0" fontId="26" fillId="0" borderId="3" xfId="1" applyBorder="1" applyAlignment="1">
      <alignment horizontal="center" wrapText="1"/>
    </xf>
    <xf numFmtId="0" fontId="19" fillId="0" borderId="2" xfId="1" applyFont="1" applyBorder="1" applyAlignment="1">
      <alignment horizontal="center" wrapText="1"/>
    </xf>
    <xf numFmtId="0" fontId="26" fillId="0" borderId="0" xfId="1" applyAlignment="1">
      <alignment horizontal="center" wrapText="1"/>
    </xf>
    <xf numFmtId="0" fontId="23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24" fillId="0" borderId="0" xfId="1" applyFont="1" applyAlignment="1">
      <alignment horizontal="center"/>
    </xf>
    <xf numFmtId="0" fontId="21" fillId="0" borderId="0" xfId="1" applyFont="1" applyAlignment="1">
      <alignment horizontal="center"/>
    </xf>
    <xf numFmtId="0" fontId="8" fillId="0" borderId="0" xfId="1" applyFont="1"/>
    <xf numFmtId="0" fontId="8" fillId="0" borderId="2" xfId="1" applyFont="1" applyBorder="1" applyAlignment="1">
      <alignment horizontal="center" wrapText="1"/>
    </xf>
    <xf numFmtId="0" fontId="7" fillId="0" borderId="2" xfId="1" applyFont="1" applyBorder="1" applyAlignment="1">
      <alignment horizontal="center" wrapText="1"/>
    </xf>
    <xf numFmtId="0" fontId="6" fillId="0" borderId="0" xfId="1" applyFont="1" applyAlignment="1">
      <alignment horizontal="center"/>
    </xf>
    <xf numFmtId="0" fontId="5" fillId="0" borderId="0" xfId="1" applyFont="1" applyAlignment="1">
      <alignment horizontal="center" wrapText="1"/>
    </xf>
    <xf numFmtId="0" fontId="4" fillId="0" borderId="0" xfId="1" applyFont="1"/>
    <xf numFmtId="0" fontId="4" fillId="0" borderId="1" xfId="1" applyFont="1" applyBorder="1"/>
    <xf numFmtId="0" fontId="3" fillId="0" borderId="0" xfId="1" applyFont="1"/>
    <xf numFmtId="0" fontId="2" fillId="0" borderId="0" xfId="1" applyFont="1"/>
    <xf numFmtId="0" fontId="2" fillId="0" borderId="1" xfId="1" applyFont="1" applyBorder="1"/>
    <xf numFmtId="0" fontId="1" fillId="0" borderId="1" xfId="1" applyFont="1" applyBorder="1"/>
    <xf numFmtId="0" fontId="4" fillId="0" borderId="0" xfId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3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66675</xdr:rowOff>
        </xdr:from>
        <xdr:to>
          <xdr:col>3</xdr:col>
          <xdr:colOff>295275</xdr:colOff>
          <xdr:row>20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0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Blind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Bash</v>
          </cell>
          <cell r="R5" t="str">
            <v>PoisonGas</v>
          </cell>
          <cell r="S5" t="str">
            <v>SleepGas</v>
          </cell>
          <cell r="T5" t="str">
            <v>Blind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Bash</v>
          </cell>
          <cell r="R6" t="str">
            <v>PoisonGas</v>
          </cell>
          <cell r="S6" t="str">
            <v>SleepGas</v>
          </cell>
          <cell r="T6" t="str">
            <v>Blind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Tusk</v>
          </cell>
          <cell r="Q7" t="str">
            <v>O-Poison</v>
          </cell>
          <cell r="R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MapleMan</v>
          </cell>
          <cell r="B12" t="str">
            <v>MapleMan</v>
          </cell>
          <cell r="C12" t="str">
            <v>1</v>
          </cell>
          <cell r="D12" t="str">
            <v>4</v>
          </cell>
          <cell r="E12">
            <v>4</v>
          </cell>
          <cell r="F12">
            <v>14</v>
          </cell>
          <cell r="G12" t="str">
            <v>20</v>
          </cell>
          <cell r="H12" t="str">
            <v>2</v>
          </cell>
          <cell r="I12" t="str">
            <v>2</v>
          </cell>
          <cell r="J12">
            <v>195</v>
          </cell>
          <cell r="K12">
            <v>18</v>
          </cell>
          <cell r="L12">
            <v>14</v>
          </cell>
          <cell r="M12">
            <v>18</v>
          </cell>
          <cell r="N12">
            <v>21</v>
          </cell>
          <cell r="O12" t="str">
            <v>79b5</v>
          </cell>
          <cell r="P12" t="str">
            <v>Branch</v>
          </cell>
          <cell r="Q12" t="str">
            <v>Bash</v>
          </cell>
          <cell r="R12" t="str">
            <v>X-Fire</v>
          </cell>
          <cell r="X12" t="str">
            <v>Plant</v>
          </cell>
        </row>
        <row r="13">
          <cell r="A13" t="str">
            <v>LiveOrk</v>
          </cell>
          <cell r="B13" t="str">
            <v>LiveOrk</v>
          </cell>
          <cell r="C13" t="str">
            <v>1</v>
          </cell>
          <cell r="D13" t="str">
            <v>5</v>
          </cell>
          <cell r="E13">
            <v>5</v>
          </cell>
          <cell r="F13">
            <v>15</v>
          </cell>
          <cell r="G13" t="str">
            <v>20</v>
          </cell>
          <cell r="H13" t="str">
            <v>2</v>
          </cell>
          <cell r="I13" t="str">
            <v>3</v>
          </cell>
          <cell r="J13">
            <v>263</v>
          </cell>
          <cell r="K13">
            <v>25</v>
          </cell>
          <cell r="L13">
            <v>20</v>
          </cell>
          <cell r="M13">
            <v>25</v>
          </cell>
          <cell r="N13">
            <v>28</v>
          </cell>
          <cell r="O13" t="str">
            <v>79b8</v>
          </cell>
          <cell r="P13" t="str">
            <v>Branch</v>
          </cell>
          <cell r="Q13" t="str">
            <v>Bash</v>
          </cell>
          <cell r="R13" t="str">
            <v>O-Para</v>
          </cell>
          <cell r="S13" t="str">
            <v>X-Fire</v>
          </cell>
          <cell r="X13" t="str">
            <v>Plant</v>
          </cell>
        </row>
        <row r="14">
          <cell r="A14" t="str">
            <v>EvilPine</v>
          </cell>
          <cell r="B14" t="str">
            <v>EvilPine</v>
          </cell>
          <cell r="C14" t="str">
            <v>2</v>
          </cell>
          <cell r="D14" t="str">
            <v>7</v>
          </cell>
          <cell r="E14">
            <v>7</v>
          </cell>
          <cell r="F14">
            <v>27</v>
          </cell>
          <cell r="G14" t="str">
            <v>20</v>
          </cell>
          <cell r="H14" t="str">
            <v>2</v>
          </cell>
          <cell r="I14" t="str">
            <v>4</v>
          </cell>
          <cell r="J14">
            <v>430</v>
          </cell>
          <cell r="K14">
            <v>41</v>
          </cell>
          <cell r="L14">
            <v>35</v>
          </cell>
          <cell r="M14">
            <v>41</v>
          </cell>
          <cell r="N14">
            <v>45</v>
          </cell>
          <cell r="O14" t="str">
            <v>79bc</v>
          </cell>
          <cell r="P14" t="str">
            <v>Bash</v>
          </cell>
          <cell r="Q14" t="str">
            <v>Branch</v>
          </cell>
          <cell r="R14" t="str">
            <v>Wind Up</v>
          </cell>
          <cell r="S14" t="str">
            <v>O-Para</v>
          </cell>
          <cell r="T14" t="str">
            <v>X-Fire</v>
          </cell>
          <cell r="X14" t="str">
            <v>Plant</v>
          </cell>
        </row>
        <row r="15">
          <cell r="A15" t="str">
            <v>MadCedar</v>
          </cell>
          <cell r="B15" t="str">
            <v>MadCedar</v>
          </cell>
          <cell r="C15" t="str">
            <v>3</v>
          </cell>
          <cell r="D15" t="str">
            <v>A</v>
          </cell>
          <cell r="E15">
            <v>10</v>
          </cell>
          <cell r="F15" t="str">
            <v>3A</v>
          </cell>
          <cell r="G15" t="str">
            <v>20</v>
          </cell>
          <cell r="H15" t="str">
            <v>2</v>
          </cell>
          <cell r="I15" t="str">
            <v>6</v>
          </cell>
          <cell r="J15">
            <v>756</v>
          </cell>
          <cell r="K15">
            <v>73</v>
          </cell>
          <cell r="L15">
            <v>66</v>
          </cell>
          <cell r="M15">
            <v>73</v>
          </cell>
          <cell r="N15">
            <v>78</v>
          </cell>
          <cell r="O15" t="str">
            <v>79c1</v>
          </cell>
          <cell r="P15" t="str">
            <v>Branch</v>
          </cell>
          <cell r="Q15" t="str">
            <v>Bash</v>
          </cell>
          <cell r="R15" t="str">
            <v>Wind Up</v>
          </cell>
          <cell r="S15" t="str">
            <v>Riddle</v>
          </cell>
          <cell r="T15" t="str">
            <v>Warning</v>
          </cell>
          <cell r="U15" t="str">
            <v>O-Change</v>
          </cell>
          <cell r="V15" t="str">
            <v>X-Fire</v>
          </cell>
          <cell r="X15" t="str">
            <v>Plant</v>
          </cell>
        </row>
        <row r="16">
          <cell r="A16" t="str">
            <v>Treant</v>
          </cell>
          <cell r="B16" t="str">
            <v>Treant</v>
          </cell>
          <cell r="C16" t="str">
            <v>4</v>
          </cell>
          <cell r="D16" t="str">
            <v>B</v>
          </cell>
          <cell r="E16">
            <v>11</v>
          </cell>
          <cell r="F16" t="str">
            <v>4B</v>
          </cell>
          <cell r="G16" t="str">
            <v>20</v>
          </cell>
          <cell r="H16" t="str">
            <v>2</v>
          </cell>
          <cell r="I16" t="str">
            <v>7</v>
          </cell>
          <cell r="J16">
            <v>885</v>
          </cell>
          <cell r="K16">
            <v>86</v>
          </cell>
          <cell r="L16">
            <v>78</v>
          </cell>
          <cell r="M16">
            <v>86</v>
          </cell>
          <cell r="N16">
            <v>91</v>
          </cell>
          <cell r="O16" t="str">
            <v>79c8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Heal</v>
          </cell>
          <cell r="T16" t="str">
            <v>Life</v>
          </cell>
          <cell r="U16" t="str">
            <v>Recover</v>
          </cell>
          <cell r="V16" t="str">
            <v>Warning</v>
          </cell>
          <cell r="W16" t="str">
            <v>O-Change</v>
          </cell>
          <cell r="X16" t="str">
            <v>Plant</v>
          </cell>
        </row>
        <row r="17">
          <cell r="A17" t="str">
            <v>Pebble</v>
          </cell>
          <cell r="B17" t="str">
            <v>Pebble</v>
          </cell>
          <cell r="C17">
            <v>1</v>
          </cell>
          <cell r="D17" t="str">
            <v>2</v>
          </cell>
          <cell r="E17">
            <v>2</v>
          </cell>
          <cell r="F17" t="str">
            <v>02</v>
          </cell>
          <cell r="G17" t="str">
            <v>00</v>
          </cell>
          <cell r="H17" t="str">
            <v>2</v>
          </cell>
          <cell r="I17" t="str">
            <v>1</v>
          </cell>
          <cell r="J17">
            <v>90</v>
          </cell>
          <cell r="K17">
            <v>7</v>
          </cell>
          <cell r="L17">
            <v>4</v>
          </cell>
          <cell r="M17">
            <v>8</v>
          </cell>
          <cell r="N17">
            <v>13</v>
          </cell>
          <cell r="O17" t="str">
            <v>79d0</v>
          </cell>
          <cell r="P17" t="str">
            <v>Bash</v>
          </cell>
          <cell r="Q17" t="str">
            <v>Sand</v>
          </cell>
          <cell r="R17" t="str">
            <v>O-Change</v>
          </cell>
          <cell r="X17" t="str">
            <v>Golem</v>
          </cell>
        </row>
        <row r="18">
          <cell r="A18" t="str">
            <v>Cobble</v>
          </cell>
          <cell r="B18" t="str">
            <v>Cobble</v>
          </cell>
          <cell r="C18" t="str">
            <v>1</v>
          </cell>
          <cell r="D18" t="str">
            <v>3</v>
          </cell>
          <cell r="E18">
            <v>3</v>
          </cell>
          <cell r="F18">
            <v>13</v>
          </cell>
          <cell r="G18" t="str">
            <v>00</v>
          </cell>
          <cell r="H18" t="str">
            <v>2</v>
          </cell>
          <cell r="I18" t="str">
            <v>2</v>
          </cell>
          <cell r="J18">
            <v>137</v>
          </cell>
          <cell r="K18">
            <v>12</v>
          </cell>
          <cell r="L18">
            <v>7</v>
          </cell>
          <cell r="M18">
            <v>13</v>
          </cell>
          <cell r="N18">
            <v>18</v>
          </cell>
          <cell r="O18" t="str">
            <v>79d2</v>
          </cell>
          <cell r="P18" t="str">
            <v>Bash</v>
          </cell>
          <cell r="Q18" t="str">
            <v>Tremor</v>
          </cell>
          <cell r="R18" t="str">
            <v>O-Change</v>
          </cell>
          <cell r="X18" t="str">
            <v>Golem</v>
          </cell>
        </row>
        <row r="19">
          <cell r="A19" t="str">
            <v>Boulder</v>
          </cell>
          <cell r="B19" t="str">
            <v>Boulder</v>
          </cell>
          <cell r="C19" t="str">
            <v>2</v>
          </cell>
          <cell r="D19" t="str">
            <v>7</v>
          </cell>
          <cell r="E19">
            <v>7</v>
          </cell>
          <cell r="F19">
            <v>27</v>
          </cell>
          <cell r="G19" t="str">
            <v>00</v>
          </cell>
          <cell r="H19" t="str">
            <v>2</v>
          </cell>
          <cell r="I19" t="str">
            <v>4</v>
          </cell>
          <cell r="J19">
            <v>430</v>
          </cell>
          <cell r="K19">
            <v>39</v>
          </cell>
          <cell r="L19">
            <v>32</v>
          </cell>
          <cell r="M19">
            <v>39</v>
          </cell>
          <cell r="N19">
            <v>51</v>
          </cell>
          <cell r="O19" t="str">
            <v>79d5</v>
          </cell>
          <cell r="P19" t="str">
            <v>Bash</v>
          </cell>
          <cell r="Q19" t="str">
            <v>StoneGas</v>
          </cell>
          <cell r="R19" t="str">
            <v>Tremor</v>
          </cell>
          <cell r="S19" t="str">
            <v>Surprise</v>
          </cell>
          <cell r="T19" t="str">
            <v>O-Change</v>
          </cell>
          <cell r="X19" t="str">
            <v>Golem</v>
          </cell>
        </row>
        <row r="20">
          <cell r="A20" t="str">
            <v>Rock</v>
          </cell>
          <cell r="B20" t="str">
            <v>Rock</v>
          </cell>
          <cell r="C20" t="str">
            <v>3</v>
          </cell>
          <cell r="D20" t="str">
            <v>A</v>
          </cell>
          <cell r="E20">
            <v>10</v>
          </cell>
          <cell r="F20" t="str">
            <v>3A</v>
          </cell>
          <cell r="G20" t="str">
            <v>00</v>
          </cell>
          <cell r="H20" t="str">
            <v>2</v>
          </cell>
          <cell r="I20" t="str">
            <v>6</v>
          </cell>
          <cell r="J20">
            <v>756</v>
          </cell>
          <cell r="K20">
            <v>71</v>
          </cell>
          <cell r="L20">
            <v>61</v>
          </cell>
          <cell r="M20">
            <v>66</v>
          </cell>
          <cell r="N20">
            <v>86</v>
          </cell>
          <cell r="O20" t="str">
            <v>79da</v>
          </cell>
          <cell r="P20" t="str">
            <v>Bash</v>
          </cell>
          <cell r="Q20" t="str">
            <v>StoneGas</v>
          </cell>
          <cell r="R20" t="str">
            <v>Quake</v>
          </cell>
          <cell r="S20" t="str">
            <v>Sand</v>
          </cell>
          <cell r="T20" t="str">
            <v>Warning</v>
          </cell>
          <cell r="U20" t="str">
            <v>Surprise</v>
          </cell>
          <cell r="V20" t="str">
            <v>O-Change</v>
          </cell>
          <cell r="X20" t="str">
            <v>Golem</v>
          </cell>
        </row>
        <row r="21">
          <cell r="A21" t="str">
            <v>Earth</v>
          </cell>
          <cell r="B21" t="str">
            <v>Earth</v>
          </cell>
          <cell r="C21" t="str">
            <v>3</v>
          </cell>
          <cell r="D21" t="str">
            <v>B</v>
          </cell>
          <cell r="E21">
            <v>11</v>
          </cell>
          <cell r="F21" t="str">
            <v>3B</v>
          </cell>
          <cell r="G21" t="str">
            <v>00</v>
          </cell>
          <cell r="H21" t="str">
            <v>2</v>
          </cell>
          <cell r="I21" t="str">
            <v>7</v>
          </cell>
          <cell r="J21">
            <v>885</v>
          </cell>
          <cell r="K21">
            <v>83</v>
          </cell>
          <cell r="L21">
            <v>72</v>
          </cell>
          <cell r="M21">
            <v>86</v>
          </cell>
          <cell r="N21">
            <v>99</v>
          </cell>
          <cell r="O21" t="str">
            <v>79e1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Recover</v>
          </cell>
          <cell r="U21" t="str">
            <v>Warning</v>
          </cell>
          <cell r="V21" t="str">
            <v>Surprise</v>
          </cell>
          <cell r="W21" t="str">
            <v>O-Change</v>
          </cell>
          <cell r="X21" t="str">
            <v>Golem</v>
          </cell>
        </row>
        <row r="22">
          <cell r="A22" t="str">
            <v>Woodman</v>
          </cell>
          <cell r="B22" t="str">
            <v>Woodman</v>
          </cell>
          <cell r="C22">
            <v>1</v>
          </cell>
          <cell r="D22" t="str">
            <v>3</v>
          </cell>
          <cell r="E22">
            <v>3</v>
          </cell>
          <cell r="F22" t="str">
            <v>03</v>
          </cell>
          <cell r="G22" t="str">
            <v>22</v>
          </cell>
          <cell r="H22" t="str">
            <v>2</v>
          </cell>
          <cell r="I22" t="str">
            <v>1</v>
          </cell>
          <cell r="J22">
            <v>148</v>
          </cell>
          <cell r="K22">
            <v>13</v>
          </cell>
          <cell r="L22">
            <v>8</v>
          </cell>
          <cell r="M22">
            <v>13</v>
          </cell>
          <cell r="N22">
            <v>15</v>
          </cell>
          <cell r="O22" t="str">
            <v>79e9</v>
          </cell>
          <cell r="P22" t="str">
            <v>Punch</v>
          </cell>
          <cell r="Q22" t="str">
            <v>Wind Up</v>
          </cell>
          <cell r="R22" t="str">
            <v>X-Fire</v>
          </cell>
          <cell r="X22" t="str">
            <v>Golem</v>
          </cell>
        </row>
        <row r="23">
          <cell r="A23" t="str">
            <v>Clayman</v>
          </cell>
          <cell r="B23" t="str">
            <v>Clayman</v>
          </cell>
          <cell r="C23" t="str">
            <v>2</v>
          </cell>
          <cell r="D23" t="str">
            <v>5</v>
          </cell>
          <cell r="E23">
            <v>5</v>
          </cell>
          <cell r="F23">
            <v>25</v>
          </cell>
          <cell r="G23" t="str">
            <v>22</v>
          </cell>
          <cell r="H23" t="str">
            <v>2</v>
          </cell>
          <cell r="I23" t="str">
            <v>3</v>
          </cell>
          <cell r="J23">
            <v>278</v>
          </cell>
          <cell r="K23">
            <v>25</v>
          </cell>
          <cell r="L23">
            <v>19</v>
          </cell>
          <cell r="M23">
            <v>25</v>
          </cell>
          <cell r="N23">
            <v>28</v>
          </cell>
          <cell r="O23" t="str">
            <v>79eb</v>
          </cell>
          <cell r="P23" t="str">
            <v>Punch</v>
          </cell>
          <cell r="Q23" t="str">
            <v>Kick</v>
          </cell>
          <cell r="R23" t="str">
            <v>Wind Up</v>
          </cell>
          <cell r="S23" t="str">
            <v>O-Pa/Po</v>
          </cell>
          <cell r="X23" t="str">
            <v>Golem</v>
          </cell>
        </row>
        <row r="24">
          <cell r="A24" t="str">
            <v>Stoneman</v>
          </cell>
          <cell r="B24" t="str">
            <v>Stoneman</v>
          </cell>
          <cell r="C24" t="str">
            <v>3</v>
          </cell>
          <cell r="D24" t="str">
            <v>7</v>
          </cell>
          <cell r="E24">
            <v>7</v>
          </cell>
          <cell r="F24">
            <v>37</v>
          </cell>
          <cell r="G24" t="str">
            <v>22</v>
          </cell>
          <cell r="H24" t="str">
            <v>2</v>
          </cell>
          <cell r="I24" t="str">
            <v>4</v>
          </cell>
          <cell r="J24">
            <v>449</v>
          </cell>
          <cell r="K24">
            <v>41</v>
          </cell>
          <cell r="L24">
            <v>33</v>
          </cell>
          <cell r="M24">
            <v>37</v>
          </cell>
          <cell r="N24">
            <v>45</v>
          </cell>
          <cell r="O24" t="str">
            <v>79ef</v>
          </cell>
          <cell r="P24" t="str">
            <v>Bash</v>
          </cell>
          <cell r="Q24" t="str">
            <v>Punch</v>
          </cell>
          <cell r="R24" t="str">
            <v>Gas</v>
          </cell>
          <cell r="S24" t="str">
            <v>Tremor</v>
          </cell>
          <cell r="T24" t="str">
            <v>O-Change</v>
          </cell>
          <cell r="X24" t="str">
            <v>Golem</v>
          </cell>
        </row>
        <row r="25">
          <cell r="A25" t="str">
            <v>Ironman</v>
          </cell>
          <cell r="B25" t="str">
            <v>Ironman</v>
          </cell>
          <cell r="C25" t="str">
            <v>4</v>
          </cell>
          <cell r="D25" t="str">
            <v>A</v>
          </cell>
          <cell r="E25">
            <v>10</v>
          </cell>
          <cell r="F25" t="str">
            <v>4A</v>
          </cell>
          <cell r="G25" t="str">
            <v>22</v>
          </cell>
          <cell r="H25" t="str">
            <v>2</v>
          </cell>
          <cell r="I25" t="str">
            <v>6</v>
          </cell>
          <cell r="J25">
            <v>781</v>
          </cell>
          <cell r="K25">
            <v>73</v>
          </cell>
          <cell r="L25">
            <v>63</v>
          </cell>
          <cell r="M25">
            <v>66</v>
          </cell>
          <cell r="N25">
            <v>78</v>
          </cell>
          <cell r="O25" t="str">
            <v>79f4</v>
          </cell>
          <cell r="P25" t="str">
            <v>Kick</v>
          </cell>
          <cell r="Q25" t="str">
            <v>Bash</v>
          </cell>
          <cell r="R25" t="str">
            <v>Gas</v>
          </cell>
          <cell r="S25" t="str">
            <v>Flame</v>
          </cell>
          <cell r="T25" t="str">
            <v>Quake</v>
          </cell>
          <cell r="U25" t="str">
            <v>O-Damage</v>
          </cell>
          <cell r="V25" t="str">
            <v>O-Change</v>
          </cell>
          <cell r="X25" t="str">
            <v>Golem</v>
          </cell>
        </row>
        <row r="26">
          <cell r="A26" t="str">
            <v>Mazin</v>
          </cell>
          <cell r="B26" t="str">
            <v>Mazin</v>
          </cell>
          <cell r="C26" t="str">
            <v>4</v>
          </cell>
          <cell r="D26" t="str">
            <v>B</v>
          </cell>
          <cell r="E26">
            <v>11</v>
          </cell>
          <cell r="F26" t="str">
            <v>4B</v>
          </cell>
          <cell r="G26" t="str">
            <v>22</v>
          </cell>
          <cell r="H26" t="str">
            <v>2</v>
          </cell>
          <cell r="I26" t="str">
            <v>7</v>
          </cell>
          <cell r="J26">
            <v>912</v>
          </cell>
          <cell r="K26">
            <v>86</v>
          </cell>
          <cell r="L26">
            <v>75</v>
          </cell>
          <cell r="M26">
            <v>86</v>
          </cell>
          <cell r="N26">
            <v>91</v>
          </cell>
          <cell r="O26" t="str">
            <v>79fb</v>
          </cell>
          <cell r="P26" t="str">
            <v>Sword</v>
          </cell>
          <cell r="Q26" t="str">
            <v>Branch</v>
          </cell>
          <cell r="R26" t="str">
            <v>Flame</v>
          </cell>
          <cell r="S26" t="str">
            <v>Beam</v>
          </cell>
          <cell r="T26" t="str">
            <v>Tornado</v>
          </cell>
          <cell r="U26" t="str">
            <v>Warning</v>
          </cell>
          <cell r="V26" t="str">
            <v>O-Damage</v>
          </cell>
          <cell r="W26" t="str">
            <v>O-Change</v>
          </cell>
          <cell r="X26" t="str">
            <v>Golem</v>
          </cell>
        </row>
        <row r="27">
          <cell r="A27" t="str">
            <v>Hofud</v>
          </cell>
          <cell r="B27" t="str">
            <v>Hofud</v>
          </cell>
          <cell r="C27" t="str">
            <v>1</v>
          </cell>
          <cell r="D27" t="str">
            <v>4</v>
          </cell>
          <cell r="E27">
            <v>4</v>
          </cell>
          <cell r="F27">
            <v>14</v>
          </cell>
          <cell r="G27" t="str">
            <v>21</v>
          </cell>
          <cell r="H27" t="str">
            <v>2</v>
          </cell>
          <cell r="I27" t="str">
            <v>2</v>
          </cell>
          <cell r="J27">
            <v>156</v>
          </cell>
          <cell r="K27">
            <v>18</v>
          </cell>
          <cell r="L27">
            <v>20</v>
          </cell>
          <cell r="M27">
            <v>21</v>
          </cell>
          <cell r="N27">
            <v>17</v>
          </cell>
          <cell r="O27" t="str">
            <v>7a03</v>
          </cell>
          <cell r="P27" t="str">
            <v>Stab</v>
          </cell>
          <cell r="Q27" t="str">
            <v>Defense</v>
          </cell>
          <cell r="R27" t="str">
            <v>O-Change</v>
          </cell>
          <cell r="X27" t="str">
            <v>Golem</v>
          </cell>
        </row>
        <row r="28">
          <cell r="A28" t="str">
            <v>Gae Bolg</v>
          </cell>
          <cell r="B28" t="str">
            <v>Gae Bolg</v>
          </cell>
          <cell r="C28" t="str">
            <v>2</v>
          </cell>
          <cell r="D28" t="str">
            <v>7</v>
          </cell>
          <cell r="E28">
            <v>7</v>
          </cell>
          <cell r="F28">
            <v>27</v>
          </cell>
          <cell r="G28" t="str">
            <v>21</v>
          </cell>
          <cell r="H28" t="str">
            <v>2</v>
          </cell>
          <cell r="I28" t="str">
            <v>4</v>
          </cell>
          <cell r="J28">
            <v>373</v>
          </cell>
          <cell r="K28">
            <v>41</v>
          </cell>
          <cell r="L28">
            <v>43</v>
          </cell>
          <cell r="M28">
            <v>45</v>
          </cell>
          <cell r="N28">
            <v>39</v>
          </cell>
          <cell r="O28" t="str">
            <v>7a06</v>
          </cell>
          <cell r="P28" t="str">
            <v>Stab</v>
          </cell>
          <cell r="Q28" t="str">
            <v>W-Attack</v>
          </cell>
          <cell r="R28" t="str">
            <v>Defense</v>
          </cell>
          <cell r="S28" t="str">
            <v>O-Damage</v>
          </cell>
          <cell r="T28" t="str">
            <v>O-Change</v>
          </cell>
          <cell r="X28" t="str">
            <v>Golem</v>
          </cell>
        </row>
        <row r="29">
          <cell r="A29" t="str">
            <v>Answerer</v>
          </cell>
          <cell r="B29" t="str">
            <v>Answerer</v>
          </cell>
          <cell r="C29" t="str">
            <v>3</v>
          </cell>
          <cell r="D29" t="str">
            <v>8</v>
          </cell>
          <cell r="E29">
            <v>8</v>
          </cell>
          <cell r="F29">
            <v>38</v>
          </cell>
          <cell r="G29" t="str">
            <v>21</v>
          </cell>
          <cell r="H29" t="str">
            <v>2</v>
          </cell>
          <cell r="I29" t="str">
            <v>5</v>
          </cell>
          <cell r="J29">
            <v>465</v>
          </cell>
          <cell r="K29">
            <v>51</v>
          </cell>
          <cell r="L29">
            <v>53</v>
          </cell>
          <cell r="M29">
            <v>55</v>
          </cell>
          <cell r="N29">
            <v>49</v>
          </cell>
          <cell r="O29" t="str">
            <v>7a0b</v>
          </cell>
          <cell r="P29" t="str">
            <v>W-Attack</v>
          </cell>
          <cell r="Q29" t="str">
            <v>Counter</v>
          </cell>
          <cell r="R29" t="str">
            <v>Defense</v>
          </cell>
          <cell r="S29" t="str">
            <v>Stab</v>
          </cell>
          <cell r="T29" t="str">
            <v>O-Damage</v>
          </cell>
          <cell r="U29" t="str">
            <v>O-Change</v>
          </cell>
          <cell r="X29" t="str">
            <v>Golem</v>
          </cell>
        </row>
        <row r="30">
          <cell r="A30" t="str">
            <v>Moaner</v>
          </cell>
          <cell r="B30" t="str">
            <v>Moaner</v>
          </cell>
          <cell r="C30" t="str">
            <v>4</v>
          </cell>
          <cell r="D30" t="str">
            <v>A</v>
          </cell>
          <cell r="E30">
            <v>10</v>
          </cell>
          <cell r="F30" t="str">
            <v>4A</v>
          </cell>
          <cell r="G30" t="str">
            <v>21</v>
          </cell>
          <cell r="H30" t="str">
            <v>2</v>
          </cell>
          <cell r="I30" t="str">
            <v>6</v>
          </cell>
          <cell r="J30">
            <v>681</v>
          </cell>
          <cell r="K30">
            <v>73</v>
          </cell>
          <cell r="L30">
            <v>76</v>
          </cell>
          <cell r="M30">
            <v>78</v>
          </cell>
          <cell r="N30">
            <v>71</v>
          </cell>
          <cell r="O30" t="str">
            <v>7a11</v>
          </cell>
          <cell r="P30" t="str">
            <v>Absorb</v>
          </cell>
          <cell r="Q30" t="str">
            <v>Stab</v>
          </cell>
          <cell r="R30" t="str">
            <v>W-Attack</v>
          </cell>
          <cell r="S30" t="str">
            <v>Defense</v>
          </cell>
          <cell r="T30" t="str">
            <v>Counter</v>
          </cell>
          <cell r="U30" t="str">
            <v>O-Damage</v>
          </cell>
          <cell r="V30" t="str">
            <v>O-Change</v>
          </cell>
          <cell r="X30" t="str">
            <v>Golem</v>
          </cell>
        </row>
        <row r="31">
          <cell r="A31" t="str">
            <v>Kusanagi</v>
          </cell>
          <cell r="B31" t="str">
            <v>Kusanagi</v>
          </cell>
          <cell r="C31" t="str">
            <v>5</v>
          </cell>
          <cell r="D31" t="str">
            <v>B</v>
          </cell>
          <cell r="E31">
            <v>11</v>
          </cell>
          <cell r="F31" t="str">
            <v>5B</v>
          </cell>
          <cell r="G31" t="str">
            <v>21</v>
          </cell>
          <cell r="H31" t="str">
            <v>2</v>
          </cell>
          <cell r="I31" t="str">
            <v>7</v>
          </cell>
          <cell r="J31">
            <v>804</v>
          </cell>
          <cell r="K31">
            <v>86</v>
          </cell>
          <cell r="L31">
            <v>89</v>
          </cell>
          <cell r="M31">
            <v>91</v>
          </cell>
          <cell r="N31">
            <v>83</v>
          </cell>
          <cell r="O31" t="str">
            <v>7a18</v>
          </cell>
          <cell r="P31" t="str">
            <v>Absorb</v>
          </cell>
          <cell r="Q31" t="str">
            <v>Stab</v>
          </cell>
          <cell r="R31" t="str">
            <v>W-Attack</v>
          </cell>
          <cell r="S31" t="str">
            <v>Defense</v>
          </cell>
          <cell r="T31" t="str">
            <v>Counter</v>
          </cell>
          <cell r="U31" t="str">
            <v>Critical</v>
          </cell>
          <cell r="V31" t="str">
            <v>O-Damage</v>
          </cell>
          <cell r="W31" t="str">
            <v>O-Change</v>
          </cell>
          <cell r="X31" t="str">
            <v>Golem</v>
          </cell>
        </row>
        <row r="32">
          <cell r="A32" t="str">
            <v>Slime</v>
          </cell>
          <cell r="B32" t="str">
            <v>Slime</v>
          </cell>
          <cell r="C32">
            <v>1</v>
          </cell>
          <cell r="D32" t="str">
            <v>2</v>
          </cell>
          <cell r="E32">
            <v>2</v>
          </cell>
          <cell r="F32" t="str">
            <v>02</v>
          </cell>
          <cell r="G32" t="str">
            <v>01</v>
          </cell>
          <cell r="H32" t="str">
            <v>2</v>
          </cell>
          <cell r="I32" t="str">
            <v>1</v>
          </cell>
          <cell r="J32">
            <v>90</v>
          </cell>
          <cell r="K32">
            <v>8</v>
          </cell>
          <cell r="L32">
            <v>5</v>
          </cell>
          <cell r="M32">
            <v>10</v>
          </cell>
          <cell r="N32">
            <v>8</v>
          </cell>
          <cell r="O32" t="str">
            <v>7a20</v>
          </cell>
          <cell r="P32" t="str">
            <v>Dissolve</v>
          </cell>
          <cell r="Q32" t="str">
            <v>Wind Up</v>
          </cell>
          <cell r="R32" t="str">
            <v>X-Fire</v>
          </cell>
          <cell r="X32" t="str">
            <v>Aberration</v>
          </cell>
        </row>
        <row r="33">
          <cell r="A33" t="str">
            <v>Jelly</v>
          </cell>
          <cell r="B33" t="str">
            <v>Jelly</v>
          </cell>
          <cell r="C33" t="str">
            <v>1</v>
          </cell>
          <cell r="D33" t="str">
            <v>4</v>
          </cell>
          <cell r="E33">
            <v>4</v>
          </cell>
          <cell r="F33">
            <v>14</v>
          </cell>
          <cell r="G33" t="str">
            <v>01</v>
          </cell>
          <cell r="H33" t="str">
            <v>2</v>
          </cell>
          <cell r="I33" t="str">
            <v>2</v>
          </cell>
          <cell r="J33">
            <v>195</v>
          </cell>
          <cell r="K33">
            <v>18</v>
          </cell>
          <cell r="L33">
            <v>14</v>
          </cell>
          <cell r="M33">
            <v>21</v>
          </cell>
          <cell r="N33">
            <v>18</v>
          </cell>
          <cell r="O33" t="str">
            <v>7a22</v>
          </cell>
          <cell r="P33" t="str">
            <v>Dissolve</v>
          </cell>
          <cell r="Q33" t="str">
            <v>Acid</v>
          </cell>
          <cell r="R33" t="str">
            <v>X-Fire</v>
          </cell>
          <cell r="X33" t="str">
            <v>Aberration</v>
          </cell>
        </row>
        <row r="34">
          <cell r="A34" t="str">
            <v>Tororo</v>
          </cell>
          <cell r="B34" t="str">
            <v>Tororo</v>
          </cell>
          <cell r="C34" t="str">
            <v>1</v>
          </cell>
          <cell r="D34" t="str">
            <v>6</v>
          </cell>
          <cell r="E34">
            <v>6</v>
          </cell>
          <cell r="F34">
            <v>16</v>
          </cell>
          <cell r="G34" t="str">
            <v>01</v>
          </cell>
          <cell r="H34" t="str">
            <v>2</v>
          </cell>
          <cell r="I34" t="str">
            <v>4</v>
          </cell>
          <cell r="J34">
            <v>341</v>
          </cell>
          <cell r="K34">
            <v>32</v>
          </cell>
          <cell r="L34">
            <v>27</v>
          </cell>
          <cell r="M34">
            <v>36</v>
          </cell>
          <cell r="N34">
            <v>32</v>
          </cell>
          <cell r="O34" t="str">
            <v>7a25</v>
          </cell>
          <cell r="P34" t="str">
            <v>Dissolve</v>
          </cell>
          <cell r="Q34" t="str">
            <v>Acid</v>
          </cell>
          <cell r="R34" t="str">
            <v>Surprise</v>
          </cell>
          <cell r="S34" t="str">
            <v>O-Weapon</v>
          </cell>
          <cell r="T34" t="str">
            <v>X-Fire</v>
          </cell>
          <cell r="X34" t="str">
            <v>Aberration</v>
          </cell>
        </row>
        <row r="35">
          <cell r="A35" t="str">
            <v>Pudding</v>
          </cell>
          <cell r="B35" t="str">
            <v>Pudding</v>
          </cell>
          <cell r="C35" t="str">
            <v>3</v>
          </cell>
          <cell r="D35" t="str">
            <v>A</v>
          </cell>
          <cell r="E35">
            <v>10</v>
          </cell>
          <cell r="F35" t="str">
            <v>3A</v>
          </cell>
          <cell r="G35" t="str">
            <v>01</v>
          </cell>
          <cell r="H35" t="str">
            <v>2</v>
          </cell>
          <cell r="I35" t="str">
            <v>6</v>
          </cell>
          <cell r="J35">
            <v>756</v>
          </cell>
          <cell r="K35">
            <v>73</v>
          </cell>
          <cell r="L35">
            <v>66</v>
          </cell>
          <cell r="M35">
            <v>71</v>
          </cell>
          <cell r="N35">
            <v>73</v>
          </cell>
          <cell r="O35" t="str">
            <v>7a2a</v>
          </cell>
          <cell r="P35" t="str">
            <v>Dissolve</v>
          </cell>
          <cell r="Q35" t="str">
            <v>Acid</v>
          </cell>
          <cell r="R35" t="str">
            <v>P-Skin</v>
          </cell>
          <cell r="S35" t="str">
            <v>Gas</v>
          </cell>
          <cell r="T35" t="str">
            <v>Surprise</v>
          </cell>
          <cell r="U35" t="str">
            <v>O-Weapon</v>
          </cell>
          <cell r="V35" t="str">
            <v>O-Quake</v>
          </cell>
          <cell r="X35" t="str">
            <v>Aberration</v>
          </cell>
        </row>
        <row r="36">
          <cell r="A36" t="str">
            <v>SlimeGod</v>
          </cell>
          <cell r="B36" t="str">
            <v>SlimeGod</v>
          </cell>
          <cell r="C36" t="str">
            <v>4</v>
          </cell>
          <cell r="D36" t="str">
            <v>B</v>
          </cell>
          <cell r="E36">
            <v>11</v>
          </cell>
          <cell r="F36" t="str">
            <v>4B</v>
          </cell>
          <cell r="G36" t="str">
            <v>01</v>
          </cell>
          <cell r="H36" t="str">
            <v>2</v>
          </cell>
          <cell r="I36" t="str">
            <v>7</v>
          </cell>
          <cell r="J36">
            <v>885</v>
          </cell>
          <cell r="K36">
            <v>86</v>
          </cell>
          <cell r="L36">
            <v>78</v>
          </cell>
          <cell r="M36">
            <v>91</v>
          </cell>
          <cell r="N36">
            <v>86</v>
          </cell>
          <cell r="O36" t="str">
            <v>7a31</v>
          </cell>
          <cell r="P36" t="str">
            <v>Dissolve</v>
          </cell>
          <cell r="Q36" t="str">
            <v>Acid</v>
          </cell>
          <cell r="R36" t="str">
            <v>P-Blast</v>
          </cell>
          <cell r="S36" t="str">
            <v>Hypnos</v>
          </cell>
          <cell r="T36" t="str">
            <v>Gas</v>
          </cell>
          <cell r="U36" t="str">
            <v>Surprise</v>
          </cell>
          <cell r="V36" t="str">
            <v>O-Weapon</v>
          </cell>
          <cell r="W36" t="str">
            <v>O-Quake</v>
          </cell>
          <cell r="X36" t="str">
            <v>Aberration</v>
          </cell>
        </row>
        <row r="37">
          <cell r="A37" t="str">
            <v>Worm</v>
          </cell>
          <cell r="B37" t="str">
            <v>Worm</v>
          </cell>
          <cell r="C37" t="str">
            <v>0</v>
          </cell>
          <cell r="D37" t="str">
            <v>3</v>
          </cell>
          <cell r="E37">
            <v>3</v>
          </cell>
          <cell r="F37" t="str">
            <v>03</v>
          </cell>
          <cell r="G37" t="str">
            <v>12</v>
          </cell>
          <cell r="H37" t="str">
            <v>2</v>
          </cell>
          <cell r="I37" t="str">
            <v>1</v>
          </cell>
          <cell r="J37">
            <v>126</v>
          </cell>
          <cell r="K37">
            <v>15</v>
          </cell>
          <cell r="L37">
            <v>9</v>
          </cell>
          <cell r="M37">
            <v>15</v>
          </cell>
          <cell r="N37">
            <v>12</v>
          </cell>
          <cell r="O37" t="str">
            <v>7a39</v>
          </cell>
          <cell r="P37" t="str">
            <v>Tail</v>
          </cell>
          <cell r="Q37" t="str">
            <v>O-Quake</v>
          </cell>
          <cell r="X37" t="str">
            <v>Aberration</v>
          </cell>
        </row>
        <row r="38">
          <cell r="A38" t="str">
            <v>P-Worm</v>
          </cell>
          <cell r="B38" t="str">
            <v>P-Worm</v>
          </cell>
          <cell r="C38" t="str">
            <v>2</v>
          </cell>
          <cell r="D38" t="str">
            <v>5</v>
          </cell>
          <cell r="E38">
            <v>5</v>
          </cell>
          <cell r="F38" t="str">
            <v>25</v>
          </cell>
          <cell r="G38" t="str">
            <v>12</v>
          </cell>
          <cell r="H38" t="str">
            <v>2</v>
          </cell>
          <cell r="I38" t="str">
            <v>3</v>
          </cell>
          <cell r="J38">
            <v>248</v>
          </cell>
          <cell r="K38">
            <v>28</v>
          </cell>
          <cell r="L38">
            <v>20</v>
          </cell>
          <cell r="M38">
            <v>28</v>
          </cell>
          <cell r="N38">
            <v>23</v>
          </cell>
          <cell r="O38" t="str">
            <v>7a3b</v>
          </cell>
          <cell r="P38" t="str">
            <v>Venom</v>
          </cell>
          <cell r="Q38" t="str">
            <v>Tie Up</v>
          </cell>
          <cell r="R38" t="str">
            <v>P-Skin</v>
          </cell>
          <cell r="S38" t="str">
            <v>O-Quake</v>
          </cell>
          <cell r="X38" t="str">
            <v>Aberration</v>
          </cell>
        </row>
        <row r="39">
          <cell r="A39" t="str">
            <v>LavaWorm</v>
          </cell>
          <cell r="B39" t="str">
            <v>LavaWorm</v>
          </cell>
          <cell r="C39" t="str">
            <v>3</v>
          </cell>
          <cell r="D39" t="str">
            <v>8</v>
          </cell>
          <cell r="E39">
            <v>8</v>
          </cell>
          <cell r="F39" t="str">
            <v>38</v>
          </cell>
          <cell r="G39" t="str">
            <v>12</v>
          </cell>
          <cell r="H39" t="str">
            <v>2</v>
          </cell>
          <cell r="I39" t="str">
            <v>5</v>
          </cell>
          <cell r="J39">
            <v>507</v>
          </cell>
          <cell r="K39">
            <v>55</v>
          </cell>
          <cell r="L39">
            <v>44</v>
          </cell>
          <cell r="M39">
            <v>50</v>
          </cell>
          <cell r="N39">
            <v>49</v>
          </cell>
          <cell r="O39" t="str">
            <v>7a3f</v>
          </cell>
          <cell r="P39" t="str">
            <v>Tusk</v>
          </cell>
          <cell r="Q39" t="str">
            <v>Flame</v>
          </cell>
          <cell r="R39" t="str">
            <v>Tail</v>
          </cell>
          <cell r="S39" t="str">
            <v>Burning</v>
          </cell>
          <cell r="T39" t="str">
            <v>O-Fire</v>
          </cell>
          <cell r="U39" t="str">
            <v>X-Ice</v>
          </cell>
          <cell r="X39" t="str">
            <v>Aberration</v>
          </cell>
        </row>
        <row r="40">
          <cell r="A40" t="str">
            <v>SandWorm</v>
          </cell>
          <cell r="B40" t="str">
            <v>SandWorm</v>
          </cell>
          <cell r="C40" t="str">
            <v>4</v>
          </cell>
          <cell r="D40" t="str">
            <v>A</v>
          </cell>
          <cell r="E40">
            <v>10</v>
          </cell>
          <cell r="F40" t="str">
            <v>4A</v>
          </cell>
          <cell r="G40" t="str">
            <v>12</v>
          </cell>
          <cell r="H40" t="str">
            <v>2</v>
          </cell>
          <cell r="I40" t="str">
            <v>6</v>
          </cell>
          <cell r="J40">
            <v>731</v>
          </cell>
          <cell r="K40">
            <v>78</v>
          </cell>
          <cell r="L40">
            <v>66</v>
          </cell>
          <cell r="M40">
            <v>71</v>
          </cell>
          <cell r="N40">
            <v>71</v>
          </cell>
          <cell r="O40" t="str">
            <v>7a45</v>
          </cell>
          <cell r="P40" t="str">
            <v>Tusk</v>
          </cell>
          <cell r="Q40" t="str">
            <v>Tail</v>
          </cell>
          <cell r="R40" t="str">
            <v>Tie Up</v>
          </cell>
          <cell r="S40" t="str">
            <v>Sand</v>
          </cell>
          <cell r="T40" t="str">
            <v>Quake</v>
          </cell>
          <cell r="U40" t="str">
            <v>Surprise</v>
          </cell>
          <cell r="V40" t="str">
            <v>O-Quake</v>
          </cell>
          <cell r="X40" t="str">
            <v>Aberration</v>
          </cell>
        </row>
        <row r="41">
          <cell r="A41" t="str">
            <v>GigaWorm</v>
          </cell>
          <cell r="B41" t="str">
            <v>GigaWorm</v>
          </cell>
          <cell r="C41" t="str">
            <v>4</v>
          </cell>
          <cell r="D41" t="str">
            <v>B</v>
          </cell>
          <cell r="E41">
            <v>11</v>
          </cell>
          <cell r="F41" t="str">
            <v>4B</v>
          </cell>
          <cell r="G41" t="str">
            <v>12</v>
          </cell>
          <cell r="H41" t="str">
            <v>2</v>
          </cell>
          <cell r="I41" t="str">
            <v>7</v>
          </cell>
          <cell r="J41">
            <v>858</v>
          </cell>
          <cell r="K41">
            <v>91</v>
          </cell>
          <cell r="L41">
            <v>78</v>
          </cell>
          <cell r="M41">
            <v>91</v>
          </cell>
          <cell r="N41">
            <v>83</v>
          </cell>
          <cell r="O41" t="str">
            <v>7a4c</v>
          </cell>
          <cell r="P41" t="str">
            <v>Tusk</v>
          </cell>
          <cell r="Q41" t="str">
            <v>Tail</v>
          </cell>
          <cell r="R41" t="str">
            <v>Tie Up</v>
          </cell>
          <cell r="S41" t="str">
            <v>Fire</v>
          </cell>
          <cell r="T41" t="str">
            <v>Tornado</v>
          </cell>
          <cell r="U41" t="str">
            <v>Teleport</v>
          </cell>
          <cell r="V41" t="str">
            <v>O-Quake</v>
          </cell>
          <cell r="W41" t="str">
            <v>O-Fire</v>
          </cell>
          <cell r="X41" t="str">
            <v>Aberration</v>
          </cell>
        </row>
        <row r="42">
          <cell r="A42" t="str">
            <v>Big Eye</v>
          </cell>
          <cell r="B42" t="str">
            <v>Big Eye</v>
          </cell>
          <cell r="C42" t="str">
            <v>0</v>
          </cell>
          <cell r="D42" t="str">
            <v>4</v>
          </cell>
          <cell r="E42">
            <v>4</v>
          </cell>
          <cell r="F42" t="str">
            <v>04</v>
          </cell>
          <cell r="G42" t="str">
            <v>11</v>
          </cell>
          <cell r="H42" t="str">
            <v>2</v>
          </cell>
          <cell r="I42" t="str">
            <v>2</v>
          </cell>
          <cell r="J42">
            <v>182</v>
          </cell>
          <cell r="K42">
            <v>17</v>
          </cell>
          <cell r="L42">
            <v>14</v>
          </cell>
          <cell r="M42">
            <v>23</v>
          </cell>
          <cell r="N42">
            <v>18</v>
          </cell>
          <cell r="O42" t="str">
            <v>7a54</v>
          </cell>
          <cell r="P42" t="str">
            <v>Gaze</v>
          </cell>
          <cell r="Q42" t="str">
            <v>Warning</v>
          </cell>
          <cell r="R42" t="str">
            <v>O-Quake</v>
          </cell>
          <cell r="X42" t="str">
            <v>Aberration</v>
          </cell>
        </row>
        <row r="43">
          <cell r="A43" t="str">
            <v>Gazer</v>
          </cell>
          <cell r="B43" t="str">
            <v>Gazer</v>
          </cell>
          <cell r="C43" t="str">
            <v>2</v>
          </cell>
          <cell r="D43" t="str">
            <v>7</v>
          </cell>
          <cell r="E43">
            <v>7</v>
          </cell>
          <cell r="F43" t="str">
            <v>27</v>
          </cell>
          <cell r="G43" t="str">
            <v>11</v>
          </cell>
          <cell r="H43" t="str">
            <v>2</v>
          </cell>
          <cell r="I43" t="str">
            <v>4</v>
          </cell>
          <cell r="J43">
            <v>411</v>
          </cell>
          <cell r="K43">
            <v>39</v>
          </cell>
          <cell r="L43">
            <v>35</v>
          </cell>
          <cell r="M43">
            <v>49</v>
          </cell>
          <cell r="N43">
            <v>41</v>
          </cell>
          <cell r="O43" t="str">
            <v>7a57</v>
          </cell>
          <cell r="P43" t="str">
            <v>Flash</v>
          </cell>
          <cell r="Q43" t="str">
            <v>Beam</v>
          </cell>
          <cell r="R43" t="str">
            <v>Gaze</v>
          </cell>
          <cell r="S43" t="str">
            <v>Warning</v>
          </cell>
          <cell r="T43" t="str">
            <v>O-Quake</v>
          </cell>
          <cell r="X43" t="str">
            <v>Aberration</v>
          </cell>
        </row>
        <row r="44">
          <cell r="A44" t="str">
            <v>Watcher</v>
          </cell>
          <cell r="B44" t="str">
            <v>Watcher</v>
          </cell>
          <cell r="C44" t="str">
            <v>3</v>
          </cell>
          <cell r="D44" t="str">
            <v>9</v>
          </cell>
          <cell r="E44">
            <v>9</v>
          </cell>
          <cell r="F44" t="str">
            <v>39</v>
          </cell>
          <cell r="G44" t="str">
            <v>11</v>
          </cell>
          <cell r="H44" t="str">
            <v>2</v>
          </cell>
          <cell r="I44" t="str">
            <v>5</v>
          </cell>
          <cell r="J44">
            <v>614</v>
          </cell>
          <cell r="K44">
            <v>59</v>
          </cell>
          <cell r="L44">
            <v>55</v>
          </cell>
          <cell r="M44">
            <v>71</v>
          </cell>
          <cell r="N44">
            <v>61</v>
          </cell>
          <cell r="O44" t="str">
            <v>7a5c</v>
          </cell>
          <cell r="P44" t="str">
            <v>Flash</v>
          </cell>
          <cell r="Q44" t="str">
            <v>Beam</v>
          </cell>
          <cell r="R44" t="str">
            <v>Gaze</v>
          </cell>
          <cell r="S44" t="str">
            <v>StonGaze</v>
          </cell>
          <cell r="T44" t="str">
            <v>Warning</v>
          </cell>
          <cell r="U44" t="str">
            <v>O-Quake</v>
          </cell>
          <cell r="X44" t="str">
            <v>Aberration</v>
          </cell>
        </row>
        <row r="45">
          <cell r="A45" t="str">
            <v>Evil Eye</v>
          </cell>
          <cell r="B45" t="str">
            <v>Evil Eye</v>
          </cell>
          <cell r="C45" t="str">
            <v>4</v>
          </cell>
          <cell r="D45" t="str">
            <v>A</v>
          </cell>
          <cell r="E45">
            <v>10</v>
          </cell>
          <cell r="F45" t="str">
            <v>4A</v>
          </cell>
          <cell r="G45" t="str">
            <v>11</v>
          </cell>
          <cell r="H45" t="str">
            <v>2</v>
          </cell>
          <cell r="I45" t="str">
            <v>6</v>
          </cell>
          <cell r="J45">
            <v>731</v>
          </cell>
          <cell r="K45">
            <v>71</v>
          </cell>
          <cell r="L45">
            <v>66</v>
          </cell>
          <cell r="M45">
            <v>83</v>
          </cell>
          <cell r="N45">
            <v>73</v>
          </cell>
          <cell r="O45" t="str">
            <v>7a62</v>
          </cell>
          <cell r="P45" t="str">
            <v>Flash</v>
          </cell>
          <cell r="Q45" t="str">
            <v>Beam</v>
          </cell>
          <cell r="R45" t="str">
            <v>Gaze</v>
          </cell>
          <cell r="S45" t="str">
            <v>EvilEye</v>
          </cell>
          <cell r="T45" t="str">
            <v>StonGaze</v>
          </cell>
          <cell r="U45" t="str">
            <v>Warning</v>
          </cell>
          <cell r="V45" t="str">
            <v>O-Quake</v>
          </cell>
          <cell r="X45" t="str">
            <v>Aberration</v>
          </cell>
        </row>
        <row r="46">
          <cell r="A46" t="str">
            <v>Beholder</v>
          </cell>
          <cell r="B46" t="str">
            <v>Beholder</v>
          </cell>
          <cell r="C46" t="str">
            <v>5</v>
          </cell>
          <cell r="D46" t="str">
            <v>B</v>
          </cell>
          <cell r="E46">
            <v>11</v>
          </cell>
          <cell r="F46" t="str">
            <v>5B</v>
          </cell>
          <cell r="G46" t="str">
            <v>11</v>
          </cell>
          <cell r="H46" t="str">
            <v>2</v>
          </cell>
          <cell r="I46" t="str">
            <v>7</v>
          </cell>
          <cell r="J46">
            <v>858</v>
          </cell>
          <cell r="K46">
            <v>83</v>
          </cell>
          <cell r="L46">
            <v>78</v>
          </cell>
          <cell r="M46">
            <v>97</v>
          </cell>
          <cell r="N46">
            <v>86</v>
          </cell>
          <cell r="O46" t="str">
            <v>7a69</v>
          </cell>
          <cell r="P46" t="str">
            <v>Beam</v>
          </cell>
          <cell r="Q46" t="str">
            <v>D-Beam</v>
          </cell>
          <cell r="R46" t="str">
            <v>Gaze</v>
          </cell>
          <cell r="S46" t="str">
            <v>StonGaze</v>
          </cell>
          <cell r="T46" t="str">
            <v>DeathGaze</v>
          </cell>
          <cell r="U46" t="str">
            <v>Warning</v>
          </cell>
          <cell r="V46" t="str">
            <v>Explode</v>
          </cell>
          <cell r="W46" t="str">
            <v>O-Quake</v>
          </cell>
          <cell r="X46" t="str">
            <v>Aberration</v>
          </cell>
        </row>
        <row r="47">
          <cell r="A47" t="str">
            <v>Spider</v>
          </cell>
          <cell r="B47" t="str">
            <v>Spider</v>
          </cell>
          <cell r="C47" t="str">
            <v>0</v>
          </cell>
          <cell r="D47" t="str">
            <v>1</v>
          </cell>
          <cell r="E47">
            <v>1</v>
          </cell>
          <cell r="F47" t="str">
            <v>01</v>
          </cell>
          <cell r="G47" t="str">
            <v>24</v>
          </cell>
          <cell r="H47" t="str">
            <v>2</v>
          </cell>
          <cell r="I47" t="str">
            <v>0</v>
          </cell>
          <cell r="J47">
            <v>45</v>
          </cell>
          <cell r="K47">
            <v>5</v>
          </cell>
          <cell r="L47">
            <v>5</v>
          </cell>
          <cell r="M47">
            <v>5</v>
          </cell>
          <cell r="N47">
            <v>5</v>
          </cell>
          <cell r="O47" t="str">
            <v>7a71</v>
          </cell>
          <cell r="P47" t="str">
            <v>Tusk</v>
          </cell>
          <cell r="X47" t="str">
            <v>Insect</v>
          </cell>
        </row>
        <row r="48">
          <cell r="A48" t="str">
            <v>P-Spider</v>
          </cell>
          <cell r="B48" t="str">
            <v>P-Spider</v>
          </cell>
          <cell r="C48" t="str">
            <v>2</v>
          </cell>
          <cell r="D48" t="str">
            <v>4</v>
          </cell>
          <cell r="E48">
            <v>4</v>
          </cell>
          <cell r="F48" t="str">
            <v>24</v>
          </cell>
          <cell r="G48" t="str">
            <v>24</v>
          </cell>
          <cell r="H48" t="str">
            <v>2</v>
          </cell>
          <cell r="I48" t="str">
            <v>2</v>
          </cell>
          <cell r="J48">
            <v>182</v>
          </cell>
          <cell r="K48">
            <v>18</v>
          </cell>
          <cell r="L48">
            <v>18</v>
          </cell>
          <cell r="M48">
            <v>18</v>
          </cell>
          <cell r="N48">
            <v>18</v>
          </cell>
          <cell r="O48" t="str">
            <v>7a72</v>
          </cell>
          <cell r="P48" t="str">
            <v>Tusk</v>
          </cell>
          <cell r="Q48" t="str">
            <v>Venom</v>
          </cell>
          <cell r="R48" t="str">
            <v>Cobweb</v>
          </cell>
          <cell r="X48" t="str">
            <v>Insect</v>
          </cell>
        </row>
        <row r="49">
          <cell r="A49" t="str">
            <v>Tarantla</v>
          </cell>
          <cell r="B49" t="str">
            <v>Tarantla</v>
          </cell>
          <cell r="C49" t="str">
            <v>3</v>
          </cell>
          <cell r="D49" t="str">
            <v>7</v>
          </cell>
          <cell r="E49">
            <v>7</v>
          </cell>
          <cell r="F49" t="str">
            <v>37</v>
          </cell>
          <cell r="G49" t="str">
            <v>24</v>
          </cell>
          <cell r="H49" t="str">
            <v>2</v>
          </cell>
          <cell r="I49" t="str">
            <v>4</v>
          </cell>
          <cell r="J49">
            <v>411</v>
          </cell>
          <cell r="K49">
            <v>41</v>
          </cell>
          <cell r="L49">
            <v>41</v>
          </cell>
          <cell r="M49">
            <v>41</v>
          </cell>
          <cell r="N49">
            <v>41</v>
          </cell>
          <cell r="O49" t="str">
            <v>7a75</v>
          </cell>
          <cell r="P49" t="str">
            <v>Tusk</v>
          </cell>
          <cell r="Q49" t="str">
            <v>Venom</v>
          </cell>
          <cell r="R49" t="str">
            <v>ParaNail</v>
          </cell>
          <cell r="S49" t="str">
            <v>Cobweb</v>
          </cell>
          <cell r="T49" t="str">
            <v>Warning</v>
          </cell>
          <cell r="X49" t="str">
            <v>Insect</v>
          </cell>
        </row>
        <row r="50">
          <cell r="A50" t="str">
            <v>F-Spider</v>
          </cell>
          <cell r="B50" t="str">
            <v>F-Spider</v>
          </cell>
          <cell r="C50" t="str">
            <v>5</v>
          </cell>
          <cell r="D50" t="str">
            <v>A</v>
          </cell>
          <cell r="E50">
            <v>10</v>
          </cell>
          <cell r="F50" t="str">
            <v>5A</v>
          </cell>
          <cell r="G50" t="str">
            <v>24</v>
          </cell>
          <cell r="H50" t="str">
            <v>2</v>
          </cell>
          <cell r="I50" t="str">
            <v>6</v>
          </cell>
          <cell r="J50">
            <v>731</v>
          </cell>
          <cell r="K50">
            <v>73</v>
          </cell>
          <cell r="L50">
            <v>73</v>
          </cell>
          <cell r="M50">
            <v>66</v>
          </cell>
          <cell r="N50">
            <v>73</v>
          </cell>
          <cell r="O50" t="str">
            <v>7a7a</v>
          </cell>
          <cell r="P50" t="str">
            <v>Tusk</v>
          </cell>
          <cell r="Q50" t="str">
            <v>Venom</v>
          </cell>
          <cell r="R50" t="str">
            <v>ParaNail</v>
          </cell>
          <cell r="S50" t="str">
            <v>Cobweb</v>
          </cell>
          <cell r="T50" t="str">
            <v>Gas</v>
          </cell>
          <cell r="U50" t="str">
            <v>Flame</v>
          </cell>
          <cell r="V50" t="str">
            <v>Warning</v>
          </cell>
          <cell r="X50" t="str">
            <v>Insect</v>
          </cell>
        </row>
        <row r="51">
          <cell r="A51" t="str">
            <v>Arachne</v>
          </cell>
          <cell r="B51" t="str">
            <v>Arachne</v>
          </cell>
          <cell r="C51" t="str">
            <v>5</v>
          </cell>
          <cell r="D51" t="str">
            <v>B</v>
          </cell>
          <cell r="E51">
            <v>11</v>
          </cell>
          <cell r="F51" t="str">
            <v>5B</v>
          </cell>
          <cell r="G51" t="str">
            <v>24</v>
          </cell>
          <cell r="H51" t="str">
            <v>2</v>
          </cell>
          <cell r="I51" t="str">
            <v>7</v>
          </cell>
          <cell r="J51">
            <v>858</v>
          </cell>
          <cell r="K51">
            <v>86</v>
          </cell>
          <cell r="L51">
            <v>86</v>
          </cell>
          <cell r="M51">
            <v>86</v>
          </cell>
          <cell r="N51">
            <v>86</v>
          </cell>
          <cell r="O51" t="str">
            <v>7a81</v>
          </cell>
          <cell r="P51" t="str">
            <v>Tusk</v>
          </cell>
          <cell r="Q51" t="str">
            <v>Venom</v>
          </cell>
          <cell r="R51" t="str">
            <v>ParaNail</v>
          </cell>
          <cell r="S51" t="str">
            <v>Cobweb</v>
          </cell>
          <cell r="T51" t="str">
            <v>Gas</v>
          </cell>
          <cell r="U51" t="str">
            <v>Tornado</v>
          </cell>
          <cell r="V51" t="str">
            <v>Warning</v>
          </cell>
          <cell r="W51" t="str">
            <v>O-Quake</v>
          </cell>
          <cell r="X51" t="str">
            <v>Insect</v>
          </cell>
        </row>
        <row r="52">
          <cell r="A52" t="str">
            <v>Beetle</v>
          </cell>
          <cell r="B52" t="str">
            <v>Beetle</v>
          </cell>
          <cell r="C52" t="str">
            <v>0</v>
          </cell>
          <cell r="D52" t="str">
            <v>2</v>
          </cell>
          <cell r="E52">
            <v>2</v>
          </cell>
          <cell r="F52" t="str">
            <v>02</v>
          </cell>
          <cell r="G52" t="str">
            <v>13</v>
          </cell>
          <cell r="H52" t="str">
            <v>2</v>
          </cell>
          <cell r="I52" t="str">
            <v>1</v>
          </cell>
          <cell r="J52">
            <v>81</v>
          </cell>
          <cell r="K52">
            <v>4</v>
          </cell>
          <cell r="L52">
            <v>10</v>
          </cell>
          <cell r="M52">
            <v>8</v>
          </cell>
          <cell r="N52">
            <v>10</v>
          </cell>
          <cell r="O52" t="str">
            <v>7a89</v>
          </cell>
          <cell r="P52" t="str">
            <v>Pincer</v>
          </cell>
          <cell r="Q52" t="str">
            <v>X-Ice</v>
          </cell>
          <cell r="X52" t="str">
            <v>Insect</v>
          </cell>
        </row>
        <row r="53">
          <cell r="A53" t="str">
            <v>Chafer</v>
          </cell>
          <cell r="B53" t="str">
            <v>Chafer</v>
          </cell>
          <cell r="C53" t="str">
            <v>1</v>
          </cell>
          <cell r="D53" t="str">
            <v>5</v>
          </cell>
          <cell r="E53">
            <v>5</v>
          </cell>
          <cell r="F53" t="str">
            <v>15</v>
          </cell>
          <cell r="G53" t="str">
            <v>13</v>
          </cell>
          <cell r="H53" t="str">
            <v>2</v>
          </cell>
          <cell r="I53" t="str">
            <v>3</v>
          </cell>
          <cell r="J53">
            <v>248</v>
          </cell>
          <cell r="K53">
            <v>19</v>
          </cell>
          <cell r="L53">
            <v>28</v>
          </cell>
          <cell r="M53">
            <v>25</v>
          </cell>
          <cell r="N53">
            <v>28</v>
          </cell>
          <cell r="O53" t="str">
            <v>7a8b</v>
          </cell>
          <cell r="P53" t="str">
            <v>Pincer</v>
          </cell>
          <cell r="Q53" t="str">
            <v>Steal</v>
          </cell>
          <cell r="R53" t="str">
            <v>O-Quake</v>
          </cell>
          <cell r="S53" t="str">
            <v>X-Ice</v>
          </cell>
          <cell r="X53" t="str">
            <v>Insect</v>
          </cell>
        </row>
        <row r="54">
          <cell r="A54" t="str">
            <v>Ant Lion</v>
          </cell>
          <cell r="B54" t="str">
            <v>Ant Lion</v>
          </cell>
          <cell r="C54" t="str">
            <v>2</v>
          </cell>
          <cell r="D54" t="str">
            <v>6</v>
          </cell>
          <cell r="E54">
            <v>6</v>
          </cell>
          <cell r="F54" t="str">
            <v>26</v>
          </cell>
          <cell r="G54" t="str">
            <v>13</v>
          </cell>
          <cell r="H54" t="str">
            <v>2</v>
          </cell>
          <cell r="I54" t="str">
            <v>4</v>
          </cell>
          <cell r="J54">
            <v>324</v>
          </cell>
          <cell r="K54">
            <v>26</v>
          </cell>
          <cell r="L54">
            <v>36</v>
          </cell>
          <cell r="M54">
            <v>32</v>
          </cell>
          <cell r="N54">
            <v>36</v>
          </cell>
          <cell r="O54" t="str">
            <v>7a8f</v>
          </cell>
          <cell r="P54" t="str">
            <v>Pincer</v>
          </cell>
          <cell r="Q54" t="str">
            <v>Sand</v>
          </cell>
          <cell r="R54" t="str">
            <v>Blind</v>
          </cell>
          <cell r="S54" t="str">
            <v>Surprise</v>
          </cell>
          <cell r="T54" t="str">
            <v>X-Ice</v>
          </cell>
          <cell r="X54" t="str">
            <v>Insect</v>
          </cell>
        </row>
        <row r="55">
          <cell r="A55" t="str">
            <v>C-Fisher</v>
          </cell>
          <cell r="B55" t="str">
            <v>C-Fisher</v>
          </cell>
          <cell r="C55" t="str">
            <v>4</v>
          </cell>
          <cell r="D55" t="str">
            <v>A</v>
          </cell>
          <cell r="E55">
            <v>10</v>
          </cell>
          <cell r="F55" t="str">
            <v>4A</v>
          </cell>
          <cell r="G55" t="str">
            <v>13</v>
          </cell>
          <cell r="H55" t="str">
            <v>2</v>
          </cell>
          <cell r="I55" t="str">
            <v>6</v>
          </cell>
          <cell r="J55">
            <v>731</v>
          </cell>
          <cell r="K55">
            <v>63</v>
          </cell>
          <cell r="L55">
            <v>78</v>
          </cell>
          <cell r="M55">
            <v>66</v>
          </cell>
          <cell r="N55">
            <v>78</v>
          </cell>
          <cell r="O55" t="str">
            <v>7a94</v>
          </cell>
          <cell r="P55" t="str">
            <v>Tusk</v>
          </cell>
          <cell r="Q55" t="str">
            <v>Pincer</v>
          </cell>
          <cell r="R55" t="str">
            <v>Flame</v>
          </cell>
          <cell r="S55" t="str">
            <v>Gas</v>
          </cell>
          <cell r="T55" t="str">
            <v>Haste</v>
          </cell>
          <cell r="U55" t="str">
            <v>Teleport</v>
          </cell>
          <cell r="V55" t="str">
            <v>O-Quake</v>
          </cell>
          <cell r="X55" t="str">
            <v>Insect</v>
          </cell>
        </row>
        <row r="56">
          <cell r="A56" t="str">
            <v>Scarab</v>
          </cell>
          <cell r="B56" t="str">
            <v>Scarab</v>
          </cell>
          <cell r="C56" t="str">
            <v>4</v>
          </cell>
          <cell r="D56" t="str">
            <v>B</v>
          </cell>
          <cell r="E56">
            <v>11</v>
          </cell>
          <cell r="F56" t="str">
            <v>4B</v>
          </cell>
          <cell r="G56" t="str">
            <v>13</v>
          </cell>
          <cell r="H56" t="str">
            <v>2</v>
          </cell>
          <cell r="I56" t="str">
            <v>7</v>
          </cell>
          <cell r="J56">
            <v>881</v>
          </cell>
          <cell r="K56">
            <v>75</v>
          </cell>
          <cell r="L56">
            <v>91</v>
          </cell>
          <cell r="M56">
            <v>86</v>
          </cell>
          <cell r="N56">
            <v>91</v>
          </cell>
          <cell r="O56" t="str">
            <v>7a9b</v>
          </cell>
          <cell r="P56" t="str">
            <v>Tusk</v>
          </cell>
          <cell r="Q56" t="str">
            <v>Gas</v>
          </cell>
          <cell r="R56" t="str">
            <v>Bash</v>
          </cell>
          <cell r="S56" t="str">
            <v>Stench</v>
          </cell>
          <cell r="T56" t="str">
            <v>Cure</v>
          </cell>
          <cell r="U56" t="str">
            <v>Teleport</v>
          </cell>
          <cell r="V56" t="str">
            <v>O-Poison</v>
          </cell>
          <cell r="W56" t="str">
            <v>O-Quake</v>
          </cell>
          <cell r="X56" t="str">
            <v>Insect</v>
          </cell>
        </row>
        <row r="57">
          <cell r="A57" t="str">
            <v>Moth</v>
          </cell>
          <cell r="B57" t="str">
            <v>Moth</v>
          </cell>
          <cell r="C57" t="str">
            <v>1</v>
          </cell>
          <cell r="D57" t="str">
            <v>4</v>
          </cell>
          <cell r="E57">
            <v>4</v>
          </cell>
          <cell r="F57" t="str">
            <v>14</v>
          </cell>
          <cell r="G57" t="str">
            <v>23</v>
          </cell>
          <cell r="H57" t="str">
            <v>2</v>
          </cell>
          <cell r="I57" t="str">
            <v>2</v>
          </cell>
          <cell r="J57">
            <v>182</v>
          </cell>
          <cell r="K57">
            <v>13</v>
          </cell>
          <cell r="L57">
            <v>22</v>
          </cell>
          <cell r="M57">
            <v>22</v>
          </cell>
          <cell r="N57">
            <v>16</v>
          </cell>
          <cell r="O57" t="str">
            <v>7aa3</v>
          </cell>
          <cell r="P57" t="str">
            <v>Bash</v>
          </cell>
          <cell r="Q57" t="str">
            <v>Venom</v>
          </cell>
          <cell r="R57" t="str">
            <v>O-Quake</v>
          </cell>
          <cell r="X57" t="str">
            <v>Insect</v>
          </cell>
        </row>
        <row r="58">
          <cell r="A58" t="str">
            <v>Swallow</v>
          </cell>
          <cell r="B58" t="str">
            <v>Swallow</v>
          </cell>
          <cell r="C58" t="str">
            <v>2</v>
          </cell>
          <cell r="D58" t="str">
            <v>6</v>
          </cell>
          <cell r="E58">
            <v>6</v>
          </cell>
          <cell r="F58" t="str">
            <v>26</v>
          </cell>
          <cell r="G58" t="str">
            <v>23</v>
          </cell>
          <cell r="H58" t="str">
            <v>2</v>
          </cell>
          <cell r="I58" t="str">
            <v>4</v>
          </cell>
          <cell r="J58">
            <v>324</v>
          </cell>
          <cell r="K58">
            <v>26</v>
          </cell>
          <cell r="L58">
            <v>38</v>
          </cell>
          <cell r="M58">
            <v>38</v>
          </cell>
          <cell r="N58">
            <v>29</v>
          </cell>
          <cell r="O58" t="str">
            <v>7aa6</v>
          </cell>
          <cell r="P58" t="str">
            <v>Absorb</v>
          </cell>
          <cell r="Q58" t="str">
            <v>Venom</v>
          </cell>
          <cell r="R58" t="str">
            <v>Stunner</v>
          </cell>
          <cell r="S58" t="str">
            <v>Warning</v>
          </cell>
          <cell r="T58" t="str">
            <v>O-Quake</v>
          </cell>
          <cell r="X58" t="str">
            <v>Insect</v>
          </cell>
        </row>
        <row r="59">
          <cell r="A59" t="str">
            <v>FireMoth</v>
          </cell>
          <cell r="B59" t="str">
            <v>FireMoth</v>
          </cell>
          <cell r="C59" t="str">
            <v>3</v>
          </cell>
          <cell r="D59" t="str">
            <v>8</v>
          </cell>
          <cell r="E59">
            <v>8</v>
          </cell>
          <cell r="F59" t="str">
            <v>38</v>
          </cell>
          <cell r="G59" t="str">
            <v>23</v>
          </cell>
          <cell r="H59" t="str">
            <v>2</v>
          </cell>
          <cell r="I59" t="str">
            <v>5</v>
          </cell>
          <cell r="J59">
            <v>507</v>
          </cell>
          <cell r="K59">
            <v>42</v>
          </cell>
          <cell r="L59">
            <v>57</v>
          </cell>
          <cell r="M59">
            <v>52</v>
          </cell>
          <cell r="N59">
            <v>47</v>
          </cell>
          <cell r="O59" t="str">
            <v>7aab</v>
          </cell>
          <cell r="P59" t="str">
            <v>Stunner</v>
          </cell>
          <cell r="Q59" t="str">
            <v>Flame</v>
          </cell>
          <cell r="R59" t="str">
            <v>Venom</v>
          </cell>
          <cell r="S59" t="str">
            <v>Burning</v>
          </cell>
          <cell r="T59" t="str">
            <v>Warning</v>
          </cell>
          <cell r="U59" t="str">
            <v>O-Quake</v>
          </cell>
          <cell r="X59" t="str">
            <v>Insect</v>
          </cell>
        </row>
        <row r="60">
          <cell r="A60" t="str">
            <v>Gloom</v>
          </cell>
          <cell r="B60" t="str">
            <v>Gloom</v>
          </cell>
          <cell r="C60" t="str">
            <v>4</v>
          </cell>
          <cell r="D60" t="str">
            <v>A</v>
          </cell>
          <cell r="E60">
            <v>10</v>
          </cell>
          <cell r="F60" t="str">
            <v>4A</v>
          </cell>
          <cell r="G60" t="str">
            <v>23</v>
          </cell>
          <cell r="H60" t="str">
            <v>2</v>
          </cell>
          <cell r="I60" t="str">
            <v>6</v>
          </cell>
          <cell r="J60">
            <v>731</v>
          </cell>
          <cell r="K60">
            <v>63</v>
          </cell>
          <cell r="L60">
            <v>81</v>
          </cell>
          <cell r="M60">
            <v>81</v>
          </cell>
          <cell r="N60">
            <v>68</v>
          </cell>
          <cell r="O60" t="str">
            <v>7ab1</v>
          </cell>
          <cell r="P60" t="str">
            <v>Absorb</v>
          </cell>
          <cell r="Q60" t="str">
            <v>PoisonGas</v>
          </cell>
          <cell r="R60" t="str">
            <v>Stunner</v>
          </cell>
          <cell r="S60" t="str">
            <v>FatalGas</v>
          </cell>
          <cell r="T60" t="str">
            <v>Charm</v>
          </cell>
          <cell r="U60" t="str">
            <v>Warning</v>
          </cell>
          <cell r="V60" t="str">
            <v>O-Quake</v>
          </cell>
          <cell r="X60" t="str">
            <v>Insect</v>
          </cell>
        </row>
        <row r="61">
          <cell r="A61" t="str">
            <v>Madame</v>
          </cell>
          <cell r="B61" t="str">
            <v>Madame</v>
          </cell>
          <cell r="C61" t="str">
            <v>5</v>
          </cell>
          <cell r="D61" t="str">
            <v>B</v>
          </cell>
          <cell r="E61">
            <v>11</v>
          </cell>
          <cell r="F61" t="str">
            <v>5B</v>
          </cell>
          <cell r="G61" t="str">
            <v>23</v>
          </cell>
          <cell r="H61" t="str">
            <v>2</v>
          </cell>
          <cell r="I61" t="str">
            <v>7</v>
          </cell>
          <cell r="J61">
            <v>858</v>
          </cell>
          <cell r="K61">
            <v>75</v>
          </cell>
          <cell r="L61">
            <v>94</v>
          </cell>
          <cell r="M61">
            <v>94</v>
          </cell>
          <cell r="N61">
            <v>80</v>
          </cell>
          <cell r="O61" t="str">
            <v>7ab8</v>
          </cell>
          <cell r="P61" t="str">
            <v>Absorb</v>
          </cell>
          <cell r="Q61" t="str">
            <v>PoisonBurst</v>
          </cell>
          <cell r="R61" t="str">
            <v>Stunner</v>
          </cell>
          <cell r="S61" t="str">
            <v>FatalGas</v>
          </cell>
          <cell r="T61" t="str">
            <v>Heal</v>
          </cell>
          <cell r="U61" t="str">
            <v>Charm</v>
          </cell>
          <cell r="V61" t="str">
            <v>Warning</v>
          </cell>
          <cell r="W61" t="str">
            <v>O-Quake</v>
          </cell>
          <cell r="X61" t="str">
            <v>Insect</v>
          </cell>
        </row>
        <row r="62">
          <cell r="A62" t="str">
            <v>Octopus</v>
          </cell>
          <cell r="B62" t="str">
            <v>Octopus</v>
          </cell>
          <cell r="C62" t="str">
            <v>1</v>
          </cell>
          <cell r="D62" t="str">
            <v>2</v>
          </cell>
          <cell r="E62">
            <v>2</v>
          </cell>
          <cell r="F62" t="str">
            <v>12</v>
          </cell>
          <cell r="G62" t="str">
            <v>26</v>
          </cell>
          <cell r="H62" t="str">
            <v>2</v>
          </cell>
          <cell r="I62" t="str">
            <v>2</v>
          </cell>
          <cell r="J62">
            <v>99</v>
          </cell>
          <cell r="K62">
            <v>10</v>
          </cell>
          <cell r="L62">
            <v>7</v>
          </cell>
          <cell r="M62">
            <v>8</v>
          </cell>
          <cell r="N62">
            <v>5</v>
          </cell>
          <cell r="O62" t="str">
            <v>7ac0</v>
          </cell>
          <cell r="P62" t="str">
            <v>Tentacle</v>
          </cell>
          <cell r="Q62" t="str">
            <v>Ink</v>
          </cell>
          <cell r="R62" t="str">
            <v>X-Thunder</v>
          </cell>
          <cell r="X62" t="str">
            <v>Aquatic</v>
          </cell>
        </row>
        <row r="63">
          <cell r="A63" t="str">
            <v>Amoeba</v>
          </cell>
          <cell r="B63" t="str">
            <v>Amoeba</v>
          </cell>
          <cell r="C63" t="str">
            <v>1</v>
          </cell>
          <cell r="D63" t="str">
            <v>3</v>
          </cell>
          <cell r="E63">
            <v>3</v>
          </cell>
          <cell r="F63" t="str">
            <v>13</v>
          </cell>
          <cell r="G63" t="str">
            <v>26</v>
          </cell>
          <cell r="H63" t="str">
            <v>2</v>
          </cell>
          <cell r="I63" t="str">
            <v>2</v>
          </cell>
          <cell r="J63">
            <v>148</v>
          </cell>
          <cell r="K63">
            <v>15</v>
          </cell>
          <cell r="L63">
            <v>12</v>
          </cell>
          <cell r="M63">
            <v>12</v>
          </cell>
          <cell r="N63">
            <v>9</v>
          </cell>
          <cell r="O63" t="str">
            <v>7ac3</v>
          </cell>
          <cell r="P63" t="str">
            <v>Dissolve</v>
          </cell>
          <cell r="Q63" t="str">
            <v>Gas</v>
          </cell>
          <cell r="R63" t="str">
            <v>X-Thunder</v>
          </cell>
          <cell r="X63" t="str">
            <v>Aquatic</v>
          </cell>
        </row>
        <row r="64">
          <cell r="A64" t="str">
            <v>Ammonite</v>
          </cell>
          <cell r="B64" t="str">
            <v>Ammonite</v>
          </cell>
          <cell r="C64" t="str">
            <v>3</v>
          </cell>
          <cell r="D64" t="str">
            <v>6</v>
          </cell>
          <cell r="E64">
            <v>6</v>
          </cell>
          <cell r="F64" t="str">
            <v>36</v>
          </cell>
          <cell r="G64" t="str">
            <v>26</v>
          </cell>
          <cell r="H64" t="str">
            <v>2</v>
          </cell>
          <cell r="I64" t="str">
            <v>5</v>
          </cell>
          <cell r="J64">
            <v>358</v>
          </cell>
          <cell r="K64">
            <v>36</v>
          </cell>
          <cell r="L64">
            <v>31</v>
          </cell>
          <cell r="M64">
            <v>32</v>
          </cell>
          <cell r="N64">
            <v>27</v>
          </cell>
          <cell r="O64" t="str">
            <v>7ac6</v>
          </cell>
          <cell r="P64" t="str">
            <v>Ink</v>
          </cell>
          <cell r="Q64" t="str">
            <v>8-Legs</v>
          </cell>
          <cell r="R64" t="str">
            <v>Tusk</v>
          </cell>
          <cell r="S64" t="str">
            <v>Shell</v>
          </cell>
          <cell r="T64" t="str">
            <v>O-Fire</v>
          </cell>
          <cell r="U64" t="str">
            <v>X-Thunder</v>
          </cell>
          <cell r="X64" t="str">
            <v>Aquatic</v>
          </cell>
        </row>
        <row r="65">
          <cell r="A65" t="str">
            <v>Squid</v>
          </cell>
          <cell r="B65" t="str">
            <v>Squid</v>
          </cell>
          <cell r="C65" t="str">
            <v>5</v>
          </cell>
          <cell r="D65" t="str">
            <v>A</v>
          </cell>
          <cell r="E65">
            <v>10</v>
          </cell>
          <cell r="F65" t="str">
            <v>5A</v>
          </cell>
          <cell r="G65" t="str">
            <v>26</v>
          </cell>
          <cell r="H65" t="str">
            <v>2</v>
          </cell>
          <cell r="I65" t="str">
            <v>6</v>
          </cell>
          <cell r="J65">
            <v>781</v>
          </cell>
          <cell r="K65">
            <v>78</v>
          </cell>
          <cell r="L65">
            <v>71</v>
          </cell>
          <cell r="M65">
            <v>66</v>
          </cell>
          <cell r="N65">
            <v>66</v>
          </cell>
          <cell r="O65" t="str">
            <v>7acc</v>
          </cell>
          <cell r="P65" t="str">
            <v>Tusk</v>
          </cell>
          <cell r="Q65" t="str">
            <v>8-Legs</v>
          </cell>
          <cell r="R65" t="str">
            <v>Ink</v>
          </cell>
          <cell r="S65" t="str">
            <v>Tie Up</v>
          </cell>
          <cell r="T65" t="str">
            <v>Thunder</v>
          </cell>
          <cell r="U65" t="str">
            <v>Gas</v>
          </cell>
          <cell r="V65" t="str">
            <v>O-Fire</v>
          </cell>
          <cell r="X65" t="str">
            <v>Aquatic</v>
          </cell>
        </row>
        <row r="66">
          <cell r="A66" t="str">
            <v>Kraken</v>
          </cell>
          <cell r="B66" t="str">
            <v>Kraken</v>
          </cell>
          <cell r="C66" t="str">
            <v>6</v>
          </cell>
          <cell r="D66" t="str">
            <v>B</v>
          </cell>
          <cell r="E66">
            <v>11</v>
          </cell>
          <cell r="F66" t="str">
            <v>6B</v>
          </cell>
          <cell r="G66" t="str">
            <v>26</v>
          </cell>
          <cell r="H66" t="str">
            <v>2</v>
          </cell>
          <cell r="I66" t="str">
            <v>7</v>
          </cell>
          <cell r="J66">
            <v>912</v>
          </cell>
          <cell r="K66">
            <v>91</v>
          </cell>
          <cell r="L66">
            <v>83</v>
          </cell>
          <cell r="M66">
            <v>86</v>
          </cell>
          <cell r="N66">
            <v>78</v>
          </cell>
          <cell r="O66" t="str">
            <v>7ad3</v>
          </cell>
          <cell r="P66" t="str">
            <v>Tusk</v>
          </cell>
          <cell r="Q66" t="str">
            <v>8-Legs</v>
          </cell>
          <cell r="R66" t="str">
            <v>Ink</v>
          </cell>
          <cell r="S66" t="str">
            <v>Tie Up</v>
          </cell>
          <cell r="T66" t="str">
            <v>Thunder</v>
          </cell>
          <cell r="U66" t="str">
            <v>Gas</v>
          </cell>
          <cell r="V66" t="str">
            <v>Whirl</v>
          </cell>
          <cell r="W66" t="str">
            <v>O-Fire</v>
          </cell>
          <cell r="X66" t="str">
            <v>Aquatic</v>
          </cell>
        </row>
        <row r="67">
          <cell r="A67" t="str">
            <v>Barracud</v>
          </cell>
          <cell r="B67" t="str">
            <v>Barracud</v>
          </cell>
          <cell r="C67" t="str">
            <v>0</v>
          </cell>
          <cell r="D67" t="str">
            <v>2</v>
          </cell>
          <cell r="E67">
            <v>2</v>
          </cell>
          <cell r="F67" t="str">
            <v>02</v>
          </cell>
          <cell r="G67" t="str">
            <v>14</v>
          </cell>
          <cell r="H67" t="str">
            <v>2</v>
          </cell>
          <cell r="I67" t="str">
            <v>1</v>
          </cell>
          <cell r="J67">
            <v>99</v>
          </cell>
          <cell r="K67">
            <v>6</v>
          </cell>
          <cell r="L67">
            <v>10</v>
          </cell>
          <cell r="M67">
            <v>8</v>
          </cell>
          <cell r="N67">
            <v>6</v>
          </cell>
          <cell r="O67" t="str">
            <v>7adb</v>
          </cell>
          <cell r="P67" t="str">
            <v>Fin</v>
          </cell>
          <cell r="Q67" t="str">
            <v>O-Fire</v>
          </cell>
          <cell r="R67" t="str">
            <v>X-Thunder</v>
          </cell>
          <cell r="X67" t="str">
            <v>Aquatic</v>
          </cell>
        </row>
        <row r="68">
          <cell r="A68" t="str">
            <v>Piranha</v>
          </cell>
          <cell r="B68" t="str">
            <v>Piranha</v>
          </cell>
          <cell r="C68" t="str">
            <v>2</v>
          </cell>
          <cell r="D68" t="str">
            <v>6</v>
          </cell>
          <cell r="E68">
            <v>6</v>
          </cell>
          <cell r="F68" t="str">
            <v>26</v>
          </cell>
          <cell r="G68" t="str">
            <v>14</v>
          </cell>
          <cell r="H68" t="str">
            <v>2</v>
          </cell>
          <cell r="I68" t="str">
            <v>4</v>
          </cell>
          <cell r="J68">
            <v>358</v>
          </cell>
          <cell r="K68">
            <v>29</v>
          </cell>
          <cell r="L68">
            <v>36</v>
          </cell>
          <cell r="M68">
            <v>32</v>
          </cell>
          <cell r="N68">
            <v>29</v>
          </cell>
          <cell r="O68" t="str">
            <v>7add</v>
          </cell>
          <cell r="P68" t="str">
            <v>Fin</v>
          </cell>
          <cell r="Q68" t="str">
            <v>Tusk</v>
          </cell>
          <cell r="R68" t="str">
            <v>Tail</v>
          </cell>
          <cell r="S68" t="str">
            <v>O-Fire</v>
          </cell>
          <cell r="T68" t="str">
            <v>X-Thunder</v>
          </cell>
          <cell r="X68" t="str">
            <v>Aquatic</v>
          </cell>
        </row>
        <row r="69">
          <cell r="A69" t="str">
            <v>Shark</v>
          </cell>
          <cell r="B69" t="str">
            <v>Shark</v>
          </cell>
          <cell r="C69" t="str">
            <v>2</v>
          </cell>
          <cell r="D69" t="str">
            <v>8</v>
          </cell>
          <cell r="E69">
            <v>8</v>
          </cell>
          <cell r="F69" t="str">
            <v>28</v>
          </cell>
          <cell r="G69" t="str">
            <v>14</v>
          </cell>
          <cell r="H69" t="str">
            <v>2</v>
          </cell>
          <cell r="I69" t="str">
            <v>5</v>
          </cell>
          <cell r="J69">
            <v>549</v>
          </cell>
          <cell r="K69">
            <v>47</v>
          </cell>
          <cell r="L69">
            <v>55</v>
          </cell>
          <cell r="M69">
            <v>51</v>
          </cell>
          <cell r="N69">
            <v>47</v>
          </cell>
          <cell r="O69" t="str">
            <v>7ae2</v>
          </cell>
          <cell r="P69" t="str">
            <v>Head</v>
          </cell>
          <cell r="Q69" t="str">
            <v>Tusk</v>
          </cell>
          <cell r="R69" t="str">
            <v>Tail</v>
          </cell>
          <cell r="S69" t="str">
            <v>Warning</v>
          </cell>
          <cell r="T69" t="str">
            <v>O-Fire</v>
          </cell>
          <cell r="U69" t="str">
            <v>X-Thunder</v>
          </cell>
          <cell r="X69" t="str">
            <v>Aquatic</v>
          </cell>
        </row>
        <row r="70">
          <cell r="A70" t="str">
            <v>Gunfish</v>
          </cell>
          <cell r="B70" t="str">
            <v>Gunfish</v>
          </cell>
          <cell r="C70" t="str">
            <v>4</v>
          </cell>
          <cell r="D70" t="str">
            <v>A</v>
          </cell>
          <cell r="E70">
            <v>10</v>
          </cell>
          <cell r="F70" t="str">
            <v>4A</v>
          </cell>
          <cell r="G70" t="str">
            <v>14</v>
          </cell>
          <cell r="H70" t="str">
            <v>2</v>
          </cell>
          <cell r="I70" t="str">
            <v>6</v>
          </cell>
          <cell r="J70">
            <v>781</v>
          </cell>
          <cell r="K70">
            <v>68</v>
          </cell>
          <cell r="L70">
            <v>78</v>
          </cell>
          <cell r="M70">
            <v>73</v>
          </cell>
          <cell r="N70">
            <v>68</v>
          </cell>
          <cell r="O70" t="str">
            <v>7ae8</v>
          </cell>
          <cell r="P70" t="str">
            <v>Fin</v>
          </cell>
          <cell r="Q70" t="str">
            <v>Tusk</v>
          </cell>
          <cell r="R70" t="str">
            <v>Tail</v>
          </cell>
          <cell r="S70" t="str">
            <v>Blitz</v>
          </cell>
          <cell r="T70" t="str">
            <v>Squirt</v>
          </cell>
          <cell r="U70" t="str">
            <v>O-Quake</v>
          </cell>
          <cell r="V70" t="str">
            <v>O-Fire</v>
          </cell>
          <cell r="X70" t="str">
            <v>Aquatic</v>
          </cell>
        </row>
        <row r="71">
          <cell r="A71" t="str">
            <v>Leviathn</v>
          </cell>
          <cell r="B71" t="str">
            <v>Leviathn</v>
          </cell>
          <cell r="C71" t="str">
            <v>5</v>
          </cell>
          <cell r="D71" t="str">
            <v>B</v>
          </cell>
          <cell r="E71">
            <v>11</v>
          </cell>
          <cell r="F71" t="str">
            <v>5B</v>
          </cell>
          <cell r="G71" t="str">
            <v>14</v>
          </cell>
          <cell r="H71" t="str">
            <v>2</v>
          </cell>
          <cell r="I71" t="str">
            <v>7</v>
          </cell>
          <cell r="J71">
            <v>912</v>
          </cell>
          <cell r="K71">
            <v>80</v>
          </cell>
          <cell r="L71">
            <v>91</v>
          </cell>
          <cell r="M71">
            <v>86</v>
          </cell>
          <cell r="N71">
            <v>80</v>
          </cell>
          <cell r="O71" t="str">
            <v>7aef</v>
          </cell>
          <cell r="P71" t="str">
            <v>Fin</v>
          </cell>
          <cell r="Q71" t="str">
            <v>Tusk</v>
          </cell>
          <cell r="R71" t="str">
            <v>Tail</v>
          </cell>
          <cell r="S71" t="str">
            <v>Blitz</v>
          </cell>
          <cell r="T71" t="str">
            <v>Thunder</v>
          </cell>
          <cell r="U71" t="str">
            <v>Whirl</v>
          </cell>
          <cell r="V71" t="str">
            <v>O-Quake</v>
          </cell>
          <cell r="W71" t="str">
            <v>O-Fire</v>
          </cell>
          <cell r="X71" t="str">
            <v>Aquatic</v>
          </cell>
        </row>
        <row r="72">
          <cell r="A72" t="str">
            <v>Crab</v>
          </cell>
          <cell r="B72" t="str">
            <v>Crab</v>
          </cell>
          <cell r="C72" t="str">
            <v>0</v>
          </cell>
          <cell r="D72" t="str">
            <v>3</v>
          </cell>
          <cell r="E72">
            <v>3</v>
          </cell>
          <cell r="F72" t="str">
            <v>03</v>
          </cell>
          <cell r="G72" t="str">
            <v>25</v>
          </cell>
          <cell r="H72" t="str">
            <v>2</v>
          </cell>
          <cell r="I72" t="str">
            <v>1</v>
          </cell>
          <cell r="J72">
            <v>115</v>
          </cell>
          <cell r="K72">
            <v>10</v>
          </cell>
          <cell r="L72">
            <v>12</v>
          </cell>
          <cell r="M72">
            <v>13</v>
          </cell>
          <cell r="N72">
            <v>17</v>
          </cell>
          <cell r="O72" t="str">
            <v>7af7</v>
          </cell>
          <cell r="P72" t="str">
            <v>W-Pincer</v>
          </cell>
          <cell r="Q72" t="str">
            <v>X-Thunder</v>
          </cell>
          <cell r="X72" t="str">
            <v>Aquatic</v>
          </cell>
        </row>
        <row r="73">
          <cell r="A73" t="str">
            <v>Hermit</v>
          </cell>
          <cell r="B73" t="str">
            <v>Hermit</v>
          </cell>
          <cell r="C73" t="str">
            <v>2</v>
          </cell>
          <cell r="D73" t="str">
            <v>7</v>
          </cell>
          <cell r="E73">
            <v>7</v>
          </cell>
          <cell r="F73" t="str">
            <v>27</v>
          </cell>
          <cell r="G73" t="str">
            <v>25</v>
          </cell>
          <cell r="H73" t="str">
            <v>2</v>
          </cell>
          <cell r="I73" t="str">
            <v>4</v>
          </cell>
          <cell r="J73">
            <v>392</v>
          </cell>
          <cell r="K73">
            <v>37</v>
          </cell>
          <cell r="L73">
            <v>39</v>
          </cell>
          <cell r="M73">
            <v>41</v>
          </cell>
          <cell r="N73">
            <v>49</v>
          </cell>
          <cell r="O73" t="str">
            <v>7af9</v>
          </cell>
          <cell r="P73" t="str">
            <v>W-Pincer</v>
          </cell>
          <cell r="Q73" t="str">
            <v>Shell</v>
          </cell>
          <cell r="R73" t="str">
            <v>ParaNail</v>
          </cell>
          <cell r="S73" t="str">
            <v>O-Fire</v>
          </cell>
          <cell r="T73" t="str">
            <v>X-Thunder</v>
          </cell>
          <cell r="X73" t="str">
            <v>Aquatic</v>
          </cell>
        </row>
        <row r="74">
          <cell r="A74" t="str">
            <v>Ice Crab</v>
          </cell>
          <cell r="B74" t="str">
            <v>Ice Crab</v>
          </cell>
          <cell r="C74" t="str">
            <v>3</v>
          </cell>
          <cell r="D74" t="str">
            <v>9</v>
          </cell>
          <cell r="E74">
            <v>9</v>
          </cell>
          <cell r="F74" t="str">
            <v>39</v>
          </cell>
          <cell r="G74" t="str">
            <v>25</v>
          </cell>
          <cell r="H74" t="str">
            <v>2</v>
          </cell>
          <cell r="I74" t="str">
            <v>5</v>
          </cell>
          <cell r="J74">
            <v>591</v>
          </cell>
          <cell r="K74">
            <v>57</v>
          </cell>
          <cell r="L74">
            <v>59</v>
          </cell>
          <cell r="M74">
            <v>55</v>
          </cell>
          <cell r="N74">
            <v>71</v>
          </cell>
          <cell r="O74" t="str">
            <v>7afe</v>
          </cell>
          <cell r="P74" t="str">
            <v>W-Pincer</v>
          </cell>
          <cell r="Q74" t="str">
            <v>Blizzard</v>
          </cell>
          <cell r="R74" t="str">
            <v>ParaSkin</v>
          </cell>
          <cell r="S74" t="str">
            <v>Tusk</v>
          </cell>
          <cell r="T74" t="str">
            <v>O-Ice</v>
          </cell>
          <cell r="U74" t="str">
            <v>X-Thunder</v>
          </cell>
          <cell r="X74" t="str">
            <v>Aquatic</v>
          </cell>
        </row>
        <row r="75">
          <cell r="A75" t="str">
            <v>KingCrab</v>
          </cell>
          <cell r="B75" t="str">
            <v>KingCrab</v>
          </cell>
          <cell r="C75" t="str">
            <v>3</v>
          </cell>
          <cell r="D75" t="str">
            <v>A</v>
          </cell>
          <cell r="E75">
            <v>10</v>
          </cell>
          <cell r="F75" t="str">
            <v>3A</v>
          </cell>
          <cell r="G75" t="str">
            <v>25</v>
          </cell>
          <cell r="H75" t="str">
            <v>2</v>
          </cell>
          <cell r="I75" t="str">
            <v>6</v>
          </cell>
          <cell r="J75">
            <v>706</v>
          </cell>
          <cell r="K75">
            <v>68</v>
          </cell>
          <cell r="L75">
            <v>71</v>
          </cell>
          <cell r="M75">
            <v>73</v>
          </cell>
          <cell r="N75">
            <v>83</v>
          </cell>
          <cell r="O75" t="str">
            <v>7b04</v>
          </cell>
          <cell r="P75" t="str">
            <v>W-Pincer</v>
          </cell>
          <cell r="Q75" t="str">
            <v>Tusk</v>
          </cell>
          <cell r="R75" t="str">
            <v>ParaNail</v>
          </cell>
          <cell r="S75" t="str">
            <v>Thunder</v>
          </cell>
          <cell r="T75" t="str">
            <v>O-Stone</v>
          </cell>
          <cell r="U75" t="str">
            <v>O-Fire</v>
          </cell>
          <cell r="V75" t="str">
            <v>X-Thunder</v>
          </cell>
          <cell r="X75" t="str">
            <v>Aquatic</v>
          </cell>
        </row>
        <row r="76">
          <cell r="A76" t="str">
            <v>Dagon</v>
          </cell>
          <cell r="B76" t="str">
            <v>Dagon</v>
          </cell>
          <cell r="C76" t="str">
            <v>4</v>
          </cell>
          <cell r="D76" t="str">
            <v>B</v>
          </cell>
          <cell r="E76">
            <v>11</v>
          </cell>
          <cell r="F76" t="str">
            <v>4B</v>
          </cell>
          <cell r="G76" t="str">
            <v>25</v>
          </cell>
          <cell r="H76" t="str">
            <v>2</v>
          </cell>
          <cell r="I76" t="str">
            <v>7</v>
          </cell>
          <cell r="J76">
            <v>831</v>
          </cell>
          <cell r="K76">
            <v>80</v>
          </cell>
          <cell r="L76">
            <v>83</v>
          </cell>
          <cell r="M76">
            <v>86</v>
          </cell>
          <cell r="N76">
            <v>97</v>
          </cell>
          <cell r="O76" t="str">
            <v>7b0b</v>
          </cell>
          <cell r="P76" t="str">
            <v>W-Pincer</v>
          </cell>
          <cell r="Q76" t="str">
            <v>Tusk</v>
          </cell>
          <cell r="R76" t="str">
            <v>ParaNail</v>
          </cell>
          <cell r="S76" t="str">
            <v>Thunder</v>
          </cell>
          <cell r="T76" t="str">
            <v>Whirl</v>
          </cell>
          <cell r="U76" t="str">
            <v>O-Poison</v>
          </cell>
          <cell r="V76" t="str">
            <v>O-Stone</v>
          </cell>
          <cell r="W76" t="str">
            <v>O-Fire</v>
          </cell>
          <cell r="X76" t="str">
            <v>Aquatic</v>
          </cell>
        </row>
        <row r="77">
          <cell r="A77" t="str">
            <v>Toad</v>
          </cell>
          <cell r="B77" t="str">
            <v>Toad</v>
          </cell>
          <cell r="C77" t="str">
            <v>0</v>
          </cell>
          <cell r="D77" t="str">
            <v>1</v>
          </cell>
          <cell r="E77">
            <v>1</v>
          </cell>
          <cell r="F77" t="str">
            <v>01</v>
          </cell>
          <cell r="G77" t="str">
            <v>15</v>
          </cell>
          <cell r="H77" t="str">
            <v>2</v>
          </cell>
          <cell r="I77" t="str">
            <v>1</v>
          </cell>
          <cell r="J77">
            <v>52</v>
          </cell>
          <cell r="K77">
            <v>5</v>
          </cell>
          <cell r="L77">
            <v>6</v>
          </cell>
          <cell r="M77">
            <v>3</v>
          </cell>
          <cell r="N77">
            <v>4</v>
          </cell>
          <cell r="O77" t="str">
            <v>7b13</v>
          </cell>
          <cell r="P77" t="str">
            <v>Tongue</v>
          </cell>
          <cell r="Q77" t="str">
            <v>X-Ice</v>
          </cell>
          <cell r="X77" t="str">
            <v>Reptile</v>
          </cell>
        </row>
        <row r="78">
          <cell r="A78" t="str">
            <v>P-Toad</v>
          </cell>
          <cell r="B78" t="str">
            <v>P-Toad</v>
          </cell>
          <cell r="C78" t="str">
            <v>2</v>
          </cell>
          <cell r="D78" t="str">
            <v>5</v>
          </cell>
          <cell r="E78">
            <v>5</v>
          </cell>
          <cell r="F78" t="str">
            <v>25</v>
          </cell>
          <cell r="G78" t="str">
            <v>15</v>
          </cell>
          <cell r="H78" t="str">
            <v>2</v>
          </cell>
          <cell r="I78" t="str">
            <v>4</v>
          </cell>
          <cell r="J78">
            <v>263</v>
          </cell>
          <cell r="K78">
            <v>25</v>
          </cell>
          <cell r="L78">
            <v>28</v>
          </cell>
          <cell r="M78">
            <v>20</v>
          </cell>
          <cell r="N78">
            <v>23</v>
          </cell>
          <cell r="O78" t="str">
            <v>7b15</v>
          </cell>
          <cell r="P78" t="str">
            <v>Tongue</v>
          </cell>
          <cell r="Q78" t="str">
            <v>P-Skin</v>
          </cell>
          <cell r="R78" t="str">
            <v>Gas</v>
          </cell>
          <cell r="S78" t="str">
            <v>O-Poison</v>
          </cell>
          <cell r="T78" t="str">
            <v>X-Ice</v>
          </cell>
          <cell r="X78" t="str">
            <v>Reptile</v>
          </cell>
        </row>
        <row r="79">
          <cell r="A79" t="str">
            <v>HugeToad</v>
          </cell>
          <cell r="B79" t="str">
            <v>HugeToad</v>
          </cell>
          <cell r="C79" t="str">
            <v>4</v>
          </cell>
          <cell r="D79" t="str">
            <v>9</v>
          </cell>
          <cell r="E79">
            <v>9</v>
          </cell>
          <cell r="F79" t="str">
            <v>49</v>
          </cell>
          <cell r="G79" t="str">
            <v>15</v>
          </cell>
          <cell r="H79" t="str">
            <v>2</v>
          </cell>
          <cell r="I79" t="str">
            <v>5</v>
          </cell>
          <cell r="J79">
            <v>637</v>
          </cell>
          <cell r="K79">
            <v>61</v>
          </cell>
          <cell r="L79">
            <v>66</v>
          </cell>
          <cell r="M79">
            <v>52</v>
          </cell>
          <cell r="N79">
            <v>59</v>
          </cell>
          <cell r="O79" t="str">
            <v>7b1a</v>
          </cell>
          <cell r="P79" t="str">
            <v>Tongue</v>
          </cell>
          <cell r="Q79" t="str">
            <v>Kick</v>
          </cell>
          <cell r="R79" t="str">
            <v>Gas</v>
          </cell>
          <cell r="S79" t="str">
            <v>Tie Up</v>
          </cell>
          <cell r="T79" t="str">
            <v>CursSong</v>
          </cell>
          <cell r="U79" t="str">
            <v>O-Poison</v>
          </cell>
          <cell r="X79" t="str">
            <v>Reptile</v>
          </cell>
        </row>
        <row r="80">
          <cell r="A80" t="str">
            <v>GianToad</v>
          </cell>
          <cell r="B80" t="str">
            <v>GianToad</v>
          </cell>
          <cell r="C80" t="str">
            <v>4</v>
          </cell>
          <cell r="D80" t="str">
            <v>A</v>
          </cell>
          <cell r="E80">
            <v>10</v>
          </cell>
          <cell r="F80" t="str">
            <v>4A</v>
          </cell>
          <cell r="G80" t="str">
            <v>15</v>
          </cell>
          <cell r="H80" t="str">
            <v>2</v>
          </cell>
          <cell r="I80" t="str">
            <v>6</v>
          </cell>
          <cell r="J80">
            <v>756</v>
          </cell>
          <cell r="K80">
            <v>73</v>
          </cell>
          <cell r="L80">
            <v>78</v>
          </cell>
          <cell r="M80">
            <v>62</v>
          </cell>
          <cell r="N80">
            <v>71</v>
          </cell>
          <cell r="O80" t="str">
            <v>7b20</v>
          </cell>
          <cell r="P80" t="str">
            <v>Tongue</v>
          </cell>
          <cell r="Q80" t="str">
            <v>Kick</v>
          </cell>
          <cell r="R80" t="str">
            <v>Tie Up</v>
          </cell>
          <cell r="S80" t="str">
            <v>Gas</v>
          </cell>
          <cell r="T80" t="str">
            <v>CursSong</v>
          </cell>
          <cell r="U80" t="str">
            <v>Warning</v>
          </cell>
          <cell r="V80" t="str">
            <v>O-Poison</v>
          </cell>
          <cell r="X80" t="str">
            <v>Reptile</v>
          </cell>
        </row>
        <row r="81">
          <cell r="A81" t="str">
            <v>KingToad</v>
          </cell>
          <cell r="B81" t="str">
            <v>KingToad</v>
          </cell>
          <cell r="C81" t="str">
            <v>5</v>
          </cell>
          <cell r="D81" t="str">
            <v>B</v>
          </cell>
          <cell r="E81">
            <v>11</v>
          </cell>
          <cell r="F81" t="str">
            <v>5B</v>
          </cell>
          <cell r="G81" t="str">
            <v>15</v>
          </cell>
          <cell r="H81" t="str">
            <v>2</v>
          </cell>
          <cell r="I81" t="str">
            <v>7</v>
          </cell>
          <cell r="J81">
            <v>885</v>
          </cell>
          <cell r="K81">
            <v>86</v>
          </cell>
          <cell r="L81">
            <v>91</v>
          </cell>
          <cell r="M81">
            <v>80</v>
          </cell>
          <cell r="N81">
            <v>83</v>
          </cell>
          <cell r="O81" t="str">
            <v>7b27</v>
          </cell>
          <cell r="P81" t="str">
            <v>Tongue</v>
          </cell>
          <cell r="Q81" t="str">
            <v>Kick</v>
          </cell>
          <cell r="R81" t="str">
            <v>Tie Up</v>
          </cell>
          <cell r="S81" t="str">
            <v>Gas</v>
          </cell>
          <cell r="T81" t="str">
            <v>MadSong</v>
          </cell>
          <cell r="U81" t="str">
            <v>CursSong</v>
          </cell>
          <cell r="V81" t="str">
            <v>Warning</v>
          </cell>
          <cell r="W81" t="str">
            <v>O-Poison</v>
          </cell>
          <cell r="X81" t="str">
            <v>Reptile</v>
          </cell>
        </row>
        <row r="82">
          <cell r="A82" t="str">
            <v>Snake</v>
          </cell>
          <cell r="B82" t="str">
            <v>Snake</v>
          </cell>
          <cell r="C82" t="str">
            <v>0</v>
          </cell>
          <cell r="D82" t="str">
            <v>2</v>
          </cell>
          <cell r="E82">
            <v>2</v>
          </cell>
          <cell r="F82" t="str">
            <v>02</v>
          </cell>
          <cell r="G82" t="str">
            <v>02</v>
          </cell>
          <cell r="H82" t="str">
            <v>2</v>
          </cell>
          <cell r="I82" t="str">
            <v>1</v>
          </cell>
          <cell r="J82">
            <v>81</v>
          </cell>
          <cell r="K82">
            <v>9</v>
          </cell>
          <cell r="L82">
            <v>8</v>
          </cell>
          <cell r="M82">
            <v>6</v>
          </cell>
          <cell r="N82">
            <v>9</v>
          </cell>
          <cell r="O82" t="str">
            <v>7b2f</v>
          </cell>
          <cell r="P82" t="str">
            <v>Tusk</v>
          </cell>
          <cell r="Q82" t="str">
            <v>O-Poison</v>
          </cell>
          <cell r="R82" t="str">
            <v>X-Ice</v>
          </cell>
          <cell r="X82" t="str">
            <v>Reptile</v>
          </cell>
        </row>
        <row r="83">
          <cell r="A83" t="str">
            <v>Serpent</v>
          </cell>
          <cell r="B83" t="str">
            <v>Serpent</v>
          </cell>
          <cell r="C83" t="str">
            <v>2</v>
          </cell>
          <cell r="D83" t="str">
            <v>6</v>
          </cell>
          <cell r="E83">
            <v>6</v>
          </cell>
          <cell r="F83" t="str">
            <v>26</v>
          </cell>
          <cell r="G83" t="str">
            <v>02</v>
          </cell>
          <cell r="H83" t="str">
            <v>2</v>
          </cell>
          <cell r="I83" t="str">
            <v>4</v>
          </cell>
          <cell r="J83">
            <v>324</v>
          </cell>
          <cell r="K83">
            <v>34</v>
          </cell>
          <cell r="L83">
            <v>32</v>
          </cell>
          <cell r="M83">
            <v>29</v>
          </cell>
          <cell r="N83">
            <v>34</v>
          </cell>
          <cell r="O83" t="str">
            <v>7b31</v>
          </cell>
          <cell r="P83" t="str">
            <v>Tusk</v>
          </cell>
          <cell r="Q83" t="str">
            <v>Venom</v>
          </cell>
          <cell r="R83" t="str">
            <v>Tie Up</v>
          </cell>
          <cell r="S83" t="str">
            <v>Surprise</v>
          </cell>
          <cell r="T83" t="str">
            <v>O-Poison</v>
          </cell>
          <cell r="U83" t="str">
            <v>X-Ice</v>
          </cell>
          <cell r="X83" t="str">
            <v>Reptile</v>
          </cell>
        </row>
        <row r="84">
          <cell r="A84" t="str">
            <v>Anaconda</v>
          </cell>
          <cell r="B84" t="str">
            <v>Anaconda</v>
          </cell>
          <cell r="C84" t="str">
            <v>3</v>
          </cell>
          <cell r="D84" t="str">
            <v>7</v>
          </cell>
          <cell r="E84">
            <v>7</v>
          </cell>
          <cell r="F84" t="str">
            <v>37</v>
          </cell>
          <cell r="G84" t="str">
            <v>02</v>
          </cell>
          <cell r="H84" t="str">
            <v>2</v>
          </cell>
          <cell r="I84" t="str">
            <v>5</v>
          </cell>
          <cell r="J84">
            <v>411</v>
          </cell>
          <cell r="K84">
            <v>43</v>
          </cell>
          <cell r="L84">
            <v>41</v>
          </cell>
          <cell r="M84">
            <v>34</v>
          </cell>
          <cell r="N84">
            <v>43</v>
          </cell>
          <cell r="O84" t="str">
            <v>7b36</v>
          </cell>
          <cell r="P84" t="str">
            <v>Tusk</v>
          </cell>
          <cell r="Q84" t="str">
            <v>Venom</v>
          </cell>
          <cell r="R84" t="str">
            <v>Gas</v>
          </cell>
          <cell r="S84" t="str">
            <v>Tie Up</v>
          </cell>
          <cell r="T84" t="str">
            <v>O-Poison</v>
          </cell>
          <cell r="U84" t="str">
            <v>X-Ice</v>
          </cell>
          <cell r="X84" t="str">
            <v>Reptile</v>
          </cell>
        </row>
        <row r="85">
          <cell r="A85" t="str">
            <v>Hydra</v>
          </cell>
          <cell r="B85" t="str">
            <v>Hydra</v>
          </cell>
          <cell r="C85" t="str">
            <v>3</v>
          </cell>
          <cell r="D85" t="str">
            <v>A</v>
          </cell>
          <cell r="E85">
            <v>10</v>
          </cell>
          <cell r="F85" t="str">
            <v>3A</v>
          </cell>
          <cell r="G85" t="str">
            <v>02</v>
          </cell>
          <cell r="H85" t="str">
            <v>2</v>
          </cell>
          <cell r="I85" t="str">
            <v>6</v>
          </cell>
          <cell r="J85">
            <v>731</v>
          </cell>
          <cell r="K85">
            <v>76</v>
          </cell>
          <cell r="L85">
            <v>73</v>
          </cell>
          <cell r="M85">
            <v>62</v>
          </cell>
          <cell r="N85">
            <v>76</v>
          </cell>
          <cell r="O85" t="str">
            <v>7b3c</v>
          </cell>
          <cell r="P85" t="str">
            <v>Tusk</v>
          </cell>
          <cell r="Q85" t="str">
            <v>Tie Up</v>
          </cell>
          <cell r="R85" t="str">
            <v>4-Heads</v>
          </cell>
          <cell r="S85" t="str">
            <v>Gas</v>
          </cell>
          <cell r="T85" t="str">
            <v>Recover</v>
          </cell>
          <cell r="U85" t="str">
            <v>O-Poison</v>
          </cell>
          <cell r="V85" t="str">
            <v>X-Thunder</v>
          </cell>
          <cell r="X85" t="str">
            <v>Reptile</v>
          </cell>
        </row>
        <row r="86">
          <cell r="A86" t="str">
            <v>Jorgandr</v>
          </cell>
          <cell r="B86" t="str">
            <v>Jorgandr</v>
          </cell>
          <cell r="C86" t="str">
            <v>3</v>
          </cell>
          <cell r="D86" t="str">
            <v>B</v>
          </cell>
          <cell r="E86">
            <v>11</v>
          </cell>
          <cell r="F86" t="str">
            <v>3B</v>
          </cell>
          <cell r="G86" t="str">
            <v>02</v>
          </cell>
          <cell r="H86" t="str">
            <v>2</v>
          </cell>
          <cell r="I86" t="str">
            <v>7</v>
          </cell>
          <cell r="J86">
            <v>858</v>
          </cell>
          <cell r="K86">
            <v>89</v>
          </cell>
          <cell r="L86">
            <v>86</v>
          </cell>
          <cell r="M86">
            <v>80</v>
          </cell>
          <cell r="N86">
            <v>89</v>
          </cell>
          <cell r="O86" t="str">
            <v>7b43</v>
          </cell>
          <cell r="P86" t="str">
            <v>Tusk</v>
          </cell>
          <cell r="Q86" t="str">
            <v>Tie Up</v>
          </cell>
          <cell r="R86" t="str">
            <v>Gas</v>
          </cell>
          <cell r="S86" t="str">
            <v>Quake</v>
          </cell>
          <cell r="T86" t="str">
            <v>Teleport</v>
          </cell>
          <cell r="U86" t="str">
            <v>Recover</v>
          </cell>
          <cell r="V86" t="str">
            <v>O-Change</v>
          </cell>
          <cell r="W86" t="str">
            <v>O-Quake</v>
          </cell>
          <cell r="X86" t="str">
            <v>Reptile</v>
          </cell>
        </row>
        <row r="87">
          <cell r="A87" t="str">
            <v>Tortoise</v>
          </cell>
          <cell r="B87" t="str">
            <v>Tortoise</v>
          </cell>
          <cell r="C87" t="str">
            <v>1</v>
          </cell>
          <cell r="D87" t="str">
            <v>4</v>
          </cell>
          <cell r="E87">
            <v>4</v>
          </cell>
          <cell r="F87" t="str">
            <v>14</v>
          </cell>
          <cell r="G87" t="str">
            <v>27</v>
          </cell>
          <cell r="H87" t="str">
            <v>2</v>
          </cell>
          <cell r="I87" t="str">
            <v>2</v>
          </cell>
          <cell r="J87">
            <v>182</v>
          </cell>
          <cell r="K87">
            <v>18</v>
          </cell>
          <cell r="L87">
            <v>13</v>
          </cell>
          <cell r="M87">
            <v>17</v>
          </cell>
          <cell r="N87">
            <v>25</v>
          </cell>
          <cell r="O87" t="str">
            <v>7b4b</v>
          </cell>
          <cell r="P87" t="str">
            <v>Tusk</v>
          </cell>
          <cell r="Q87" t="str">
            <v>Shell</v>
          </cell>
          <cell r="R87" t="str">
            <v>X-Ice</v>
          </cell>
          <cell r="X87" t="str">
            <v>Reptile</v>
          </cell>
        </row>
        <row r="88">
          <cell r="A88" t="str">
            <v>Turtle</v>
          </cell>
          <cell r="B88" t="str">
            <v>Turtle</v>
          </cell>
          <cell r="C88" t="str">
            <v>2</v>
          </cell>
          <cell r="D88" t="str">
            <v>5</v>
          </cell>
          <cell r="E88">
            <v>5</v>
          </cell>
          <cell r="F88" t="str">
            <v>25</v>
          </cell>
          <cell r="G88" t="str">
            <v>27</v>
          </cell>
          <cell r="H88" t="str">
            <v>2</v>
          </cell>
          <cell r="I88" t="str">
            <v>3</v>
          </cell>
          <cell r="J88">
            <v>248</v>
          </cell>
          <cell r="K88">
            <v>25</v>
          </cell>
          <cell r="L88">
            <v>19</v>
          </cell>
          <cell r="M88">
            <v>23</v>
          </cell>
          <cell r="N88">
            <v>32</v>
          </cell>
          <cell r="O88" t="str">
            <v>7b4e</v>
          </cell>
          <cell r="P88" t="str">
            <v>Tusk</v>
          </cell>
          <cell r="Q88" t="str">
            <v>Bash</v>
          </cell>
          <cell r="R88" t="str">
            <v>Shell</v>
          </cell>
          <cell r="S88" t="str">
            <v>X-Ice</v>
          </cell>
          <cell r="X88" t="str">
            <v>Reptile</v>
          </cell>
        </row>
        <row r="89">
          <cell r="A89" t="str">
            <v>Adamant</v>
          </cell>
          <cell r="B89" t="str">
            <v>Adamant</v>
          </cell>
          <cell r="C89" t="str">
            <v>3</v>
          </cell>
          <cell r="D89" t="str">
            <v>8</v>
          </cell>
          <cell r="E89">
            <v>8</v>
          </cell>
          <cell r="F89" t="str">
            <v>38</v>
          </cell>
          <cell r="G89" t="str">
            <v>27</v>
          </cell>
          <cell r="H89" t="str">
            <v>2</v>
          </cell>
          <cell r="I89" t="str">
            <v>5</v>
          </cell>
          <cell r="J89">
            <v>507</v>
          </cell>
          <cell r="K89">
            <v>51</v>
          </cell>
          <cell r="L89">
            <v>42</v>
          </cell>
          <cell r="M89">
            <v>45</v>
          </cell>
          <cell r="N89">
            <v>61</v>
          </cell>
          <cell r="O89" t="str">
            <v>7b52</v>
          </cell>
          <cell r="P89" t="str">
            <v>Bash</v>
          </cell>
          <cell r="Q89" t="str">
            <v>Gas</v>
          </cell>
          <cell r="R89" t="str">
            <v>Shell</v>
          </cell>
          <cell r="S89" t="str">
            <v>Tusk</v>
          </cell>
          <cell r="T89" t="str">
            <v>O-Poison</v>
          </cell>
          <cell r="U89" t="str">
            <v>X-Ice</v>
          </cell>
          <cell r="X89" t="str">
            <v>Reptile</v>
          </cell>
        </row>
        <row r="90">
          <cell r="A90" t="str">
            <v>D-Turtle</v>
          </cell>
          <cell r="B90" t="str">
            <v>D-Turtle</v>
          </cell>
          <cell r="C90" t="str">
            <v>4</v>
          </cell>
          <cell r="D90" t="str">
            <v>A</v>
          </cell>
          <cell r="E90">
            <v>10</v>
          </cell>
          <cell r="F90" t="str">
            <v>4A</v>
          </cell>
          <cell r="G90" t="str">
            <v>27</v>
          </cell>
          <cell r="H90" t="str">
            <v>2</v>
          </cell>
          <cell r="I90" t="str">
            <v>6</v>
          </cell>
          <cell r="J90">
            <v>731</v>
          </cell>
          <cell r="K90">
            <v>73</v>
          </cell>
          <cell r="L90">
            <v>63</v>
          </cell>
          <cell r="M90">
            <v>64</v>
          </cell>
          <cell r="N90">
            <v>86</v>
          </cell>
          <cell r="O90" t="str">
            <v>7b58</v>
          </cell>
          <cell r="P90" t="str">
            <v>Tusk</v>
          </cell>
          <cell r="Q90" t="str">
            <v>Bash</v>
          </cell>
          <cell r="R90" t="str">
            <v>Gas</v>
          </cell>
          <cell r="S90" t="str">
            <v>Shell</v>
          </cell>
          <cell r="T90" t="str">
            <v>O-Poison</v>
          </cell>
          <cell r="U90" t="str">
            <v>X-Ice</v>
          </cell>
          <cell r="X90" t="str">
            <v>Reptile</v>
          </cell>
        </row>
        <row r="91">
          <cell r="A91" t="str">
            <v>Gen-Bu</v>
          </cell>
          <cell r="B91" t="str">
            <v>Gen-Bu</v>
          </cell>
          <cell r="C91" t="str">
            <v>4</v>
          </cell>
          <cell r="D91" t="str">
            <v>B</v>
          </cell>
          <cell r="E91">
            <v>11</v>
          </cell>
          <cell r="F91" t="str">
            <v>4B</v>
          </cell>
          <cell r="G91" t="str">
            <v>27</v>
          </cell>
          <cell r="H91" t="str">
            <v>2</v>
          </cell>
          <cell r="I91" t="str">
            <v>7</v>
          </cell>
          <cell r="J91">
            <v>858</v>
          </cell>
          <cell r="K91">
            <v>86</v>
          </cell>
          <cell r="L91">
            <v>75</v>
          </cell>
          <cell r="M91">
            <v>83</v>
          </cell>
          <cell r="N91">
            <v>99</v>
          </cell>
          <cell r="O91" t="str">
            <v>7b5f</v>
          </cell>
          <cell r="P91" t="str">
            <v>Tusk</v>
          </cell>
          <cell r="Q91" t="str">
            <v>Bash</v>
          </cell>
          <cell r="R91" t="str">
            <v>Gas</v>
          </cell>
          <cell r="S91" t="str">
            <v>Shell</v>
          </cell>
          <cell r="T91" t="str">
            <v>Cure</v>
          </cell>
          <cell r="U91" t="str">
            <v>Recover</v>
          </cell>
          <cell r="V91" t="str">
            <v>O-Poison</v>
          </cell>
          <cell r="W91" t="str">
            <v>O-Para</v>
          </cell>
          <cell r="X91" t="str">
            <v>Reptile</v>
          </cell>
        </row>
        <row r="92">
          <cell r="A92" t="str">
            <v>Lizard</v>
          </cell>
          <cell r="B92" t="str">
            <v>Lizard</v>
          </cell>
          <cell r="C92" t="str">
            <v>0</v>
          </cell>
          <cell r="D92" t="str">
            <v>1</v>
          </cell>
          <cell r="E92">
            <v>1</v>
          </cell>
          <cell r="F92" t="str">
            <v>01</v>
          </cell>
          <cell r="G92" t="str">
            <v>03</v>
          </cell>
          <cell r="H92" t="str">
            <v>2</v>
          </cell>
          <cell r="I92" t="str">
            <v>1</v>
          </cell>
          <cell r="J92">
            <v>59</v>
          </cell>
          <cell r="K92">
            <v>6</v>
          </cell>
          <cell r="L92">
            <v>2</v>
          </cell>
          <cell r="M92">
            <v>5</v>
          </cell>
          <cell r="N92">
            <v>5</v>
          </cell>
          <cell r="O92" t="str">
            <v>7b67</v>
          </cell>
          <cell r="P92" t="str">
            <v>Tusk</v>
          </cell>
          <cell r="Q92" t="str">
            <v>X-Ice</v>
          </cell>
          <cell r="X92" t="str">
            <v>Great Reptile</v>
          </cell>
        </row>
        <row r="93">
          <cell r="A93" t="str">
            <v>Cameleon</v>
          </cell>
          <cell r="B93" t="str">
            <v>Cameleon</v>
          </cell>
          <cell r="C93" t="str">
            <v>0</v>
          </cell>
          <cell r="D93" t="str">
            <v>4</v>
          </cell>
          <cell r="E93">
            <v>4</v>
          </cell>
          <cell r="F93" t="str">
            <v>04</v>
          </cell>
          <cell r="G93" t="str">
            <v>03</v>
          </cell>
          <cell r="H93" t="str">
            <v>2</v>
          </cell>
          <cell r="I93" t="str">
            <v>2</v>
          </cell>
          <cell r="J93">
            <v>208</v>
          </cell>
          <cell r="K93">
            <v>21</v>
          </cell>
          <cell r="L93">
            <v>13</v>
          </cell>
          <cell r="M93">
            <v>18</v>
          </cell>
          <cell r="N93">
            <v>18</v>
          </cell>
          <cell r="O93" t="str">
            <v>7b69</v>
          </cell>
          <cell r="P93" t="str">
            <v>Tongue</v>
          </cell>
          <cell r="Q93" t="str">
            <v>Warning</v>
          </cell>
          <cell r="R93" t="str">
            <v>X-Ice</v>
          </cell>
          <cell r="X93" t="str">
            <v>Great Reptile</v>
          </cell>
        </row>
        <row r="94">
          <cell r="A94" t="str">
            <v>Komodo</v>
          </cell>
          <cell r="B94" t="str">
            <v>Komodo</v>
          </cell>
          <cell r="C94" t="str">
            <v>3</v>
          </cell>
          <cell r="D94" t="str">
            <v>6</v>
          </cell>
          <cell r="E94">
            <v>6</v>
          </cell>
          <cell r="F94" t="str">
            <v>36</v>
          </cell>
          <cell r="G94" t="str">
            <v>03</v>
          </cell>
          <cell r="H94" t="str">
            <v>2</v>
          </cell>
          <cell r="I94" t="str">
            <v>4</v>
          </cell>
          <cell r="J94">
            <v>358</v>
          </cell>
          <cell r="K94">
            <v>36</v>
          </cell>
          <cell r="L94">
            <v>26</v>
          </cell>
          <cell r="M94">
            <v>32</v>
          </cell>
          <cell r="N94">
            <v>32</v>
          </cell>
          <cell r="O94" t="str">
            <v>7b6c</v>
          </cell>
          <cell r="P94" t="str">
            <v>Tusk</v>
          </cell>
          <cell r="Q94" t="str">
            <v>Nail</v>
          </cell>
          <cell r="R94" t="str">
            <v>Tail</v>
          </cell>
          <cell r="S94" t="str">
            <v>Bash</v>
          </cell>
          <cell r="T94" t="str">
            <v>X-Ice</v>
          </cell>
          <cell r="X94" t="str">
            <v>Great Reptile</v>
          </cell>
        </row>
        <row r="95">
          <cell r="A95" t="str">
            <v>Salamand</v>
          </cell>
          <cell r="B95" t="str">
            <v>Salamand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03</v>
          </cell>
          <cell r="H95" t="str">
            <v>2</v>
          </cell>
          <cell r="I95" t="str">
            <v>6</v>
          </cell>
          <cell r="J95">
            <v>781</v>
          </cell>
          <cell r="K95">
            <v>78</v>
          </cell>
          <cell r="L95">
            <v>63</v>
          </cell>
          <cell r="M95">
            <v>66</v>
          </cell>
          <cell r="N95">
            <v>73</v>
          </cell>
          <cell r="O95" t="str">
            <v>7b71</v>
          </cell>
          <cell r="P95" t="str">
            <v>Nail</v>
          </cell>
          <cell r="Q95" t="str">
            <v>Tusk</v>
          </cell>
          <cell r="R95" t="str">
            <v>Burning</v>
          </cell>
          <cell r="S95" t="str">
            <v>Flame</v>
          </cell>
          <cell r="T95" t="str">
            <v>Fire</v>
          </cell>
          <cell r="U95" t="str">
            <v>O-Fire</v>
          </cell>
          <cell r="V95" t="str">
            <v>X-Ice</v>
          </cell>
          <cell r="X95" t="str">
            <v>Great Reptile</v>
          </cell>
        </row>
        <row r="96">
          <cell r="A96" t="str">
            <v>Basilisk</v>
          </cell>
          <cell r="B96" t="str">
            <v>Basilisk</v>
          </cell>
          <cell r="C96" t="str">
            <v>5</v>
          </cell>
          <cell r="D96" t="str">
            <v>B</v>
          </cell>
          <cell r="E96">
            <v>11</v>
          </cell>
          <cell r="F96" t="str">
            <v>5B</v>
          </cell>
          <cell r="G96" t="str">
            <v>03</v>
          </cell>
          <cell r="H96" t="str">
            <v>2</v>
          </cell>
          <cell r="I96" t="str">
            <v>7</v>
          </cell>
          <cell r="J96">
            <v>912</v>
          </cell>
          <cell r="K96">
            <v>91</v>
          </cell>
          <cell r="L96">
            <v>75</v>
          </cell>
          <cell r="M96">
            <v>86</v>
          </cell>
          <cell r="N96">
            <v>86</v>
          </cell>
          <cell r="O96" t="str">
            <v>7b78</v>
          </cell>
          <cell r="P96" t="str">
            <v>Nail</v>
          </cell>
          <cell r="Q96" t="str">
            <v>Tusk</v>
          </cell>
          <cell r="R96" t="str">
            <v>Venom</v>
          </cell>
          <cell r="S96" t="str">
            <v>ParaSkin</v>
          </cell>
          <cell r="T96" t="str">
            <v>Gas</v>
          </cell>
          <cell r="U96" t="str">
            <v>StonGaze</v>
          </cell>
          <cell r="V96" t="str">
            <v>Warning</v>
          </cell>
          <cell r="W96" t="str">
            <v>O-Change</v>
          </cell>
          <cell r="X96" t="str">
            <v>Great Reptile</v>
          </cell>
        </row>
        <row r="97">
          <cell r="A97" t="str">
            <v>Rhino</v>
          </cell>
          <cell r="B97" t="str">
            <v>Rhino</v>
          </cell>
          <cell r="C97" t="str">
            <v>0</v>
          </cell>
          <cell r="D97" t="str">
            <v>3</v>
          </cell>
          <cell r="E97">
            <v>3</v>
          </cell>
          <cell r="F97" t="str">
            <v>03</v>
          </cell>
          <cell r="G97" t="str">
            <v>28</v>
          </cell>
          <cell r="H97" t="str">
            <v>2</v>
          </cell>
          <cell r="I97" t="str">
            <v>1</v>
          </cell>
          <cell r="J97">
            <v>170</v>
          </cell>
          <cell r="K97">
            <v>18</v>
          </cell>
          <cell r="L97">
            <v>8</v>
          </cell>
          <cell r="M97">
            <v>7</v>
          </cell>
          <cell r="N97">
            <v>13</v>
          </cell>
          <cell r="O97" t="str">
            <v>7b80</v>
          </cell>
          <cell r="P97" t="str">
            <v>Tusk</v>
          </cell>
          <cell r="Q97" t="str">
            <v>X-Ice</v>
          </cell>
          <cell r="X97" t="str">
            <v>Great Reptile</v>
          </cell>
        </row>
        <row r="98">
          <cell r="A98" t="str">
            <v>Triceras</v>
          </cell>
          <cell r="B98" t="str">
            <v>Triceras</v>
          </cell>
          <cell r="C98" t="str">
            <v>3</v>
          </cell>
          <cell r="D98" t="str">
            <v>6</v>
          </cell>
          <cell r="E98">
            <v>6</v>
          </cell>
          <cell r="F98" t="str">
            <v>36</v>
          </cell>
          <cell r="G98" t="str">
            <v>28</v>
          </cell>
          <cell r="H98" t="str">
            <v>2</v>
          </cell>
          <cell r="I98" t="str">
            <v>4</v>
          </cell>
          <cell r="J98">
            <v>392</v>
          </cell>
          <cell r="K98">
            <v>41</v>
          </cell>
          <cell r="L98">
            <v>26</v>
          </cell>
          <cell r="M98">
            <v>24</v>
          </cell>
          <cell r="N98">
            <v>32</v>
          </cell>
          <cell r="O98" t="str">
            <v>7b82</v>
          </cell>
          <cell r="P98" t="str">
            <v>Nail</v>
          </cell>
          <cell r="Q98" t="str">
            <v>Tusk</v>
          </cell>
          <cell r="R98" t="str">
            <v>3-Horns</v>
          </cell>
          <cell r="S98" t="str">
            <v>Bash</v>
          </cell>
          <cell r="T98" t="str">
            <v>X-Ice</v>
          </cell>
          <cell r="X98" t="str">
            <v>Great Reptile</v>
          </cell>
        </row>
        <row r="99">
          <cell r="A99" t="str">
            <v>Dinosaur</v>
          </cell>
          <cell r="B99" t="str">
            <v>Dinosaur</v>
          </cell>
          <cell r="C99" t="str">
            <v>3</v>
          </cell>
          <cell r="D99" t="str">
            <v>8</v>
          </cell>
          <cell r="E99">
            <v>8</v>
          </cell>
          <cell r="F99" t="str">
            <v>38</v>
          </cell>
          <cell r="G99" t="str">
            <v>28</v>
          </cell>
          <cell r="H99" t="str">
            <v>2</v>
          </cell>
          <cell r="I99" t="str">
            <v>5</v>
          </cell>
          <cell r="J99">
            <v>591</v>
          </cell>
          <cell r="K99">
            <v>61</v>
          </cell>
          <cell r="L99">
            <v>42</v>
          </cell>
          <cell r="M99">
            <v>40</v>
          </cell>
          <cell r="N99">
            <v>51</v>
          </cell>
          <cell r="O99" t="str">
            <v>7b87</v>
          </cell>
          <cell r="P99" t="str">
            <v>Tusk</v>
          </cell>
          <cell r="Q99" t="str">
            <v>Nail</v>
          </cell>
          <cell r="R99" t="str">
            <v>Tail</v>
          </cell>
          <cell r="S99" t="str">
            <v>Bash</v>
          </cell>
          <cell r="T99" t="str">
            <v>O-Poison</v>
          </cell>
          <cell r="U99" t="str">
            <v>X-Ice</v>
          </cell>
          <cell r="X99" t="str">
            <v>Great Reptile</v>
          </cell>
        </row>
        <row r="100">
          <cell r="A100" t="str">
            <v>T Rex</v>
          </cell>
          <cell r="B100" t="str">
            <v>T Rex</v>
          </cell>
          <cell r="C100" t="str">
            <v>3</v>
          </cell>
          <cell r="D100" t="str">
            <v>A</v>
          </cell>
          <cell r="E100">
            <v>10</v>
          </cell>
          <cell r="F100" t="str">
            <v>3A</v>
          </cell>
          <cell r="G100" t="str">
            <v>28</v>
          </cell>
          <cell r="H100" t="str">
            <v>2</v>
          </cell>
          <cell r="I100" t="str">
            <v>6</v>
          </cell>
          <cell r="J100">
            <v>831</v>
          </cell>
          <cell r="K100">
            <v>86</v>
          </cell>
          <cell r="L100">
            <v>63</v>
          </cell>
          <cell r="M100">
            <v>61</v>
          </cell>
          <cell r="N100">
            <v>73</v>
          </cell>
          <cell r="O100" t="str">
            <v>7b8d</v>
          </cell>
          <cell r="P100" t="str">
            <v>Nail</v>
          </cell>
          <cell r="Q100" t="str">
            <v>Tusk</v>
          </cell>
          <cell r="R100" t="str">
            <v>Head</v>
          </cell>
          <cell r="S100" t="str">
            <v>Bash</v>
          </cell>
          <cell r="T100" t="str">
            <v>O-Weapon</v>
          </cell>
          <cell r="U100" t="str">
            <v>O-Poison</v>
          </cell>
          <cell r="V100" t="str">
            <v>X-Ice</v>
          </cell>
          <cell r="X100" t="str">
            <v>Great Reptile</v>
          </cell>
        </row>
        <row r="101">
          <cell r="A101" t="str">
            <v>Behemoth</v>
          </cell>
          <cell r="B101" t="str">
            <v>Behemoth</v>
          </cell>
          <cell r="C101" t="str">
            <v>4</v>
          </cell>
          <cell r="D101" t="str">
            <v>B</v>
          </cell>
          <cell r="E101">
            <v>11</v>
          </cell>
          <cell r="F101" t="str">
            <v>4B</v>
          </cell>
          <cell r="G101" t="str">
            <v>28</v>
          </cell>
          <cell r="H101" t="str">
            <v>2</v>
          </cell>
          <cell r="I101" t="str">
            <v>7</v>
          </cell>
          <cell r="J101">
            <v>966</v>
          </cell>
          <cell r="K101">
            <v>99</v>
          </cell>
          <cell r="L101">
            <v>75</v>
          </cell>
          <cell r="M101">
            <v>72</v>
          </cell>
          <cell r="N101">
            <v>86</v>
          </cell>
          <cell r="O101" t="str">
            <v>7b94</v>
          </cell>
          <cell r="P101" t="str">
            <v>Nail</v>
          </cell>
          <cell r="Q101" t="str">
            <v>Tusk</v>
          </cell>
          <cell r="R101" t="str">
            <v>Head</v>
          </cell>
          <cell r="S101" t="str">
            <v>Bash</v>
          </cell>
          <cell r="T101" t="str">
            <v>Quake</v>
          </cell>
          <cell r="U101" t="str">
            <v>Recover</v>
          </cell>
          <cell r="V101" t="str">
            <v>O-Weapon</v>
          </cell>
          <cell r="W101" t="str">
            <v>O-Poison</v>
          </cell>
          <cell r="X101" t="str">
            <v>Great Reptile</v>
          </cell>
        </row>
        <row r="102">
          <cell r="A102" t="str">
            <v>Baby-D</v>
          </cell>
          <cell r="B102" t="str">
            <v>Baby-D</v>
          </cell>
          <cell r="C102" t="str">
            <v>2</v>
          </cell>
          <cell r="D102" t="str">
            <v>5</v>
          </cell>
          <cell r="E102">
            <v>5</v>
          </cell>
          <cell r="F102" t="str">
            <v>25</v>
          </cell>
          <cell r="G102" t="str">
            <v>29</v>
          </cell>
          <cell r="H102" t="str">
            <v>2</v>
          </cell>
          <cell r="I102" t="str">
            <v>3</v>
          </cell>
          <cell r="J102">
            <v>248</v>
          </cell>
          <cell r="K102">
            <v>26</v>
          </cell>
          <cell r="L102">
            <v>20</v>
          </cell>
          <cell r="M102">
            <v>26</v>
          </cell>
          <cell r="N102">
            <v>25</v>
          </cell>
          <cell r="O102" t="str">
            <v>7b9c</v>
          </cell>
          <cell r="P102" t="str">
            <v>Nail</v>
          </cell>
          <cell r="Q102" t="str">
            <v>Tusk</v>
          </cell>
          <cell r="R102" t="str">
            <v>Flame</v>
          </cell>
          <cell r="S102" t="str">
            <v>O-Quake</v>
          </cell>
          <cell r="X102" t="str">
            <v>Great Reptile</v>
          </cell>
        </row>
        <row r="103">
          <cell r="A103" t="str">
            <v>Young-D</v>
          </cell>
          <cell r="B103" t="str">
            <v>Young-D</v>
          </cell>
          <cell r="C103" t="str">
            <v>3</v>
          </cell>
          <cell r="D103" t="str">
            <v>8</v>
          </cell>
          <cell r="E103">
            <v>8</v>
          </cell>
          <cell r="F103" t="str">
            <v>38</v>
          </cell>
          <cell r="G103" t="str">
            <v>29</v>
          </cell>
          <cell r="H103" t="str">
            <v>2</v>
          </cell>
          <cell r="I103" t="str">
            <v>4</v>
          </cell>
          <cell r="J103">
            <v>507</v>
          </cell>
          <cell r="K103">
            <v>53</v>
          </cell>
          <cell r="L103">
            <v>44</v>
          </cell>
          <cell r="M103">
            <v>50</v>
          </cell>
          <cell r="N103">
            <v>51</v>
          </cell>
          <cell r="O103" t="str">
            <v>7ba0</v>
          </cell>
          <cell r="P103" t="str">
            <v>Nail</v>
          </cell>
          <cell r="Q103" t="str">
            <v>Tusk</v>
          </cell>
          <cell r="R103" t="str">
            <v>Flame</v>
          </cell>
          <cell r="S103" t="str">
            <v>Tie Up</v>
          </cell>
          <cell r="T103" t="str">
            <v>O-Quake</v>
          </cell>
          <cell r="X103" t="str">
            <v>Great Reptile</v>
          </cell>
        </row>
        <row r="104">
          <cell r="A104" t="str">
            <v>Dragon</v>
          </cell>
          <cell r="B104" t="str">
            <v>Dragon</v>
          </cell>
          <cell r="C104" t="str">
            <v>3</v>
          </cell>
          <cell r="D104" t="str">
            <v>9</v>
          </cell>
          <cell r="E104">
            <v>9</v>
          </cell>
          <cell r="F104" t="str">
            <v>39</v>
          </cell>
          <cell r="G104" t="str">
            <v>29</v>
          </cell>
          <cell r="H104" t="str">
            <v>2</v>
          </cell>
          <cell r="I104" t="str">
            <v>5</v>
          </cell>
          <cell r="J104">
            <v>614</v>
          </cell>
          <cell r="K104">
            <v>64</v>
          </cell>
          <cell r="L104">
            <v>55</v>
          </cell>
          <cell r="M104">
            <v>60</v>
          </cell>
          <cell r="N104">
            <v>61</v>
          </cell>
          <cell r="O104" t="str">
            <v>7ba5</v>
          </cell>
          <cell r="P104" t="str">
            <v>Tusk</v>
          </cell>
          <cell r="Q104" t="str">
            <v>Flame</v>
          </cell>
          <cell r="R104" t="str">
            <v>Nail</v>
          </cell>
          <cell r="S104" t="str">
            <v>Tie Up</v>
          </cell>
          <cell r="T104" t="str">
            <v>O-Fire</v>
          </cell>
          <cell r="U104" t="str">
            <v>O-Quake</v>
          </cell>
          <cell r="X104" t="str">
            <v>Great Reptile</v>
          </cell>
        </row>
        <row r="105">
          <cell r="A105" t="str">
            <v>Great-D</v>
          </cell>
          <cell r="B105" t="str">
            <v>Great-D</v>
          </cell>
          <cell r="C105" t="str">
            <v>4</v>
          </cell>
          <cell r="D105" t="str">
            <v>A</v>
          </cell>
          <cell r="E105">
            <v>10</v>
          </cell>
          <cell r="F105" t="str">
            <v>4A</v>
          </cell>
          <cell r="G105" t="str">
            <v>29</v>
          </cell>
          <cell r="H105" t="str">
            <v>2</v>
          </cell>
          <cell r="I105" t="str">
            <v>6</v>
          </cell>
          <cell r="J105">
            <v>731</v>
          </cell>
          <cell r="K105">
            <v>76</v>
          </cell>
          <cell r="L105">
            <v>66</v>
          </cell>
          <cell r="M105">
            <v>71</v>
          </cell>
          <cell r="N105">
            <v>73</v>
          </cell>
          <cell r="O105" t="str">
            <v>7bab</v>
          </cell>
          <cell r="P105" t="str">
            <v>Nail</v>
          </cell>
          <cell r="Q105" t="str">
            <v>Tusk</v>
          </cell>
          <cell r="R105" t="str">
            <v>Flame</v>
          </cell>
          <cell r="S105" t="str">
            <v>Blizzard</v>
          </cell>
          <cell r="T105" t="str">
            <v>Tie Up</v>
          </cell>
          <cell r="U105" t="str">
            <v>O-Fire</v>
          </cell>
          <cell r="V105" t="str">
            <v>O-Damage</v>
          </cell>
          <cell r="X105" t="str">
            <v>Great Reptile</v>
          </cell>
        </row>
        <row r="106">
          <cell r="A106" t="str">
            <v>Sei-Ryu</v>
          </cell>
          <cell r="B106" t="str">
            <v>Sei-Ryu</v>
          </cell>
          <cell r="C106" t="str">
            <v>5</v>
          </cell>
          <cell r="D106" t="str">
            <v>B</v>
          </cell>
          <cell r="E106">
            <v>11</v>
          </cell>
          <cell r="F106" t="str">
            <v>5B</v>
          </cell>
          <cell r="G106" t="str">
            <v>29</v>
          </cell>
          <cell r="H106" t="str">
            <v>2</v>
          </cell>
          <cell r="I106" t="str">
            <v>7</v>
          </cell>
          <cell r="J106">
            <v>858</v>
          </cell>
          <cell r="K106">
            <v>89</v>
          </cell>
          <cell r="L106">
            <v>78</v>
          </cell>
          <cell r="M106">
            <v>91</v>
          </cell>
          <cell r="N106">
            <v>86</v>
          </cell>
          <cell r="O106" t="str">
            <v>7bb2</v>
          </cell>
          <cell r="P106" t="str">
            <v>Nail</v>
          </cell>
          <cell r="Q106" t="str">
            <v>Tusk</v>
          </cell>
          <cell r="R106" t="str">
            <v>Tie Up</v>
          </cell>
          <cell r="S106" t="str">
            <v>Lightning</v>
          </cell>
          <cell r="T106" t="str">
            <v>Gas</v>
          </cell>
          <cell r="U106" t="str">
            <v>Whirl</v>
          </cell>
          <cell r="V106" t="str">
            <v>O-Damage</v>
          </cell>
          <cell r="W106" t="str">
            <v>O-Weapon</v>
          </cell>
          <cell r="X106" t="str">
            <v>Great Reptile</v>
          </cell>
        </row>
        <row r="107">
          <cell r="A107" t="str">
            <v>BabyWyrm</v>
          </cell>
          <cell r="B107" t="str">
            <v>BabyWyrm</v>
          </cell>
          <cell r="C107" t="str">
            <v>0</v>
          </cell>
          <cell r="D107" t="str">
            <v>2</v>
          </cell>
          <cell r="E107">
            <v>2</v>
          </cell>
          <cell r="F107" t="str">
            <v>02</v>
          </cell>
          <cell r="G107" t="str">
            <v>2a</v>
          </cell>
          <cell r="H107" t="str">
            <v>2</v>
          </cell>
          <cell r="I107" t="str">
            <v>1</v>
          </cell>
          <cell r="J107">
            <v>81</v>
          </cell>
          <cell r="K107">
            <v>10</v>
          </cell>
          <cell r="L107">
            <v>9</v>
          </cell>
          <cell r="M107">
            <v>5</v>
          </cell>
          <cell r="N107">
            <v>8</v>
          </cell>
          <cell r="O107" t="str">
            <v>7bba</v>
          </cell>
          <cell r="P107" t="str">
            <v>Beak</v>
          </cell>
          <cell r="Q107" t="str">
            <v>O-Quake</v>
          </cell>
          <cell r="X107" t="str">
            <v>Flyer</v>
          </cell>
        </row>
        <row r="108">
          <cell r="A108" t="str">
            <v>Wyrm Kid</v>
          </cell>
          <cell r="B108" t="str">
            <v>Wyrm Kid</v>
          </cell>
          <cell r="C108" t="str">
            <v>1</v>
          </cell>
          <cell r="D108" t="str">
            <v>4</v>
          </cell>
          <cell r="E108">
            <v>4</v>
          </cell>
          <cell r="F108" t="str">
            <v>14</v>
          </cell>
          <cell r="G108" t="str">
            <v>2a</v>
          </cell>
          <cell r="H108" t="str">
            <v>2</v>
          </cell>
          <cell r="I108" t="str">
            <v>2</v>
          </cell>
          <cell r="J108">
            <v>182</v>
          </cell>
          <cell r="K108">
            <v>21</v>
          </cell>
          <cell r="L108">
            <v>20</v>
          </cell>
          <cell r="M108">
            <v>14</v>
          </cell>
          <cell r="N108">
            <v>18</v>
          </cell>
          <cell r="O108" t="str">
            <v>7bbc</v>
          </cell>
          <cell r="P108" t="str">
            <v>Beak</v>
          </cell>
          <cell r="Q108" t="str">
            <v>Blind</v>
          </cell>
          <cell r="R108" t="str">
            <v>O-Quake</v>
          </cell>
          <cell r="X108" t="str">
            <v>Flyer</v>
          </cell>
        </row>
        <row r="109">
          <cell r="A109" t="str">
            <v>Wyvern</v>
          </cell>
          <cell r="B109" t="str">
            <v>Wyvern</v>
          </cell>
          <cell r="C109" t="str">
            <v>3</v>
          </cell>
          <cell r="D109" t="str">
            <v>7</v>
          </cell>
          <cell r="E109">
            <v>7</v>
          </cell>
          <cell r="F109" t="str">
            <v>37</v>
          </cell>
          <cell r="G109" t="str">
            <v>2a</v>
          </cell>
          <cell r="H109" t="str">
            <v>2</v>
          </cell>
          <cell r="I109" t="str">
            <v>4</v>
          </cell>
          <cell r="J109">
            <v>411</v>
          </cell>
          <cell r="K109">
            <v>45</v>
          </cell>
          <cell r="L109">
            <v>43</v>
          </cell>
          <cell r="M109">
            <v>35</v>
          </cell>
          <cell r="N109">
            <v>41</v>
          </cell>
          <cell r="O109" t="str">
            <v>7bbf</v>
          </cell>
          <cell r="P109" t="str">
            <v>Tusk</v>
          </cell>
          <cell r="Q109" t="str">
            <v>Nail</v>
          </cell>
          <cell r="R109" t="str">
            <v>Venom</v>
          </cell>
          <cell r="S109" t="str">
            <v>Blind</v>
          </cell>
          <cell r="T109" t="str">
            <v>O-Quake</v>
          </cell>
          <cell r="X109" t="str">
            <v>Flyer</v>
          </cell>
        </row>
        <row r="110">
          <cell r="A110" t="str">
            <v>Wyrm</v>
          </cell>
          <cell r="B110" t="str">
            <v>Wyrm</v>
          </cell>
          <cell r="C110" t="str">
            <v>5</v>
          </cell>
          <cell r="D110" t="str">
            <v>A</v>
          </cell>
          <cell r="E110">
            <v>10</v>
          </cell>
          <cell r="F110" t="str">
            <v>5A</v>
          </cell>
          <cell r="G110" t="str">
            <v>2a</v>
          </cell>
          <cell r="H110" t="str">
            <v>2</v>
          </cell>
          <cell r="I110" t="str">
            <v>6</v>
          </cell>
          <cell r="J110">
            <v>731</v>
          </cell>
          <cell r="K110">
            <v>78</v>
          </cell>
          <cell r="L110">
            <v>76</v>
          </cell>
          <cell r="M110">
            <v>60</v>
          </cell>
          <cell r="N110">
            <v>73</v>
          </cell>
          <cell r="O110" t="str">
            <v>7bc4</v>
          </cell>
          <cell r="P110" t="str">
            <v>Nail</v>
          </cell>
          <cell r="Q110" t="str">
            <v>Tusk</v>
          </cell>
          <cell r="R110" t="str">
            <v>Tail</v>
          </cell>
          <cell r="S110" t="str">
            <v>Venom</v>
          </cell>
          <cell r="T110" t="str">
            <v>Blind</v>
          </cell>
          <cell r="U110" t="str">
            <v>Lightning</v>
          </cell>
          <cell r="V110" t="str">
            <v>O-Quake</v>
          </cell>
          <cell r="X110" t="str">
            <v>Flyer</v>
          </cell>
        </row>
        <row r="111">
          <cell r="A111" t="str">
            <v>FengLung</v>
          </cell>
          <cell r="B111" t="str">
            <v>FengLung</v>
          </cell>
          <cell r="C111" t="str">
            <v>5</v>
          </cell>
          <cell r="D111" t="str">
            <v>B</v>
          </cell>
          <cell r="E111">
            <v>11</v>
          </cell>
          <cell r="F111" t="str">
            <v>5B</v>
          </cell>
          <cell r="G111" t="str">
            <v>2a</v>
          </cell>
          <cell r="H111" t="str">
            <v>2</v>
          </cell>
          <cell r="I111" t="str">
            <v>7</v>
          </cell>
          <cell r="J111">
            <v>858</v>
          </cell>
          <cell r="K111">
            <v>91</v>
          </cell>
          <cell r="L111">
            <v>89</v>
          </cell>
          <cell r="M111">
            <v>78</v>
          </cell>
          <cell r="N111">
            <v>86</v>
          </cell>
          <cell r="O111" t="str">
            <v>7bcb</v>
          </cell>
          <cell r="P111" t="str">
            <v>Nail</v>
          </cell>
          <cell r="Q111" t="str">
            <v>Tusk</v>
          </cell>
          <cell r="R111" t="str">
            <v>Venom</v>
          </cell>
          <cell r="S111" t="str">
            <v>Blind</v>
          </cell>
          <cell r="T111" t="str">
            <v>Lightning</v>
          </cell>
          <cell r="U111" t="str">
            <v>Tornado</v>
          </cell>
          <cell r="V111" t="str">
            <v>O-Damage</v>
          </cell>
          <cell r="W111" t="str">
            <v>O-Para</v>
          </cell>
          <cell r="X111" t="str">
            <v>Flyer</v>
          </cell>
        </row>
        <row r="112">
          <cell r="A112" t="str">
            <v>Eagle</v>
          </cell>
          <cell r="B112" t="str">
            <v>Eagle</v>
          </cell>
          <cell r="C112" t="str">
            <v>0</v>
          </cell>
          <cell r="D112" t="str">
            <v>2</v>
          </cell>
          <cell r="E112">
            <v>2</v>
          </cell>
          <cell r="F112" t="str">
            <v>02</v>
          </cell>
          <cell r="G112" t="str">
            <v>16</v>
          </cell>
          <cell r="H112" t="str">
            <v>2</v>
          </cell>
          <cell r="I112" t="str">
            <v>1</v>
          </cell>
          <cell r="J112">
            <v>45</v>
          </cell>
          <cell r="K112">
            <v>8</v>
          </cell>
          <cell r="L112">
            <v>13</v>
          </cell>
          <cell r="M112">
            <v>10</v>
          </cell>
          <cell r="N112">
            <v>5</v>
          </cell>
          <cell r="O112" t="str">
            <v>7bd3</v>
          </cell>
          <cell r="P112" t="str">
            <v>Beak</v>
          </cell>
          <cell r="Q112" t="str">
            <v>O-Quake</v>
          </cell>
          <cell r="X112" t="str">
            <v>Flyer</v>
          </cell>
        </row>
        <row r="113">
          <cell r="A113" t="str">
            <v>Thunder</v>
          </cell>
          <cell r="B113" t="str">
            <v>Thunder</v>
          </cell>
          <cell r="C113" t="str">
            <v>1</v>
          </cell>
          <cell r="D113" t="str">
            <v>5</v>
          </cell>
          <cell r="E113">
            <v>5</v>
          </cell>
          <cell r="F113" t="str">
            <v>15</v>
          </cell>
          <cell r="G113" t="str">
            <v>16</v>
          </cell>
          <cell r="H113" t="str">
            <v>2</v>
          </cell>
          <cell r="I113" t="str">
            <v>3</v>
          </cell>
          <cell r="J113">
            <v>188</v>
          </cell>
          <cell r="K113">
            <v>25</v>
          </cell>
          <cell r="L113">
            <v>32</v>
          </cell>
          <cell r="M113">
            <v>28</v>
          </cell>
          <cell r="N113">
            <v>20</v>
          </cell>
          <cell r="O113" t="str">
            <v>7bd5</v>
          </cell>
          <cell r="P113" t="str">
            <v>Beak</v>
          </cell>
          <cell r="Q113" t="str">
            <v>Thunder</v>
          </cell>
          <cell r="R113" t="str">
            <v>Warning</v>
          </cell>
          <cell r="S113" t="str">
            <v>O-Quake</v>
          </cell>
          <cell r="X113" t="str">
            <v>Flyer</v>
          </cell>
        </row>
        <row r="114">
          <cell r="A114" t="str">
            <v>Cocatris</v>
          </cell>
          <cell r="B114" t="str">
            <v>Cocatris</v>
          </cell>
          <cell r="C114" t="str">
            <v>2</v>
          </cell>
          <cell r="D114" t="str">
            <v>9</v>
          </cell>
          <cell r="E114">
            <v>9</v>
          </cell>
          <cell r="F114" t="str">
            <v>29</v>
          </cell>
          <cell r="G114" t="str">
            <v>16</v>
          </cell>
          <cell r="H114" t="str">
            <v>2</v>
          </cell>
          <cell r="I114" t="str">
            <v>5</v>
          </cell>
          <cell r="J114">
            <v>522</v>
          </cell>
          <cell r="K114">
            <v>61</v>
          </cell>
          <cell r="L114">
            <v>73</v>
          </cell>
          <cell r="M114">
            <v>66</v>
          </cell>
          <cell r="N114">
            <v>55</v>
          </cell>
          <cell r="O114" t="str">
            <v>7bd9</v>
          </cell>
          <cell r="P114" t="str">
            <v>Petrify</v>
          </cell>
          <cell r="Q114" t="str">
            <v>StonSkin</v>
          </cell>
          <cell r="R114" t="str">
            <v>Nail</v>
          </cell>
          <cell r="S114" t="str">
            <v>Surprise</v>
          </cell>
          <cell r="T114" t="str">
            <v>Warning</v>
          </cell>
          <cell r="U114" t="str">
            <v>O-Quake</v>
          </cell>
          <cell r="X114" t="str">
            <v>Flyer</v>
          </cell>
        </row>
        <row r="115">
          <cell r="A115" t="str">
            <v>Roc</v>
          </cell>
          <cell r="B115" t="str">
            <v>Roc</v>
          </cell>
          <cell r="C115" t="str">
            <v>3</v>
          </cell>
          <cell r="D115" t="str">
            <v>A</v>
          </cell>
          <cell r="E115">
            <v>10</v>
          </cell>
          <cell r="F115" t="str">
            <v>3A</v>
          </cell>
          <cell r="G115" t="str">
            <v>16</v>
          </cell>
          <cell r="H115" t="str">
            <v>2</v>
          </cell>
          <cell r="I115" t="str">
            <v>6</v>
          </cell>
          <cell r="J115">
            <v>631</v>
          </cell>
          <cell r="K115">
            <v>73</v>
          </cell>
          <cell r="L115">
            <v>86</v>
          </cell>
          <cell r="M115">
            <v>71</v>
          </cell>
          <cell r="N115">
            <v>66</v>
          </cell>
          <cell r="O115" t="str">
            <v>7bdf</v>
          </cell>
          <cell r="P115" t="str">
            <v>Nail</v>
          </cell>
          <cell r="Q115" t="str">
            <v>Beak</v>
          </cell>
          <cell r="R115" t="str">
            <v>Blind</v>
          </cell>
          <cell r="S115" t="str">
            <v>Tornado</v>
          </cell>
          <cell r="T115" t="str">
            <v>Surprise</v>
          </cell>
          <cell r="U115" t="str">
            <v>Warning</v>
          </cell>
          <cell r="V115" t="str">
            <v>O-Quake</v>
          </cell>
          <cell r="X115" t="str">
            <v>Flyer</v>
          </cell>
        </row>
        <row r="116">
          <cell r="A116" t="str">
            <v>Su-Zaku</v>
          </cell>
          <cell r="B116" t="str">
            <v>Su-Zaku</v>
          </cell>
          <cell r="C116" t="str">
            <v>3</v>
          </cell>
          <cell r="D116" t="str">
            <v>B</v>
          </cell>
          <cell r="E116">
            <v>11</v>
          </cell>
          <cell r="F116" t="str">
            <v>3B</v>
          </cell>
          <cell r="G116" t="str">
            <v>16</v>
          </cell>
          <cell r="H116" t="str">
            <v>2</v>
          </cell>
          <cell r="I116" t="str">
            <v>7</v>
          </cell>
          <cell r="J116">
            <v>750</v>
          </cell>
          <cell r="K116">
            <v>86</v>
          </cell>
          <cell r="L116">
            <v>99</v>
          </cell>
          <cell r="M116">
            <v>91</v>
          </cell>
          <cell r="N116">
            <v>78</v>
          </cell>
          <cell r="O116" t="str">
            <v>7be6</v>
          </cell>
          <cell r="P116" t="str">
            <v>Beak</v>
          </cell>
          <cell r="Q116" t="str">
            <v>Flame</v>
          </cell>
          <cell r="R116" t="str">
            <v>Tornado</v>
          </cell>
          <cell r="S116" t="str">
            <v>Blind</v>
          </cell>
          <cell r="T116" t="str">
            <v>Recover</v>
          </cell>
          <cell r="U116" t="str">
            <v>Warning</v>
          </cell>
          <cell r="V116" t="str">
            <v>O-Quake</v>
          </cell>
          <cell r="W116" t="str">
            <v>O-Damage</v>
          </cell>
          <cell r="X116" t="str">
            <v>Flyer</v>
          </cell>
        </row>
        <row r="117">
          <cell r="A117" t="str">
            <v>Raven</v>
          </cell>
          <cell r="B117" t="str">
            <v>Raven</v>
          </cell>
          <cell r="C117" t="str">
            <v>1</v>
          </cell>
          <cell r="D117" t="str">
            <v>4</v>
          </cell>
          <cell r="E117">
            <v>4</v>
          </cell>
          <cell r="F117" t="str">
            <v>14</v>
          </cell>
          <cell r="G117" t="str">
            <v>2b</v>
          </cell>
          <cell r="H117" t="str">
            <v>2</v>
          </cell>
          <cell r="I117" t="str">
            <v>2</v>
          </cell>
          <cell r="J117">
            <v>143</v>
          </cell>
          <cell r="K117">
            <v>17</v>
          </cell>
          <cell r="L117">
            <v>22</v>
          </cell>
          <cell r="M117">
            <v>21</v>
          </cell>
          <cell r="N117">
            <v>17</v>
          </cell>
          <cell r="O117" t="str">
            <v>7bee</v>
          </cell>
          <cell r="P117" t="str">
            <v>Nail</v>
          </cell>
          <cell r="Q117" t="str">
            <v>Beak</v>
          </cell>
          <cell r="R117" t="str">
            <v>O-Quake</v>
          </cell>
          <cell r="X117" t="str">
            <v>Flyer</v>
          </cell>
        </row>
        <row r="118">
          <cell r="A118" t="str">
            <v>Harpy</v>
          </cell>
          <cell r="B118" t="str">
            <v>Harpy</v>
          </cell>
          <cell r="C118" t="str">
            <v>2</v>
          </cell>
          <cell r="D118" t="str">
            <v>5</v>
          </cell>
          <cell r="E118">
            <v>5</v>
          </cell>
          <cell r="F118" t="str">
            <v>25</v>
          </cell>
          <cell r="G118" t="str">
            <v>2b</v>
          </cell>
          <cell r="H118" t="str">
            <v>2</v>
          </cell>
          <cell r="I118" t="str">
            <v>3</v>
          </cell>
          <cell r="J118">
            <v>203</v>
          </cell>
          <cell r="K118">
            <v>23</v>
          </cell>
          <cell r="L118">
            <v>29</v>
          </cell>
          <cell r="M118">
            <v>28</v>
          </cell>
          <cell r="N118">
            <v>23</v>
          </cell>
          <cell r="O118" t="str">
            <v>7bf1</v>
          </cell>
          <cell r="P118" t="str">
            <v>Nail</v>
          </cell>
          <cell r="Q118" t="str">
            <v>Tusk</v>
          </cell>
          <cell r="R118" t="str">
            <v>MadSong</v>
          </cell>
          <cell r="S118" t="str">
            <v>O-Quake</v>
          </cell>
          <cell r="X118" t="str">
            <v>Flyer</v>
          </cell>
        </row>
        <row r="119">
          <cell r="A119" t="str">
            <v>Ten-Gu</v>
          </cell>
          <cell r="B119" t="str">
            <v>Ten-Gu</v>
          </cell>
          <cell r="C119" t="str">
            <v>4</v>
          </cell>
          <cell r="D119" t="str">
            <v>9</v>
          </cell>
          <cell r="E119">
            <v>9</v>
          </cell>
          <cell r="F119" t="str">
            <v>49</v>
          </cell>
          <cell r="G119" t="str">
            <v>2b</v>
          </cell>
          <cell r="H119" t="str">
            <v>2</v>
          </cell>
          <cell r="I119" t="str">
            <v>5</v>
          </cell>
          <cell r="J119">
            <v>545</v>
          </cell>
          <cell r="K119">
            <v>59</v>
          </cell>
          <cell r="L119">
            <v>68</v>
          </cell>
          <cell r="M119">
            <v>60</v>
          </cell>
          <cell r="N119">
            <v>59</v>
          </cell>
          <cell r="O119" t="str">
            <v>7bf5</v>
          </cell>
          <cell r="P119" t="str">
            <v>Beak</v>
          </cell>
          <cell r="Q119" t="str">
            <v>Thunder</v>
          </cell>
          <cell r="R119" t="str">
            <v>Nail</v>
          </cell>
          <cell r="S119" t="str">
            <v>Tornado</v>
          </cell>
          <cell r="T119" t="str">
            <v>Blind</v>
          </cell>
          <cell r="U119" t="str">
            <v>O-Quake</v>
          </cell>
          <cell r="X119" t="str">
            <v>Flyer</v>
          </cell>
        </row>
        <row r="120">
          <cell r="A120" t="str">
            <v>Garuda</v>
          </cell>
          <cell r="B120" t="str">
            <v>Garuda</v>
          </cell>
          <cell r="C120" t="str">
            <v>4</v>
          </cell>
          <cell r="D120" t="str">
            <v>A</v>
          </cell>
          <cell r="E120">
            <v>10</v>
          </cell>
          <cell r="F120" t="str">
            <v>4A</v>
          </cell>
          <cell r="G120" t="str">
            <v>2b</v>
          </cell>
          <cell r="H120" t="str">
            <v>2</v>
          </cell>
          <cell r="I120" t="str">
            <v>6</v>
          </cell>
          <cell r="J120">
            <v>656</v>
          </cell>
          <cell r="K120">
            <v>71</v>
          </cell>
          <cell r="L120">
            <v>81</v>
          </cell>
          <cell r="M120">
            <v>71</v>
          </cell>
          <cell r="N120">
            <v>71</v>
          </cell>
          <cell r="O120" t="str">
            <v>7bfb</v>
          </cell>
          <cell r="P120" t="str">
            <v>Nail</v>
          </cell>
          <cell r="Q120" t="str">
            <v>Beak</v>
          </cell>
          <cell r="R120" t="str">
            <v>Thunder</v>
          </cell>
          <cell r="S120" t="str">
            <v>Blind</v>
          </cell>
          <cell r="T120" t="str">
            <v>Tornado</v>
          </cell>
          <cell r="U120" t="str">
            <v>Warning</v>
          </cell>
          <cell r="V120" t="str">
            <v>O-Quake</v>
          </cell>
          <cell r="X120" t="str">
            <v>Flyer</v>
          </cell>
        </row>
        <row r="121">
          <cell r="A121" t="str">
            <v>Nike</v>
          </cell>
          <cell r="B121" t="str">
            <v>Nike</v>
          </cell>
          <cell r="C121" t="str">
            <v>5</v>
          </cell>
          <cell r="D121" t="str">
            <v>B</v>
          </cell>
          <cell r="E121">
            <v>11</v>
          </cell>
          <cell r="F121" t="str">
            <v>5B</v>
          </cell>
          <cell r="G121" t="str">
            <v>2b</v>
          </cell>
          <cell r="H121" t="str">
            <v>2</v>
          </cell>
          <cell r="I121" t="str">
            <v>7</v>
          </cell>
          <cell r="J121">
            <v>777</v>
          </cell>
          <cell r="K121">
            <v>83</v>
          </cell>
          <cell r="L121">
            <v>94</v>
          </cell>
          <cell r="M121">
            <v>91</v>
          </cell>
          <cell r="N121">
            <v>83</v>
          </cell>
          <cell r="O121" t="str">
            <v>7c02</v>
          </cell>
          <cell r="P121" t="str">
            <v>Sword</v>
          </cell>
          <cell r="Q121" t="str">
            <v>Thunder</v>
          </cell>
          <cell r="R121" t="str">
            <v>Blind</v>
          </cell>
          <cell r="S121" t="str">
            <v>Haste</v>
          </cell>
          <cell r="T121" t="str">
            <v>Charm</v>
          </cell>
          <cell r="U121" t="str">
            <v>Tornado</v>
          </cell>
          <cell r="V121" t="str">
            <v>Warning</v>
          </cell>
          <cell r="W121" t="str">
            <v>O-Quake</v>
          </cell>
          <cell r="X121" t="str">
            <v>Flyer</v>
          </cell>
        </row>
        <row r="122">
          <cell r="A122" t="str">
            <v>Jaguar</v>
          </cell>
          <cell r="B122" t="str">
            <v>Jaguar</v>
          </cell>
          <cell r="C122" t="str">
            <v>0</v>
          </cell>
          <cell r="D122" t="str">
            <v>1</v>
          </cell>
          <cell r="E122">
            <v>1</v>
          </cell>
          <cell r="F122" t="str">
            <v>01</v>
          </cell>
          <cell r="G122" t="str">
            <v>2c</v>
          </cell>
          <cell r="H122" t="str">
            <v>2</v>
          </cell>
          <cell r="I122" t="str">
            <v>0</v>
          </cell>
          <cell r="J122">
            <v>45</v>
          </cell>
          <cell r="K122">
            <v>6</v>
          </cell>
          <cell r="L122">
            <v>5</v>
          </cell>
          <cell r="M122">
            <v>3</v>
          </cell>
          <cell r="N122">
            <v>5</v>
          </cell>
          <cell r="O122" t="str">
            <v>7c0a</v>
          </cell>
          <cell r="P122" t="str">
            <v>Tusk</v>
          </cell>
          <cell r="X122" t="str">
            <v>Beast</v>
          </cell>
        </row>
        <row r="123">
          <cell r="A123" t="str">
            <v>SabreCat</v>
          </cell>
          <cell r="B123" t="str">
            <v>SabreCat</v>
          </cell>
          <cell r="C123" t="str">
            <v>1</v>
          </cell>
          <cell r="D123" t="str">
            <v>4</v>
          </cell>
          <cell r="E123">
            <v>4</v>
          </cell>
          <cell r="F123" t="str">
            <v>14</v>
          </cell>
          <cell r="G123" t="str">
            <v>2c</v>
          </cell>
          <cell r="H123" t="str">
            <v>2</v>
          </cell>
          <cell r="I123" t="str">
            <v>2</v>
          </cell>
          <cell r="J123">
            <v>182</v>
          </cell>
          <cell r="K123">
            <v>21</v>
          </cell>
          <cell r="L123">
            <v>18</v>
          </cell>
          <cell r="M123">
            <v>16</v>
          </cell>
          <cell r="N123">
            <v>18</v>
          </cell>
          <cell r="O123" t="str">
            <v>7c0b</v>
          </cell>
          <cell r="P123" t="str">
            <v>Nail</v>
          </cell>
          <cell r="Q123" t="str">
            <v>2-Tusks</v>
          </cell>
          <cell r="R123" t="str">
            <v>Surprise</v>
          </cell>
          <cell r="X123" t="str">
            <v>Beast</v>
          </cell>
        </row>
        <row r="124">
          <cell r="A124" t="str">
            <v>SnowCat</v>
          </cell>
          <cell r="B124" t="str">
            <v>SnowCat</v>
          </cell>
          <cell r="C124" t="str">
            <v>2</v>
          </cell>
          <cell r="D124" t="str">
            <v>8</v>
          </cell>
          <cell r="E124">
            <v>8</v>
          </cell>
          <cell r="F124" t="str">
            <v>28</v>
          </cell>
          <cell r="G124" t="str">
            <v>2c</v>
          </cell>
          <cell r="H124" t="str">
            <v>2</v>
          </cell>
          <cell r="I124" t="str">
            <v>5</v>
          </cell>
          <cell r="J124">
            <v>507</v>
          </cell>
          <cell r="K124">
            <v>55</v>
          </cell>
          <cell r="L124">
            <v>51</v>
          </cell>
          <cell r="M124">
            <v>43</v>
          </cell>
          <cell r="N124">
            <v>51</v>
          </cell>
          <cell r="O124" t="str">
            <v>7c0e</v>
          </cell>
          <cell r="P124" t="str">
            <v>Tusk</v>
          </cell>
          <cell r="Q124" t="str">
            <v>Nail</v>
          </cell>
          <cell r="R124" t="str">
            <v>Blizzard</v>
          </cell>
          <cell r="S124" t="str">
            <v>Surprise</v>
          </cell>
          <cell r="T124" t="str">
            <v>X-Fire</v>
          </cell>
          <cell r="X124" t="str">
            <v>Beast</v>
          </cell>
        </row>
        <row r="125">
          <cell r="A125" t="str">
            <v>BlackCat</v>
          </cell>
          <cell r="B125" t="str">
            <v>BlackCat</v>
          </cell>
          <cell r="C125" t="str">
            <v>3</v>
          </cell>
          <cell r="D125" t="str">
            <v>A</v>
          </cell>
          <cell r="E125">
            <v>10</v>
          </cell>
          <cell r="F125" t="str">
            <v>3A</v>
          </cell>
          <cell r="G125" t="str">
            <v>2c</v>
          </cell>
          <cell r="H125" t="str">
            <v>2</v>
          </cell>
          <cell r="I125" t="str">
            <v>5</v>
          </cell>
          <cell r="J125">
            <v>731</v>
          </cell>
          <cell r="K125">
            <v>78</v>
          </cell>
          <cell r="L125">
            <v>73</v>
          </cell>
          <cell r="M125">
            <v>68</v>
          </cell>
          <cell r="N125">
            <v>73</v>
          </cell>
          <cell r="O125" t="str">
            <v>7c14</v>
          </cell>
          <cell r="P125" t="str">
            <v>Nail</v>
          </cell>
          <cell r="Q125" t="str">
            <v>Tusk</v>
          </cell>
          <cell r="R125" t="str">
            <v>Gaze</v>
          </cell>
          <cell r="S125" t="str">
            <v>Slay</v>
          </cell>
          <cell r="T125" t="str">
            <v>Surprise</v>
          </cell>
          <cell r="U125" t="str">
            <v>Warning</v>
          </cell>
          <cell r="X125" t="str">
            <v>Beast</v>
          </cell>
        </row>
        <row r="126">
          <cell r="A126" t="str">
            <v>Byak-Ko</v>
          </cell>
          <cell r="B126" t="str">
            <v>Byak-Ko</v>
          </cell>
          <cell r="C126" t="str">
            <v>4</v>
          </cell>
          <cell r="D126" t="str">
            <v>B</v>
          </cell>
          <cell r="E126">
            <v>11</v>
          </cell>
          <cell r="F126" t="str">
            <v>4B</v>
          </cell>
          <cell r="G126" t="str">
            <v>2c</v>
          </cell>
          <cell r="H126" t="str">
            <v>2</v>
          </cell>
          <cell r="I126" t="str">
            <v>7</v>
          </cell>
          <cell r="J126">
            <v>858</v>
          </cell>
          <cell r="K126">
            <v>91</v>
          </cell>
          <cell r="L126">
            <v>86</v>
          </cell>
          <cell r="M126">
            <v>80</v>
          </cell>
          <cell r="N126">
            <v>86</v>
          </cell>
          <cell r="O126" t="str">
            <v>7c1a</v>
          </cell>
          <cell r="P126" t="str">
            <v>Tusk</v>
          </cell>
          <cell r="Q126" t="str">
            <v>Sword</v>
          </cell>
          <cell r="R126" t="str">
            <v>Blizzard</v>
          </cell>
          <cell r="S126" t="str">
            <v>Flash</v>
          </cell>
          <cell r="T126" t="str">
            <v>Tornado</v>
          </cell>
          <cell r="U126" t="str">
            <v>Teleport</v>
          </cell>
          <cell r="V126" t="str">
            <v>Recover</v>
          </cell>
          <cell r="W126" t="str">
            <v>O-Damage</v>
          </cell>
          <cell r="X126" t="str">
            <v>Beast</v>
          </cell>
        </row>
        <row r="127">
          <cell r="A127" t="str">
            <v>Silver</v>
          </cell>
          <cell r="B127" t="str">
            <v>Silver</v>
          </cell>
          <cell r="C127" t="str">
            <v>1</v>
          </cell>
          <cell r="D127" t="str">
            <v>3</v>
          </cell>
          <cell r="E127">
            <v>3</v>
          </cell>
          <cell r="F127" t="str">
            <v>13</v>
          </cell>
          <cell r="G127" t="str">
            <v>2d</v>
          </cell>
          <cell r="H127" t="str">
            <v>2</v>
          </cell>
          <cell r="I127" t="str">
            <v>1</v>
          </cell>
          <cell r="J127">
            <v>126</v>
          </cell>
          <cell r="K127">
            <v>14</v>
          </cell>
          <cell r="L127">
            <v>14</v>
          </cell>
          <cell r="M127">
            <v>10</v>
          </cell>
          <cell r="N127">
            <v>13</v>
          </cell>
          <cell r="O127" t="str">
            <v>7c22</v>
          </cell>
          <cell r="P127" t="str">
            <v>Kick</v>
          </cell>
          <cell r="Q127" t="str">
            <v>Breath</v>
          </cell>
          <cell r="X127" t="str">
            <v>Beast</v>
          </cell>
        </row>
        <row r="128">
          <cell r="A128" t="str">
            <v>Kelpie</v>
          </cell>
          <cell r="B128" t="str">
            <v>Kelpie</v>
          </cell>
          <cell r="C128" t="str">
            <v>2</v>
          </cell>
          <cell r="D128" t="str">
            <v>4</v>
          </cell>
          <cell r="E128">
            <v>4</v>
          </cell>
          <cell r="F128" t="str">
            <v>24</v>
          </cell>
          <cell r="G128" t="str">
            <v>2d</v>
          </cell>
          <cell r="H128" t="str">
            <v>2</v>
          </cell>
          <cell r="I128" t="str">
            <v>2</v>
          </cell>
          <cell r="J128">
            <v>182</v>
          </cell>
          <cell r="K128">
            <v>20</v>
          </cell>
          <cell r="L128">
            <v>20</v>
          </cell>
          <cell r="M128">
            <v>16</v>
          </cell>
          <cell r="N128">
            <v>18</v>
          </cell>
          <cell r="O128" t="str">
            <v>7c24</v>
          </cell>
          <cell r="P128" t="str">
            <v>Tusk</v>
          </cell>
          <cell r="Q128" t="str">
            <v>Kick</v>
          </cell>
          <cell r="R128" t="str">
            <v>Breath</v>
          </cell>
          <cell r="X128" t="str">
            <v>Beast</v>
          </cell>
        </row>
        <row r="129">
          <cell r="A129" t="str">
            <v>Nitemare</v>
          </cell>
          <cell r="B129" t="str">
            <v>Nitemare</v>
          </cell>
          <cell r="C129" t="str">
            <v>4</v>
          </cell>
          <cell r="D129" t="str">
            <v>8</v>
          </cell>
          <cell r="E129">
            <v>8</v>
          </cell>
          <cell r="F129" t="str">
            <v>48</v>
          </cell>
          <cell r="G129" t="str">
            <v>2d</v>
          </cell>
          <cell r="H129" t="str">
            <v>2</v>
          </cell>
          <cell r="I129" t="str">
            <v>5</v>
          </cell>
          <cell r="J129">
            <v>507</v>
          </cell>
          <cell r="K129">
            <v>53</v>
          </cell>
          <cell r="L129">
            <v>53</v>
          </cell>
          <cell r="M129">
            <v>43</v>
          </cell>
          <cell r="N129">
            <v>51</v>
          </cell>
          <cell r="O129" t="str">
            <v>7c27</v>
          </cell>
          <cell r="P129" t="str">
            <v>Sword</v>
          </cell>
          <cell r="Q129" t="str">
            <v>Breath</v>
          </cell>
          <cell r="R129" t="str">
            <v>Flame</v>
          </cell>
          <cell r="S129" t="str">
            <v>Kick</v>
          </cell>
          <cell r="T129" t="str">
            <v>EvilEye</v>
          </cell>
          <cell r="U129" t="str">
            <v>O-Fire</v>
          </cell>
          <cell r="X129" t="str">
            <v>Beast</v>
          </cell>
        </row>
        <row r="130">
          <cell r="A130" t="str">
            <v>Sleipnir</v>
          </cell>
          <cell r="B130" t="str">
            <v>Sleipnir</v>
          </cell>
          <cell r="C130" t="str">
            <v>4</v>
          </cell>
          <cell r="D130" t="str">
            <v>A</v>
          </cell>
          <cell r="E130">
            <v>10</v>
          </cell>
          <cell r="F130" t="str">
            <v>4A</v>
          </cell>
          <cell r="G130" t="str">
            <v>2d</v>
          </cell>
          <cell r="H130" t="str">
            <v>2</v>
          </cell>
          <cell r="I130" t="str">
            <v>6</v>
          </cell>
          <cell r="J130">
            <v>731</v>
          </cell>
          <cell r="K130">
            <v>76</v>
          </cell>
          <cell r="L130">
            <v>76</v>
          </cell>
          <cell r="M130">
            <v>62</v>
          </cell>
          <cell r="N130">
            <v>73</v>
          </cell>
          <cell r="O130" t="str">
            <v>7c2d</v>
          </cell>
          <cell r="P130" t="str">
            <v>Tusk</v>
          </cell>
          <cell r="Q130" t="str">
            <v>W-Kick</v>
          </cell>
          <cell r="R130" t="str">
            <v>Bash</v>
          </cell>
          <cell r="S130" t="str">
            <v>Breath</v>
          </cell>
          <cell r="T130" t="str">
            <v>Flame</v>
          </cell>
          <cell r="U130" t="str">
            <v>Warning</v>
          </cell>
          <cell r="V130" t="str">
            <v>O-Change</v>
          </cell>
          <cell r="X130" t="str">
            <v>Beast</v>
          </cell>
        </row>
        <row r="131">
          <cell r="A131" t="str">
            <v>Unicorn</v>
          </cell>
          <cell r="B131" t="str">
            <v>Unicorn</v>
          </cell>
          <cell r="C131" t="str">
            <v>4</v>
          </cell>
          <cell r="D131" t="str">
            <v>B</v>
          </cell>
          <cell r="E131">
            <v>11</v>
          </cell>
          <cell r="F131" t="str">
            <v>4B</v>
          </cell>
          <cell r="G131" t="str">
            <v>2d</v>
          </cell>
          <cell r="H131" t="str">
            <v>2</v>
          </cell>
          <cell r="I131" t="str">
            <v>7</v>
          </cell>
          <cell r="J131">
            <v>858</v>
          </cell>
          <cell r="K131">
            <v>89</v>
          </cell>
          <cell r="L131">
            <v>89</v>
          </cell>
          <cell r="M131">
            <v>80</v>
          </cell>
          <cell r="N131">
            <v>86</v>
          </cell>
          <cell r="O131" t="str">
            <v>7c34</v>
          </cell>
          <cell r="P131" t="str">
            <v>Kick</v>
          </cell>
          <cell r="Q131" t="str">
            <v>Horn</v>
          </cell>
          <cell r="R131" t="str">
            <v>Charm</v>
          </cell>
          <cell r="S131" t="str">
            <v>Cure</v>
          </cell>
          <cell r="T131" t="str">
            <v>Heal</v>
          </cell>
          <cell r="U131" t="str">
            <v>Teleport</v>
          </cell>
          <cell r="V131" t="str">
            <v>Warning</v>
          </cell>
          <cell r="W131" t="str">
            <v>O-Change</v>
          </cell>
          <cell r="X131" t="str">
            <v>Beast</v>
          </cell>
        </row>
        <row r="132">
          <cell r="A132" t="str">
            <v>Griffon</v>
          </cell>
          <cell r="B132" t="str">
            <v>Griffon</v>
          </cell>
          <cell r="C132" t="str">
            <v>1</v>
          </cell>
          <cell r="D132" t="str">
            <v>4</v>
          </cell>
          <cell r="E132">
            <v>4</v>
          </cell>
          <cell r="F132" t="str">
            <v>14</v>
          </cell>
          <cell r="G132" t="str">
            <v>2e</v>
          </cell>
          <cell r="H132" t="str">
            <v>2</v>
          </cell>
          <cell r="I132" t="str">
            <v>2</v>
          </cell>
          <cell r="J132">
            <v>169</v>
          </cell>
          <cell r="K132">
            <v>22</v>
          </cell>
          <cell r="L132">
            <v>18</v>
          </cell>
          <cell r="M132">
            <v>16</v>
          </cell>
          <cell r="N132">
            <v>18</v>
          </cell>
          <cell r="O132" t="str">
            <v>7c3c</v>
          </cell>
          <cell r="P132" t="str">
            <v>Nail</v>
          </cell>
          <cell r="Q132" t="str">
            <v>Beak</v>
          </cell>
          <cell r="R132" t="str">
            <v>O-Quake</v>
          </cell>
          <cell r="X132" t="str">
            <v>Beast</v>
          </cell>
        </row>
        <row r="133">
          <cell r="A133" t="str">
            <v>Mantcore</v>
          </cell>
          <cell r="B133" t="str">
            <v>Mantcore</v>
          </cell>
          <cell r="C133" t="str">
            <v>2</v>
          </cell>
          <cell r="D133" t="str">
            <v>6</v>
          </cell>
          <cell r="E133">
            <v>6</v>
          </cell>
          <cell r="F133" t="str">
            <v>26</v>
          </cell>
          <cell r="G133" t="str">
            <v>2e</v>
          </cell>
          <cell r="H133" t="str">
            <v>2</v>
          </cell>
          <cell r="I133" t="str">
            <v>4</v>
          </cell>
          <cell r="J133">
            <v>307</v>
          </cell>
          <cell r="K133">
            <v>38</v>
          </cell>
          <cell r="L133">
            <v>32</v>
          </cell>
          <cell r="M133">
            <v>29</v>
          </cell>
          <cell r="N133">
            <v>32</v>
          </cell>
          <cell r="O133" t="str">
            <v>7c3f</v>
          </cell>
          <cell r="P133" t="str">
            <v>Nail</v>
          </cell>
          <cell r="Q133" t="str">
            <v>Tusk</v>
          </cell>
          <cell r="R133" t="str">
            <v>Venom</v>
          </cell>
          <cell r="S133" t="str">
            <v>Warning</v>
          </cell>
          <cell r="T133" t="str">
            <v>O-Quake</v>
          </cell>
          <cell r="X133" t="str">
            <v>Beast</v>
          </cell>
        </row>
        <row r="134">
          <cell r="A134" t="str">
            <v>Chimera</v>
          </cell>
          <cell r="B134" t="str">
            <v>Chimera</v>
          </cell>
          <cell r="C134" t="str">
            <v>3</v>
          </cell>
          <cell r="D134" t="str">
            <v>9</v>
          </cell>
          <cell r="E134">
            <v>9</v>
          </cell>
          <cell r="F134" t="str">
            <v>39</v>
          </cell>
          <cell r="G134" t="str">
            <v>2e</v>
          </cell>
          <cell r="H134" t="str">
            <v>2</v>
          </cell>
          <cell r="I134" t="str">
            <v>5</v>
          </cell>
          <cell r="J134">
            <v>591</v>
          </cell>
          <cell r="K134">
            <v>68</v>
          </cell>
          <cell r="L134">
            <v>61</v>
          </cell>
          <cell r="M134">
            <v>52</v>
          </cell>
          <cell r="N134">
            <v>61</v>
          </cell>
          <cell r="O134" t="str">
            <v>7c44</v>
          </cell>
          <cell r="P134" t="str">
            <v>Tusk</v>
          </cell>
          <cell r="Q134" t="str">
            <v>Nail</v>
          </cell>
          <cell r="R134" t="str">
            <v>Flame</v>
          </cell>
          <cell r="S134" t="str">
            <v>3-Heads</v>
          </cell>
          <cell r="T134" t="str">
            <v>Warning</v>
          </cell>
          <cell r="U134" t="str">
            <v>O-Quake</v>
          </cell>
          <cell r="X134" t="str">
            <v>Beast</v>
          </cell>
        </row>
        <row r="135">
          <cell r="A135" t="str">
            <v>Sphinx</v>
          </cell>
          <cell r="B135" t="str">
            <v>Sphinx</v>
          </cell>
          <cell r="C135" t="str">
            <v>4</v>
          </cell>
          <cell r="D135" t="str">
            <v>A</v>
          </cell>
          <cell r="E135">
            <v>10</v>
          </cell>
          <cell r="F135" t="str">
            <v>4A</v>
          </cell>
          <cell r="G135" t="str">
            <v>2e</v>
          </cell>
          <cell r="H135" t="str">
            <v>2</v>
          </cell>
          <cell r="I135" t="str">
            <v>6</v>
          </cell>
          <cell r="J135">
            <v>706</v>
          </cell>
          <cell r="K135">
            <v>81</v>
          </cell>
          <cell r="L135">
            <v>73</v>
          </cell>
          <cell r="M135">
            <v>68</v>
          </cell>
          <cell r="N135">
            <v>73</v>
          </cell>
          <cell r="O135" t="str">
            <v>7c4a</v>
          </cell>
          <cell r="P135" t="str">
            <v>Nail</v>
          </cell>
          <cell r="Q135" t="str">
            <v>Tusk</v>
          </cell>
          <cell r="R135" t="str">
            <v>Fire</v>
          </cell>
          <cell r="S135" t="str">
            <v>Cure</v>
          </cell>
          <cell r="T135" t="str">
            <v>Riddle</v>
          </cell>
          <cell r="U135" t="str">
            <v>Warning</v>
          </cell>
          <cell r="V135" t="str">
            <v>O-Quake</v>
          </cell>
          <cell r="X135" t="str">
            <v>Beast</v>
          </cell>
        </row>
        <row r="136">
          <cell r="A136" t="str">
            <v>Kirin</v>
          </cell>
          <cell r="B136" t="str">
            <v>Kirin</v>
          </cell>
          <cell r="C136" t="str">
            <v>3</v>
          </cell>
          <cell r="D136" t="str">
            <v>B</v>
          </cell>
          <cell r="E136">
            <v>11</v>
          </cell>
          <cell r="F136" t="str">
            <v>3B</v>
          </cell>
          <cell r="G136" t="str">
            <v>2e</v>
          </cell>
          <cell r="H136" t="str">
            <v>2</v>
          </cell>
          <cell r="I136" t="str">
            <v>7</v>
          </cell>
          <cell r="J136">
            <v>831</v>
          </cell>
          <cell r="K136">
            <v>94</v>
          </cell>
          <cell r="L136">
            <v>86</v>
          </cell>
          <cell r="M136">
            <v>80</v>
          </cell>
          <cell r="N136">
            <v>86</v>
          </cell>
          <cell r="O136" t="str">
            <v>7c51</v>
          </cell>
          <cell r="P136" t="str">
            <v>Horn</v>
          </cell>
          <cell r="Q136" t="str">
            <v>Thunder</v>
          </cell>
          <cell r="R136" t="str">
            <v>Cure</v>
          </cell>
          <cell r="S136" t="str">
            <v>Tornado</v>
          </cell>
          <cell r="T136" t="str">
            <v>Teleport</v>
          </cell>
          <cell r="U136" t="str">
            <v>Recover</v>
          </cell>
          <cell r="V136" t="str">
            <v>O-Quake</v>
          </cell>
          <cell r="W136" t="str">
            <v>O-Damage</v>
          </cell>
          <cell r="X136" t="str">
            <v>Beast</v>
          </cell>
        </row>
        <row r="137">
          <cell r="A137" t="str">
            <v>Fly</v>
          </cell>
          <cell r="B137" t="str">
            <v>Fly</v>
          </cell>
          <cell r="C137" t="str">
            <v>0</v>
          </cell>
          <cell r="D137" t="str">
            <v>1</v>
          </cell>
          <cell r="E137">
            <v>1</v>
          </cell>
          <cell r="F137" t="str">
            <v>01</v>
          </cell>
          <cell r="G137" t="str">
            <v>04</v>
          </cell>
          <cell r="H137" t="str">
            <v>2</v>
          </cell>
          <cell r="I137" t="str">
            <v>2</v>
          </cell>
          <cell r="J137">
            <v>38</v>
          </cell>
          <cell r="K137">
            <v>4</v>
          </cell>
          <cell r="L137">
            <v>7</v>
          </cell>
          <cell r="M137">
            <v>4</v>
          </cell>
          <cell r="N137">
            <v>5</v>
          </cell>
          <cell r="O137" t="str">
            <v>7c59</v>
          </cell>
          <cell r="P137" t="str">
            <v>Nail</v>
          </cell>
          <cell r="Q137" t="str">
            <v>O-Quake</v>
          </cell>
          <cell r="R137" t="str">
            <v>X-Ice</v>
          </cell>
          <cell r="X137" t="str">
            <v>Transformed</v>
          </cell>
        </row>
        <row r="138">
          <cell r="A138" t="str">
            <v>Hornet</v>
          </cell>
          <cell r="B138" t="str">
            <v>Hornet</v>
          </cell>
          <cell r="C138" t="str">
            <v>2</v>
          </cell>
          <cell r="D138" t="str">
            <v>5</v>
          </cell>
          <cell r="E138">
            <v>5</v>
          </cell>
          <cell r="F138" t="str">
            <v>25</v>
          </cell>
          <cell r="G138" t="str">
            <v>04</v>
          </cell>
          <cell r="H138" t="str">
            <v>2</v>
          </cell>
          <cell r="I138" t="str">
            <v>4</v>
          </cell>
          <cell r="J138">
            <v>233</v>
          </cell>
          <cell r="K138">
            <v>23</v>
          </cell>
          <cell r="L138">
            <v>29</v>
          </cell>
          <cell r="M138">
            <v>23</v>
          </cell>
          <cell r="N138">
            <v>25</v>
          </cell>
          <cell r="O138" t="str">
            <v>7c5c</v>
          </cell>
          <cell r="P138" t="str">
            <v>Tusk</v>
          </cell>
          <cell r="Q138" t="str">
            <v>Venom</v>
          </cell>
          <cell r="R138" t="str">
            <v>Honey</v>
          </cell>
          <cell r="S138" t="str">
            <v>O-Quake</v>
          </cell>
          <cell r="T138" t="str">
            <v>X-Ice</v>
          </cell>
          <cell r="X138" t="str">
            <v>Transformed</v>
          </cell>
        </row>
        <row r="139">
          <cell r="A139" t="str">
            <v>Mosquito</v>
          </cell>
          <cell r="B139" t="str">
            <v>Mosquito</v>
          </cell>
          <cell r="C139" t="str">
            <v>2</v>
          </cell>
          <cell r="D139" t="str">
            <v>7</v>
          </cell>
          <cell r="E139">
            <v>7</v>
          </cell>
          <cell r="F139" t="str">
            <v>27</v>
          </cell>
          <cell r="G139" t="str">
            <v>04</v>
          </cell>
          <cell r="H139" t="str">
            <v>2</v>
          </cell>
          <cell r="I139" t="str">
            <v>5</v>
          </cell>
          <cell r="J139">
            <v>392</v>
          </cell>
          <cell r="K139">
            <v>39</v>
          </cell>
          <cell r="L139">
            <v>47</v>
          </cell>
          <cell r="M139">
            <v>39</v>
          </cell>
          <cell r="N139">
            <v>41</v>
          </cell>
          <cell r="O139" t="str">
            <v>7c61</v>
          </cell>
          <cell r="P139" t="str">
            <v>Tusk</v>
          </cell>
          <cell r="Q139" t="str">
            <v>Absorb</v>
          </cell>
          <cell r="R139" t="str">
            <v>Sword</v>
          </cell>
          <cell r="S139" t="str">
            <v>Surprise</v>
          </cell>
          <cell r="T139" t="str">
            <v>O-Quake</v>
          </cell>
          <cell r="U139" t="str">
            <v>X-Ice</v>
          </cell>
          <cell r="X139" t="str">
            <v>Transformed</v>
          </cell>
        </row>
        <row r="140">
          <cell r="A140" t="str">
            <v>Cicada</v>
          </cell>
          <cell r="B140" t="str">
            <v>Cicada</v>
          </cell>
          <cell r="C140" t="str">
            <v>5</v>
          </cell>
          <cell r="D140" t="str">
            <v>A</v>
          </cell>
          <cell r="E140">
            <v>10</v>
          </cell>
          <cell r="F140" t="str">
            <v>5A</v>
          </cell>
          <cell r="G140" t="str">
            <v>04</v>
          </cell>
          <cell r="H140" t="str">
            <v>2</v>
          </cell>
          <cell r="I140" t="str">
            <v>7</v>
          </cell>
          <cell r="J140">
            <v>706</v>
          </cell>
          <cell r="K140">
            <v>71</v>
          </cell>
          <cell r="L140">
            <v>81</v>
          </cell>
          <cell r="M140">
            <v>71</v>
          </cell>
          <cell r="N140">
            <v>73</v>
          </cell>
          <cell r="O140" t="str">
            <v>7c67</v>
          </cell>
          <cell r="P140" t="str">
            <v>Sword</v>
          </cell>
          <cell r="Q140" t="str">
            <v>Tusk</v>
          </cell>
          <cell r="R140" t="str">
            <v>Absorb</v>
          </cell>
          <cell r="S140" t="str">
            <v>Thunder</v>
          </cell>
          <cell r="T140" t="str">
            <v>MadSong</v>
          </cell>
          <cell r="U140" t="str">
            <v>CursSong</v>
          </cell>
          <cell r="V140" t="str">
            <v>O-Quake</v>
          </cell>
          <cell r="W140" t="str">
            <v>X-Ice</v>
          </cell>
          <cell r="X140" t="str">
            <v>Transformed</v>
          </cell>
        </row>
        <row r="141">
          <cell r="A141" t="str">
            <v>Mantis</v>
          </cell>
          <cell r="B141" t="str">
            <v>Mantis</v>
          </cell>
          <cell r="C141" t="str">
            <v>3</v>
          </cell>
          <cell r="D141" t="str">
            <v>B</v>
          </cell>
          <cell r="E141">
            <v>11</v>
          </cell>
          <cell r="F141" t="str">
            <v>3B</v>
          </cell>
          <cell r="G141" t="str">
            <v>04</v>
          </cell>
          <cell r="H141" t="str">
            <v>2</v>
          </cell>
          <cell r="I141" t="str">
            <v>7</v>
          </cell>
          <cell r="J141">
            <v>831</v>
          </cell>
          <cell r="K141">
            <v>83</v>
          </cell>
          <cell r="L141">
            <v>94</v>
          </cell>
          <cell r="M141">
            <v>83</v>
          </cell>
          <cell r="N141">
            <v>86</v>
          </cell>
          <cell r="O141" t="str">
            <v>7c6f</v>
          </cell>
          <cell r="P141" t="str">
            <v>Tusk</v>
          </cell>
          <cell r="Q141" t="str">
            <v>2-Swords</v>
          </cell>
          <cell r="R141" t="str">
            <v>Drain</v>
          </cell>
          <cell r="S141" t="str">
            <v>Thunder</v>
          </cell>
          <cell r="T141" t="str">
            <v>Teleport</v>
          </cell>
          <cell r="U141" t="str">
            <v>Surprise</v>
          </cell>
          <cell r="V141" t="str">
            <v>O-Poison</v>
          </cell>
          <cell r="W141" t="str">
            <v>O-Quake</v>
          </cell>
          <cell r="X141" t="str">
            <v>Transformed</v>
          </cell>
        </row>
        <row r="142">
          <cell r="A142" t="str">
            <v>WereRat</v>
          </cell>
          <cell r="B142" t="str">
            <v>WereRat</v>
          </cell>
          <cell r="C142" t="str">
            <v>0</v>
          </cell>
          <cell r="D142" t="str">
            <v>2</v>
          </cell>
          <cell r="E142">
            <v>2</v>
          </cell>
          <cell r="F142" t="str">
            <v>02</v>
          </cell>
          <cell r="G142" t="str">
            <v>2f</v>
          </cell>
          <cell r="H142" t="str">
            <v>2</v>
          </cell>
          <cell r="I142" t="str">
            <v>1</v>
          </cell>
          <cell r="J142">
            <v>99</v>
          </cell>
          <cell r="K142">
            <v>10</v>
          </cell>
          <cell r="L142">
            <v>8</v>
          </cell>
          <cell r="M142">
            <v>6</v>
          </cell>
          <cell r="N142">
            <v>6</v>
          </cell>
          <cell r="O142" t="str">
            <v>7c77</v>
          </cell>
          <cell r="P142" t="str">
            <v>Nail</v>
          </cell>
          <cell r="Q142" t="str">
            <v>Surprise</v>
          </cell>
          <cell r="R142" t="str">
            <v>Recover</v>
          </cell>
          <cell r="X142" t="str">
            <v>Transformed</v>
          </cell>
        </row>
        <row r="143">
          <cell r="A143" t="str">
            <v>WereWolf</v>
          </cell>
          <cell r="B143" t="str">
            <v>WereWolf</v>
          </cell>
          <cell r="C143" t="str">
            <v>1</v>
          </cell>
          <cell r="D143" t="str">
            <v>5</v>
          </cell>
          <cell r="E143">
            <v>5</v>
          </cell>
          <cell r="F143" t="str">
            <v>15</v>
          </cell>
          <cell r="G143" t="str">
            <v>2f</v>
          </cell>
          <cell r="H143" t="str">
            <v>2</v>
          </cell>
          <cell r="I143" t="str">
            <v>3</v>
          </cell>
          <cell r="J143">
            <v>278</v>
          </cell>
          <cell r="K143">
            <v>28</v>
          </cell>
          <cell r="L143">
            <v>25</v>
          </cell>
          <cell r="M143">
            <v>22</v>
          </cell>
          <cell r="N143">
            <v>22</v>
          </cell>
          <cell r="O143" t="str">
            <v>7c79</v>
          </cell>
          <cell r="P143" t="str">
            <v>Nail</v>
          </cell>
          <cell r="Q143" t="str">
            <v>Tusk</v>
          </cell>
          <cell r="R143" t="str">
            <v>Surprise</v>
          </cell>
          <cell r="S143" t="str">
            <v>Recover</v>
          </cell>
          <cell r="X143" t="str">
            <v>Transformed</v>
          </cell>
        </row>
        <row r="144">
          <cell r="A144" t="str">
            <v>CatWoman</v>
          </cell>
          <cell r="B144" t="str">
            <v>CatWoman</v>
          </cell>
          <cell r="C144" t="str">
            <v>3</v>
          </cell>
          <cell r="D144" t="str">
            <v>8</v>
          </cell>
          <cell r="E144">
            <v>8</v>
          </cell>
          <cell r="F144" t="str">
            <v>38</v>
          </cell>
          <cell r="G144" t="str">
            <v>2f</v>
          </cell>
          <cell r="H144" t="str">
            <v>2</v>
          </cell>
          <cell r="I144" t="str">
            <v>5</v>
          </cell>
          <cell r="J144">
            <v>549</v>
          </cell>
          <cell r="K144">
            <v>55</v>
          </cell>
          <cell r="L144">
            <v>51</v>
          </cell>
          <cell r="M144">
            <v>47</v>
          </cell>
          <cell r="N144">
            <v>47</v>
          </cell>
          <cell r="O144" t="str">
            <v>7c7d</v>
          </cell>
          <cell r="P144" t="str">
            <v>Tusk</v>
          </cell>
          <cell r="Q144" t="str">
            <v>Nail</v>
          </cell>
          <cell r="R144" t="str">
            <v>Charm</v>
          </cell>
          <cell r="S144" t="str">
            <v>Venom</v>
          </cell>
          <cell r="T144" t="str">
            <v>Surprise</v>
          </cell>
          <cell r="U144" t="str">
            <v>Recover</v>
          </cell>
          <cell r="X144" t="str">
            <v>Transformed</v>
          </cell>
        </row>
        <row r="145">
          <cell r="A145" t="str">
            <v>Rakshasa</v>
          </cell>
          <cell r="B145" t="str">
            <v>Rakshasa</v>
          </cell>
          <cell r="C145" t="str">
            <v>4</v>
          </cell>
          <cell r="D145" t="str">
            <v>A</v>
          </cell>
          <cell r="E145">
            <v>10</v>
          </cell>
          <cell r="F145" t="str">
            <v>4A</v>
          </cell>
          <cell r="G145" t="str">
            <v>2f</v>
          </cell>
          <cell r="H145" t="str">
            <v>2</v>
          </cell>
          <cell r="I145" t="str">
            <v>6</v>
          </cell>
          <cell r="J145">
            <v>781</v>
          </cell>
          <cell r="K145">
            <v>78</v>
          </cell>
          <cell r="L145">
            <v>73</v>
          </cell>
          <cell r="M145">
            <v>68</v>
          </cell>
          <cell r="N145">
            <v>68</v>
          </cell>
          <cell r="O145" t="str">
            <v>7c83</v>
          </cell>
          <cell r="P145" t="str">
            <v>Tusk</v>
          </cell>
          <cell r="Q145" t="str">
            <v>Fire</v>
          </cell>
          <cell r="R145" t="str">
            <v>Ice</v>
          </cell>
          <cell r="S145" t="str">
            <v>Cure</v>
          </cell>
          <cell r="T145" t="str">
            <v>Mirror</v>
          </cell>
          <cell r="U145" t="str">
            <v>Surprise</v>
          </cell>
          <cell r="V145" t="str">
            <v>Recover</v>
          </cell>
          <cell r="X145" t="str">
            <v>Transformed</v>
          </cell>
        </row>
        <row r="146">
          <cell r="A146" t="str">
            <v>Anubis</v>
          </cell>
          <cell r="B146" t="str">
            <v>Anubis</v>
          </cell>
          <cell r="C146" t="str">
            <v>6</v>
          </cell>
          <cell r="D146" t="str">
            <v>B</v>
          </cell>
          <cell r="E146">
            <v>11</v>
          </cell>
          <cell r="F146" t="str">
            <v>6B</v>
          </cell>
          <cell r="G146" t="str">
            <v>2f</v>
          </cell>
          <cell r="H146" t="str">
            <v>2</v>
          </cell>
          <cell r="I146" t="str">
            <v>7</v>
          </cell>
          <cell r="J146">
            <v>912</v>
          </cell>
          <cell r="K146">
            <v>91</v>
          </cell>
          <cell r="L146">
            <v>86</v>
          </cell>
          <cell r="M146">
            <v>80</v>
          </cell>
          <cell r="N146">
            <v>80</v>
          </cell>
          <cell r="O146" t="str">
            <v>7c8a</v>
          </cell>
          <cell r="P146" t="str">
            <v>Nail</v>
          </cell>
          <cell r="Q146" t="str">
            <v>Tusk</v>
          </cell>
          <cell r="R146" t="str">
            <v>Ice</v>
          </cell>
          <cell r="S146" t="str">
            <v>Mirror</v>
          </cell>
          <cell r="T146" t="str">
            <v>Dispel</v>
          </cell>
          <cell r="U146" t="str">
            <v>Heal</v>
          </cell>
          <cell r="V146" t="str">
            <v>Cure</v>
          </cell>
          <cell r="W146" t="str">
            <v>Recover</v>
          </cell>
          <cell r="X146" t="str">
            <v>Transformed</v>
          </cell>
        </row>
        <row r="147">
          <cell r="A147" t="str">
            <v>Medusa</v>
          </cell>
          <cell r="B147" t="str">
            <v>Medusa</v>
          </cell>
          <cell r="C147" t="str">
            <v>2</v>
          </cell>
          <cell r="D147" t="str">
            <v>4</v>
          </cell>
          <cell r="E147">
            <v>4</v>
          </cell>
          <cell r="F147" t="str">
            <v>24</v>
          </cell>
          <cell r="G147" t="str">
            <v>17</v>
          </cell>
          <cell r="H147" t="str">
            <v>2</v>
          </cell>
          <cell r="I147" t="str">
            <v>2</v>
          </cell>
          <cell r="J147">
            <v>182</v>
          </cell>
          <cell r="K147">
            <v>17</v>
          </cell>
          <cell r="L147">
            <v>18</v>
          </cell>
          <cell r="M147">
            <v>22</v>
          </cell>
          <cell r="N147">
            <v>16</v>
          </cell>
          <cell r="O147" t="str">
            <v>7c92</v>
          </cell>
          <cell r="P147" t="str">
            <v>Tail</v>
          </cell>
          <cell r="Q147" t="str">
            <v>Venom</v>
          </cell>
          <cell r="R147" t="str">
            <v>StonGaze</v>
          </cell>
          <cell r="X147" t="str">
            <v>Transformed</v>
          </cell>
        </row>
        <row r="148">
          <cell r="A148" t="str">
            <v>Lamia</v>
          </cell>
          <cell r="B148" t="str">
            <v>Lamia</v>
          </cell>
          <cell r="C148" t="str">
            <v>4</v>
          </cell>
          <cell r="D148" t="str">
            <v>8</v>
          </cell>
          <cell r="E148">
            <v>8</v>
          </cell>
          <cell r="F148" t="str">
            <v>48</v>
          </cell>
          <cell r="G148" t="str">
            <v>17</v>
          </cell>
          <cell r="H148" t="str">
            <v>2</v>
          </cell>
          <cell r="I148" t="str">
            <v>4</v>
          </cell>
          <cell r="J148">
            <v>507</v>
          </cell>
          <cell r="K148">
            <v>49</v>
          </cell>
          <cell r="L148">
            <v>51</v>
          </cell>
          <cell r="M148">
            <v>57</v>
          </cell>
          <cell r="N148">
            <v>47</v>
          </cell>
          <cell r="O148" t="str">
            <v>7c95</v>
          </cell>
          <cell r="P148" t="str">
            <v>Tail</v>
          </cell>
          <cell r="Q148" t="str">
            <v>Venom</v>
          </cell>
          <cell r="R148" t="str">
            <v>Ice</v>
          </cell>
          <cell r="S148" t="str">
            <v>Fire</v>
          </cell>
          <cell r="T148" t="str">
            <v>Charm</v>
          </cell>
          <cell r="X148" t="str">
            <v>Transformed</v>
          </cell>
        </row>
        <row r="149">
          <cell r="A149" t="str">
            <v>Naga</v>
          </cell>
          <cell r="B149" t="str">
            <v>Naga</v>
          </cell>
          <cell r="C149" t="str">
            <v>5</v>
          </cell>
          <cell r="D149" t="str">
            <v>9</v>
          </cell>
          <cell r="E149">
            <v>9</v>
          </cell>
          <cell r="F149" t="str">
            <v>59</v>
          </cell>
          <cell r="G149" t="str">
            <v>17</v>
          </cell>
          <cell r="H149" t="str">
            <v>2</v>
          </cell>
          <cell r="I149" t="str">
            <v>5</v>
          </cell>
          <cell r="J149">
            <v>614</v>
          </cell>
          <cell r="K149">
            <v>59</v>
          </cell>
          <cell r="L149">
            <v>61</v>
          </cell>
          <cell r="M149">
            <v>68</v>
          </cell>
          <cell r="N149">
            <v>57</v>
          </cell>
          <cell r="O149" t="str">
            <v>7c9a</v>
          </cell>
          <cell r="P149" t="str">
            <v>Venom</v>
          </cell>
          <cell r="Q149" t="str">
            <v>Ice</v>
          </cell>
          <cell r="R149" t="str">
            <v>Tail</v>
          </cell>
          <cell r="S149" t="str">
            <v>Fire</v>
          </cell>
          <cell r="T149" t="str">
            <v>Cure</v>
          </cell>
          <cell r="U149" t="str">
            <v>Charm</v>
          </cell>
          <cell r="X149" t="str">
            <v>Transformed</v>
          </cell>
        </row>
        <row r="150">
          <cell r="A150" t="str">
            <v>Scylla</v>
          </cell>
          <cell r="B150" t="str">
            <v>Scylla</v>
          </cell>
          <cell r="C150" t="str">
            <v>6</v>
          </cell>
          <cell r="D150" t="str">
            <v>A</v>
          </cell>
          <cell r="E150">
            <v>10</v>
          </cell>
          <cell r="F150" t="str">
            <v>6A</v>
          </cell>
          <cell r="G150" t="str">
            <v>17</v>
          </cell>
          <cell r="H150" t="str">
            <v>2</v>
          </cell>
          <cell r="I150" t="str">
            <v>6</v>
          </cell>
          <cell r="J150">
            <v>731</v>
          </cell>
          <cell r="K150">
            <v>71</v>
          </cell>
          <cell r="L150">
            <v>73</v>
          </cell>
          <cell r="M150">
            <v>73</v>
          </cell>
          <cell r="N150">
            <v>68</v>
          </cell>
          <cell r="O150" t="str">
            <v>7ca0</v>
          </cell>
          <cell r="P150" t="str">
            <v>Tail</v>
          </cell>
          <cell r="Q150" t="str">
            <v>4-Heads</v>
          </cell>
          <cell r="R150" t="str">
            <v>Venom</v>
          </cell>
          <cell r="S150" t="str">
            <v>Ice</v>
          </cell>
          <cell r="T150" t="str">
            <v>Fire</v>
          </cell>
          <cell r="U150" t="str">
            <v>Whirl</v>
          </cell>
          <cell r="V150" t="str">
            <v>Charm</v>
          </cell>
          <cell r="X150" t="str">
            <v>Transformed</v>
          </cell>
        </row>
        <row r="151">
          <cell r="A151" t="str">
            <v>Lilith</v>
          </cell>
          <cell r="B151" t="str">
            <v>Lilith</v>
          </cell>
          <cell r="C151" t="str">
            <v>6</v>
          </cell>
          <cell r="D151" t="str">
            <v>B</v>
          </cell>
          <cell r="E151">
            <v>11</v>
          </cell>
          <cell r="F151" t="str">
            <v>6B</v>
          </cell>
          <cell r="G151" t="str">
            <v>17</v>
          </cell>
          <cell r="H151" t="str">
            <v>2</v>
          </cell>
          <cell r="I151" t="str">
            <v>7</v>
          </cell>
          <cell r="J151">
            <v>858</v>
          </cell>
          <cell r="K151">
            <v>83</v>
          </cell>
          <cell r="L151">
            <v>86</v>
          </cell>
          <cell r="M151">
            <v>94</v>
          </cell>
          <cell r="N151">
            <v>80</v>
          </cell>
          <cell r="O151" t="str">
            <v>7ca7</v>
          </cell>
          <cell r="P151" t="str">
            <v>Tail</v>
          </cell>
          <cell r="Q151" t="str">
            <v>6-Arms</v>
          </cell>
          <cell r="R151" t="str">
            <v>Tie Up</v>
          </cell>
          <cell r="S151" t="str">
            <v>Thunder</v>
          </cell>
          <cell r="T151" t="str">
            <v>Flame</v>
          </cell>
          <cell r="U151" t="str">
            <v>Charm</v>
          </cell>
          <cell r="V151" t="str">
            <v>Quake</v>
          </cell>
          <cell r="W151" t="str">
            <v>O-Damage</v>
          </cell>
          <cell r="X151" t="str">
            <v>Transformed</v>
          </cell>
        </row>
        <row r="152">
          <cell r="A152" t="str">
            <v>Goblin</v>
          </cell>
          <cell r="B152" t="str">
            <v>Goblin</v>
          </cell>
          <cell r="C152" t="str">
            <v>0</v>
          </cell>
          <cell r="D152" t="str">
            <v>1</v>
          </cell>
          <cell r="E152">
            <v>1</v>
          </cell>
          <cell r="F152" t="str">
            <v>01</v>
          </cell>
          <cell r="G152" t="str">
            <v>80</v>
          </cell>
          <cell r="H152" t="str">
            <v>2</v>
          </cell>
          <cell r="I152" t="str">
            <v>0</v>
          </cell>
          <cell r="J152">
            <v>31</v>
          </cell>
          <cell r="K152">
            <v>7</v>
          </cell>
          <cell r="L152">
            <v>4</v>
          </cell>
          <cell r="M152">
            <v>5</v>
          </cell>
          <cell r="N152">
            <v>5</v>
          </cell>
          <cell r="O152" t="str">
            <v>7caf</v>
          </cell>
          <cell r="P152" t="str">
            <v>Punch</v>
          </cell>
          <cell r="X152" t="str">
            <v>Spirit</v>
          </cell>
        </row>
        <row r="153">
          <cell r="A153" t="str">
            <v>Oni</v>
          </cell>
          <cell r="B153" t="str">
            <v>Oni</v>
          </cell>
          <cell r="C153" t="str">
            <v>1</v>
          </cell>
          <cell r="D153" t="str">
            <v>3</v>
          </cell>
          <cell r="E153">
            <v>3</v>
          </cell>
          <cell r="F153" t="str">
            <v>13</v>
          </cell>
          <cell r="G153" t="str">
            <v>80</v>
          </cell>
          <cell r="H153" t="str">
            <v>2</v>
          </cell>
          <cell r="I153" t="str">
            <v>1</v>
          </cell>
          <cell r="J153">
            <v>104</v>
          </cell>
          <cell r="K153">
            <v>16</v>
          </cell>
          <cell r="L153">
            <v>12</v>
          </cell>
          <cell r="M153">
            <v>13</v>
          </cell>
          <cell r="N153">
            <v>13</v>
          </cell>
          <cell r="O153" t="str">
            <v>7cb0</v>
          </cell>
          <cell r="P153" t="str">
            <v>Punch</v>
          </cell>
          <cell r="Q153" t="str">
            <v>Horn</v>
          </cell>
          <cell r="X153" t="str">
            <v>Spirit</v>
          </cell>
        </row>
        <row r="154">
          <cell r="A154" t="str">
            <v>Ogre</v>
          </cell>
          <cell r="B154" t="str">
            <v>Ogre</v>
          </cell>
          <cell r="C154" t="str">
            <v>4</v>
          </cell>
          <cell r="D154" t="str">
            <v>6</v>
          </cell>
          <cell r="E154">
            <v>6</v>
          </cell>
          <cell r="F154" t="str">
            <v>46</v>
          </cell>
          <cell r="G154" t="str">
            <v>80</v>
          </cell>
          <cell r="H154" t="str">
            <v>2</v>
          </cell>
          <cell r="I154" t="str">
            <v>4</v>
          </cell>
          <cell r="J154">
            <v>290</v>
          </cell>
          <cell r="K154">
            <v>38</v>
          </cell>
          <cell r="L154">
            <v>31</v>
          </cell>
          <cell r="M154">
            <v>32</v>
          </cell>
          <cell r="N154">
            <v>32</v>
          </cell>
          <cell r="O154" t="str">
            <v>7cb2</v>
          </cell>
          <cell r="P154" t="str">
            <v>Kick</v>
          </cell>
          <cell r="Q154" t="str">
            <v>Punch</v>
          </cell>
          <cell r="R154" t="str">
            <v>Bash</v>
          </cell>
          <cell r="S154" t="str">
            <v>Sleep</v>
          </cell>
          <cell r="T154" t="str">
            <v>Ice</v>
          </cell>
          <cell r="X154" t="str">
            <v>Spirit</v>
          </cell>
        </row>
        <row r="155">
          <cell r="A155" t="str">
            <v>Giant</v>
          </cell>
          <cell r="B155" t="str">
            <v>Giant</v>
          </cell>
          <cell r="C155" t="str">
            <v>5</v>
          </cell>
          <cell r="D155" t="str">
            <v>A</v>
          </cell>
          <cell r="E155">
            <v>10</v>
          </cell>
          <cell r="F155" t="str">
            <v>5A</v>
          </cell>
          <cell r="G155" t="str">
            <v>80</v>
          </cell>
          <cell r="H155" t="str">
            <v>2</v>
          </cell>
          <cell r="I155" t="str">
            <v>6</v>
          </cell>
          <cell r="J155">
            <v>681</v>
          </cell>
          <cell r="K155">
            <v>81</v>
          </cell>
          <cell r="L155">
            <v>71</v>
          </cell>
          <cell r="M155">
            <v>73</v>
          </cell>
          <cell r="N155">
            <v>73</v>
          </cell>
          <cell r="O155" t="str">
            <v>7cb7</v>
          </cell>
          <cell r="P155" t="str">
            <v>Punch</v>
          </cell>
          <cell r="Q155" t="str">
            <v>Kick</v>
          </cell>
          <cell r="R155" t="str">
            <v>Bash</v>
          </cell>
          <cell r="S155" t="str">
            <v>Sleep</v>
          </cell>
          <cell r="T155" t="str">
            <v>Ice</v>
          </cell>
          <cell r="U155" t="str">
            <v>Cure</v>
          </cell>
          <cell r="V155" t="str">
            <v>Teleport</v>
          </cell>
          <cell r="X155" t="str">
            <v>Spirit</v>
          </cell>
        </row>
        <row r="156">
          <cell r="A156" t="str">
            <v>Susano-O</v>
          </cell>
          <cell r="B156" t="str">
            <v>Susano-O</v>
          </cell>
          <cell r="C156" t="str">
            <v>4</v>
          </cell>
          <cell r="D156" t="str">
            <v>B</v>
          </cell>
          <cell r="E156">
            <v>11</v>
          </cell>
          <cell r="F156" t="str">
            <v>4B</v>
          </cell>
          <cell r="G156" t="str">
            <v>80</v>
          </cell>
          <cell r="H156" t="str">
            <v>2</v>
          </cell>
          <cell r="I156" t="str">
            <v>7</v>
          </cell>
          <cell r="J156">
            <v>804</v>
          </cell>
          <cell r="K156">
            <v>94</v>
          </cell>
          <cell r="L156">
            <v>83</v>
          </cell>
          <cell r="M156">
            <v>86</v>
          </cell>
          <cell r="N156">
            <v>86</v>
          </cell>
          <cell r="O156" t="str">
            <v>7cbe</v>
          </cell>
          <cell r="P156" t="str">
            <v>Sword</v>
          </cell>
          <cell r="Q156" t="str">
            <v>Bash</v>
          </cell>
          <cell r="R156" t="str">
            <v>Thunder</v>
          </cell>
          <cell r="S156" t="str">
            <v>Ice</v>
          </cell>
          <cell r="T156" t="str">
            <v>Tornado</v>
          </cell>
          <cell r="U156" t="str">
            <v>Teleport</v>
          </cell>
          <cell r="V156" t="str">
            <v>O-Damage</v>
          </cell>
          <cell r="W156" t="str">
            <v>Recover</v>
          </cell>
          <cell r="X156" t="str">
            <v>Spirit</v>
          </cell>
        </row>
        <row r="157">
          <cell r="A157" t="str">
            <v>Fiend</v>
          </cell>
          <cell r="B157" t="str">
            <v>Fiend</v>
          </cell>
          <cell r="C157" t="str">
            <v>1</v>
          </cell>
          <cell r="D157" t="str">
            <v>3</v>
          </cell>
          <cell r="E157">
            <v>3</v>
          </cell>
          <cell r="F157" t="str">
            <v>13</v>
          </cell>
          <cell r="G157" t="str">
            <v>18</v>
          </cell>
          <cell r="H157" t="str">
            <v>2</v>
          </cell>
          <cell r="I157" t="str">
            <v>1</v>
          </cell>
          <cell r="J157">
            <v>104</v>
          </cell>
          <cell r="K157">
            <v>13</v>
          </cell>
          <cell r="L157">
            <v>13</v>
          </cell>
          <cell r="M157">
            <v>15</v>
          </cell>
          <cell r="N157">
            <v>13</v>
          </cell>
          <cell r="O157" t="str">
            <v>7cc6</v>
          </cell>
          <cell r="P157" t="str">
            <v>Nail</v>
          </cell>
          <cell r="Q157" t="str">
            <v>Sleep</v>
          </cell>
          <cell r="X157" t="str">
            <v>Spirit</v>
          </cell>
        </row>
        <row r="158">
          <cell r="A158" t="str">
            <v>Mephisto</v>
          </cell>
          <cell r="B158" t="str">
            <v>Mephisto</v>
          </cell>
          <cell r="C158" t="str">
            <v>2</v>
          </cell>
          <cell r="D158" t="str">
            <v>7</v>
          </cell>
          <cell r="E158">
            <v>7</v>
          </cell>
          <cell r="F158" t="str">
            <v>27</v>
          </cell>
          <cell r="G158" t="str">
            <v>18</v>
          </cell>
          <cell r="H158" t="str">
            <v>2</v>
          </cell>
          <cell r="I158" t="str">
            <v>4</v>
          </cell>
          <cell r="J158">
            <v>373</v>
          </cell>
          <cell r="K158">
            <v>41</v>
          </cell>
          <cell r="L158">
            <v>41</v>
          </cell>
          <cell r="M158">
            <v>45</v>
          </cell>
          <cell r="N158">
            <v>41</v>
          </cell>
          <cell r="O158" t="str">
            <v>7cc8</v>
          </cell>
          <cell r="P158" t="str">
            <v>Nail</v>
          </cell>
          <cell r="Q158" t="str">
            <v>Sleep</v>
          </cell>
          <cell r="R158" t="str">
            <v>Fire</v>
          </cell>
          <cell r="S158" t="str">
            <v>O-Fire</v>
          </cell>
          <cell r="T158" t="str">
            <v>O-Quake</v>
          </cell>
          <cell r="X158" t="str">
            <v>Spirit</v>
          </cell>
        </row>
        <row r="159">
          <cell r="A159" t="str">
            <v>Demon</v>
          </cell>
          <cell r="B159" t="str">
            <v>Demon</v>
          </cell>
          <cell r="C159" t="str">
            <v>3</v>
          </cell>
          <cell r="D159" t="str">
            <v>8</v>
          </cell>
          <cell r="E159">
            <v>8</v>
          </cell>
          <cell r="F159" t="str">
            <v>38</v>
          </cell>
          <cell r="G159" t="str">
            <v>18</v>
          </cell>
          <cell r="H159" t="str">
            <v>2</v>
          </cell>
          <cell r="I159" t="str">
            <v>5</v>
          </cell>
          <cell r="J159">
            <v>465</v>
          </cell>
          <cell r="K159">
            <v>51</v>
          </cell>
          <cell r="L159">
            <v>51</v>
          </cell>
          <cell r="M159">
            <v>55</v>
          </cell>
          <cell r="N159">
            <v>51</v>
          </cell>
          <cell r="O159" t="str">
            <v>7ccd</v>
          </cell>
          <cell r="P159" t="str">
            <v>Sleep</v>
          </cell>
          <cell r="Q159" t="str">
            <v>Fire</v>
          </cell>
          <cell r="R159" t="str">
            <v>Nail</v>
          </cell>
          <cell r="S159" t="str">
            <v>Hammer</v>
          </cell>
          <cell r="T159" t="str">
            <v>O-Fire</v>
          </cell>
          <cell r="U159" t="str">
            <v>O-Quake</v>
          </cell>
          <cell r="X159" t="str">
            <v>Spirit</v>
          </cell>
        </row>
        <row r="160">
          <cell r="A160" t="str">
            <v>DemoLoad</v>
          </cell>
          <cell r="B160" t="str">
            <v>DemoLoad</v>
          </cell>
          <cell r="C160" t="str">
            <v>3</v>
          </cell>
          <cell r="D160" t="str">
            <v>A</v>
          </cell>
          <cell r="E160">
            <v>10</v>
          </cell>
          <cell r="F160" t="str">
            <v>3A</v>
          </cell>
          <cell r="G160" t="str">
            <v>18</v>
          </cell>
          <cell r="H160" t="str">
            <v>2</v>
          </cell>
          <cell r="I160" t="str">
            <v>6</v>
          </cell>
          <cell r="J160">
            <v>681</v>
          </cell>
          <cell r="K160">
            <v>73</v>
          </cell>
          <cell r="L160">
            <v>73</v>
          </cell>
          <cell r="M160">
            <v>78</v>
          </cell>
          <cell r="N160">
            <v>73</v>
          </cell>
          <cell r="O160" t="str">
            <v>7cd3</v>
          </cell>
          <cell r="P160" t="str">
            <v>Nail</v>
          </cell>
          <cell r="Q160" t="str">
            <v>Sleep</v>
          </cell>
          <cell r="R160" t="str">
            <v>Fire</v>
          </cell>
          <cell r="S160" t="str">
            <v>Stone</v>
          </cell>
          <cell r="T160" t="str">
            <v>Teleport</v>
          </cell>
          <cell r="U160" t="str">
            <v>O-Fire</v>
          </cell>
          <cell r="V160" t="str">
            <v>O-Quake</v>
          </cell>
          <cell r="X160" t="str">
            <v>Spirit</v>
          </cell>
        </row>
        <row r="161">
          <cell r="A161" t="str">
            <v>Athtalot</v>
          </cell>
          <cell r="B161" t="str">
            <v>Athtalot</v>
          </cell>
          <cell r="C161" t="str">
            <v>4</v>
          </cell>
          <cell r="D161" t="str">
            <v>B</v>
          </cell>
          <cell r="E161">
            <v>11</v>
          </cell>
          <cell r="F161" t="str">
            <v>4B</v>
          </cell>
          <cell r="G161" t="str">
            <v>18</v>
          </cell>
          <cell r="H161" t="str">
            <v>2</v>
          </cell>
          <cell r="I161" t="str">
            <v>7</v>
          </cell>
          <cell r="J161">
            <v>804</v>
          </cell>
          <cell r="K161">
            <v>86</v>
          </cell>
          <cell r="L161">
            <v>86</v>
          </cell>
          <cell r="M161">
            <v>91</v>
          </cell>
          <cell r="N161">
            <v>86</v>
          </cell>
          <cell r="O161" t="str">
            <v>7cda</v>
          </cell>
          <cell r="P161" t="str">
            <v>Sword</v>
          </cell>
          <cell r="Q161" t="str">
            <v>EvilEye</v>
          </cell>
          <cell r="R161" t="str">
            <v>Flare</v>
          </cell>
          <cell r="S161" t="str">
            <v>Slay</v>
          </cell>
          <cell r="T161" t="str">
            <v>Cure</v>
          </cell>
          <cell r="U161" t="str">
            <v>Teleport</v>
          </cell>
          <cell r="V161" t="str">
            <v>O-Damage</v>
          </cell>
          <cell r="W161" t="str">
            <v>O-Quake</v>
          </cell>
          <cell r="X161" t="str">
            <v>Spirit</v>
          </cell>
        </row>
        <row r="162">
          <cell r="A162" t="str">
            <v>Sprite</v>
          </cell>
          <cell r="B162" t="str">
            <v>Sprite</v>
          </cell>
          <cell r="C162" t="str">
            <v>2</v>
          </cell>
          <cell r="D162" t="str">
            <v>5</v>
          </cell>
          <cell r="E162">
            <v>5</v>
          </cell>
          <cell r="F162" t="str">
            <v>25</v>
          </cell>
          <cell r="G162" t="str">
            <v>81</v>
          </cell>
          <cell r="H162" t="str">
            <v>2</v>
          </cell>
          <cell r="I162" t="str">
            <v>3</v>
          </cell>
          <cell r="J162">
            <v>218</v>
          </cell>
          <cell r="K162">
            <v>17</v>
          </cell>
          <cell r="L162">
            <v>31</v>
          </cell>
          <cell r="M162">
            <v>32</v>
          </cell>
          <cell r="N162">
            <v>22</v>
          </cell>
          <cell r="O162" t="str">
            <v>7ce2</v>
          </cell>
          <cell r="P162" t="str">
            <v>Sleep</v>
          </cell>
          <cell r="Q162" t="str">
            <v>Thunder</v>
          </cell>
          <cell r="R162" t="str">
            <v>Cure</v>
          </cell>
          <cell r="S162" t="str">
            <v>O-Quake</v>
          </cell>
          <cell r="X162" t="str">
            <v>Spirit</v>
          </cell>
        </row>
        <row r="163">
          <cell r="A163" t="str">
            <v>Fairy</v>
          </cell>
          <cell r="B163" t="str">
            <v>Fairy</v>
          </cell>
          <cell r="C163" t="str">
            <v>3</v>
          </cell>
          <cell r="D163" t="str">
            <v>7</v>
          </cell>
          <cell r="E163">
            <v>7</v>
          </cell>
          <cell r="F163" t="str">
            <v>37</v>
          </cell>
          <cell r="G163" t="str">
            <v>81</v>
          </cell>
          <cell r="H163" t="str">
            <v>2</v>
          </cell>
          <cell r="I163" t="str">
            <v>4</v>
          </cell>
          <cell r="J163">
            <v>373</v>
          </cell>
          <cell r="K163">
            <v>32</v>
          </cell>
          <cell r="L163">
            <v>49</v>
          </cell>
          <cell r="M163">
            <v>51</v>
          </cell>
          <cell r="N163">
            <v>37</v>
          </cell>
          <cell r="O163" t="str">
            <v>7ce6</v>
          </cell>
          <cell r="P163" t="str">
            <v>Sleep</v>
          </cell>
          <cell r="Q163" t="str">
            <v>Thunder</v>
          </cell>
          <cell r="R163" t="str">
            <v>Ice</v>
          </cell>
          <cell r="S163" t="str">
            <v>Cure</v>
          </cell>
          <cell r="T163" t="str">
            <v>O-Quake</v>
          </cell>
          <cell r="X163" t="str">
            <v>Spirit</v>
          </cell>
        </row>
        <row r="164">
          <cell r="A164" t="str">
            <v>Nymph</v>
          </cell>
          <cell r="B164" t="str">
            <v>Nymph</v>
          </cell>
          <cell r="C164" t="str">
            <v>4</v>
          </cell>
          <cell r="D164" t="str">
            <v>9</v>
          </cell>
          <cell r="E164">
            <v>9</v>
          </cell>
          <cell r="F164" t="str">
            <v>49</v>
          </cell>
          <cell r="G164" t="str">
            <v>81</v>
          </cell>
          <cell r="H164" t="str">
            <v>2</v>
          </cell>
          <cell r="I164" t="str">
            <v>5</v>
          </cell>
          <cell r="J164">
            <v>568</v>
          </cell>
          <cell r="K164">
            <v>50</v>
          </cell>
          <cell r="L164">
            <v>71</v>
          </cell>
          <cell r="M164">
            <v>66</v>
          </cell>
          <cell r="N164">
            <v>57</v>
          </cell>
          <cell r="O164" t="str">
            <v>7ceb</v>
          </cell>
          <cell r="P164" t="str">
            <v>Thunder</v>
          </cell>
          <cell r="Q164" t="str">
            <v>Sleep</v>
          </cell>
          <cell r="R164" t="str">
            <v>Whirl</v>
          </cell>
          <cell r="S164" t="str">
            <v>Ice</v>
          </cell>
          <cell r="T164" t="str">
            <v>Cure</v>
          </cell>
          <cell r="U164" t="str">
            <v>O-Quake</v>
          </cell>
          <cell r="X164" t="str">
            <v>Spirit</v>
          </cell>
        </row>
        <row r="165">
          <cell r="A165" t="str">
            <v>Sylph</v>
          </cell>
          <cell r="B165" t="str">
            <v>Sylph</v>
          </cell>
          <cell r="C165" t="str">
            <v>4</v>
          </cell>
          <cell r="D165" t="str">
            <v>A</v>
          </cell>
          <cell r="E165">
            <v>10</v>
          </cell>
          <cell r="F165" t="str">
            <v>4A</v>
          </cell>
          <cell r="G165" t="str">
            <v>81</v>
          </cell>
          <cell r="H165" t="str">
            <v>2</v>
          </cell>
          <cell r="I165" t="str">
            <v>6</v>
          </cell>
          <cell r="J165">
            <v>681</v>
          </cell>
          <cell r="K165">
            <v>61</v>
          </cell>
          <cell r="L165">
            <v>83</v>
          </cell>
          <cell r="M165">
            <v>78</v>
          </cell>
          <cell r="N165">
            <v>68</v>
          </cell>
          <cell r="O165" t="str">
            <v>7cf1</v>
          </cell>
          <cell r="P165" t="str">
            <v>Sleep</v>
          </cell>
          <cell r="Q165" t="str">
            <v>Thunder</v>
          </cell>
          <cell r="R165" t="str">
            <v>Ice</v>
          </cell>
          <cell r="S165" t="str">
            <v>Tornado</v>
          </cell>
          <cell r="T165" t="str">
            <v>Cure</v>
          </cell>
          <cell r="U165" t="str">
            <v>Teleport</v>
          </cell>
          <cell r="V165" t="str">
            <v>O-Quake</v>
          </cell>
          <cell r="X165" t="str">
            <v>Spirit</v>
          </cell>
        </row>
        <row r="166">
          <cell r="A166" t="str">
            <v>Titania</v>
          </cell>
          <cell r="B166" t="str">
            <v>Titania</v>
          </cell>
          <cell r="C166" t="str">
            <v>5</v>
          </cell>
          <cell r="D166" t="str">
            <v>B</v>
          </cell>
          <cell r="E166">
            <v>11</v>
          </cell>
          <cell r="F166" t="str">
            <v>5B</v>
          </cell>
          <cell r="G166" t="str">
            <v>81</v>
          </cell>
          <cell r="H166" t="str">
            <v>2</v>
          </cell>
          <cell r="I166" t="str">
            <v>7</v>
          </cell>
          <cell r="J166">
            <v>804</v>
          </cell>
          <cell r="K166">
            <v>72</v>
          </cell>
          <cell r="L166">
            <v>97</v>
          </cell>
          <cell r="M166">
            <v>99</v>
          </cell>
          <cell r="N166">
            <v>80</v>
          </cell>
          <cell r="O166" t="str">
            <v>7cf8</v>
          </cell>
          <cell r="P166" t="str">
            <v>Fire</v>
          </cell>
          <cell r="Q166" t="str">
            <v>Thunder</v>
          </cell>
          <cell r="R166" t="str">
            <v>Ice</v>
          </cell>
          <cell r="S166" t="str">
            <v>Flare</v>
          </cell>
          <cell r="T166" t="str">
            <v>Cure</v>
          </cell>
          <cell r="U166" t="str">
            <v>Slay</v>
          </cell>
          <cell r="V166" t="str">
            <v>Teleport</v>
          </cell>
          <cell r="W166" t="str">
            <v>O-Quake</v>
          </cell>
          <cell r="X166" t="str">
            <v>Spirit</v>
          </cell>
        </row>
        <row r="167">
          <cell r="A167" t="str">
            <v>Skelton</v>
          </cell>
          <cell r="B167" t="str">
            <v>Skelton</v>
          </cell>
          <cell r="C167" t="str">
            <v>0</v>
          </cell>
          <cell r="D167" t="str">
            <v>1</v>
          </cell>
          <cell r="E167">
            <v>1</v>
          </cell>
          <cell r="F167" t="str">
            <v>01</v>
          </cell>
          <cell r="G167" t="str">
            <v>82</v>
          </cell>
          <cell r="H167" t="str">
            <v>2</v>
          </cell>
          <cell r="I167" t="str">
            <v>2</v>
          </cell>
          <cell r="J167">
            <v>52</v>
          </cell>
          <cell r="K167">
            <v>4</v>
          </cell>
          <cell r="L167">
            <v>5</v>
          </cell>
          <cell r="M167">
            <v>7</v>
          </cell>
          <cell r="N167">
            <v>2</v>
          </cell>
          <cell r="O167" t="str">
            <v>7d00</v>
          </cell>
          <cell r="P167" t="str">
            <v>Punch</v>
          </cell>
          <cell r="Q167" t="str">
            <v>O-Weapon</v>
          </cell>
          <cell r="R167" t="str">
            <v>X-Fire</v>
          </cell>
          <cell r="X167" t="str">
            <v>Undead</v>
          </cell>
        </row>
        <row r="168">
          <cell r="A168" t="str">
            <v>Red Bone</v>
          </cell>
          <cell r="B168" t="str">
            <v>Red Bone</v>
          </cell>
          <cell r="C168" t="str">
            <v>1</v>
          </cell>
          <cell r="D168" t="str">
            <v>2</v>
          </cell>
          <cell r="E168">
            <v>2</v>
          </cell>
          <cell r="F168" t="str">
            <v>12</v>
          </cell>
          <cell r="G168" t="str">
            <v>82</v>
          </cell>
          <cell r="H168" t="str">
            <v>2</v>
          </cell>
          <cell r="I168" t="str">
            <v>3</v>
          </cell>
          <cell r="J168">
            <v>90</v>
          </cell>
          <cell r="K168">
            <v>7</v>
          </cell>
          <cell r="L168">
            <v>8</v>
          </cell>
          <cell r="M168">
            <v>11</v>
          </cell>
          <cell r="N168">
            <v>5</v>
          </cell>
          <cell r="O168" t="str">
            <v>7d03</v>
          </cell>
          <cell r="P168" t="str">
            <v>Punch</v>
          </cell>
          <cell r="Q168" t="str">
            <v>Venom</v>
          </cell>
          <cell r="R168" t="str">
            <v>O-Weapon</v>
          </cell>
          <cell r="S168" t="str">
            <v>X-Fire</v>
          </cell>
          <cell r="X168" t="str">
            <v>Undead</v>
          </cell>
        </row>
        <row r="169">
          <cell r="A169" t="str">
            <v>Warrior</v>
          </cell>
          <cell r="B169" t="str">
            <v>Warrior</v>
          </cell>
          <cell r="C169" t="str">
            <v>2</v>
          </cell>
          <cell r="D169" t="str">
            <v>6</v>
          </cell>
          <cell r="E169">
            <v>6</v>
          </cell>
          <cell r="F169" t="str">
            <v>26</v>
          </cell>
          <cell r="G169" t="str">
            <v>82</v>
          </cell>
          <cell r="H169" t="str">
            <v>2</v>
          </cell>
          <cell r="I169" t="str">
            <v>5</v>
          </cell>
          <cell r="J169">
            <v>347</v>
          </cell>
          <cell r="K169">
            <v>31</v>
          </cell>
          <cell r="L169">
            <v>32</v>
          </cell>
          <cell r="M169">
            <v>38</v>
          </cell>
          <cell r="N169">
            <v>27</v>
          </cell>
          <cell r="O169" t="str">
            <v>7d07</v>
          </cell>
          <cell r="P169" t="str">
            <v>Sword</v>
          </cell>
          <cell r="Q169" t="str">
            <v>Saw</v>
          </cell>
          <cell r="R169" t="str">
            <v>Axe</v>
          </cell>
          <cell r="S169" t="str">
            <v>O-Weapon</v>
          </cell>
          <cell r="T169" t="str">
            <v>O-Pa/Po</v>
          </cell>
          <cell r="U169" t="str">
            <v>X-Fire</v>
          </cell>
          <cell r="X169" t="str">
            <v>Undead</v>
          </cell>
        </row>
        <row r="170">
          <cell r="A170" t="str">
            <v>BoneKing</v>
          </cell>
          <cell r="B170" t="str">
            <v>BoneKing</v>
          </cell>
          <cell r="C170" t="str">
            <v>3</v>
          </cell>
          <cell r="D170" t="str">
            <v>A</v>
          </cell>
          <cell r="E170">
            <v>10</v>
          </cell>
          <cell r="F170" t="str">
            <v>3A</v>
          </cell>
          <cell r="G170" t="str">
            <v>82</v>
          </cell>
          <cell r="H170" t="str">
            <v>2</v>
          </cell>
          <cell r="I170" t="str">
            <v>6</v>
          </cell>
          <cell r="J170">
            <v>756</v>
          </cell>
          <cell r="K170">
            <v>71</v>
          </cell>
          <cell r="L170">
            <v>73</v>
          </cell>
          <cell r="M170">
            <v>81</v>
          </cell>
          <cell r="N170">
            <v>66</v>
          </cell>
          <cell r="O170" t="str">
            <v>7d0d</v>
          </cell>
          <cell r="P170" t="str">
            <v>Sword</v>
          </cell>
          <cell r="Q170" t="str">
            <v>Thunder</v>
          </cell>
          <cell r="R170" t="str">
            <v>Ice</v>
          </cell>
          <cell r="S170" t="str">
            <v>Slay</v>
          </cell>
          <cell r="T170" t="str">
            <v>O-Ice</v>
          </cell>
          <cell r="U170" t="str">
            <v>O-Weapon</v>
          </cell>
          <cell r="V170" t="str">
            <v>O-Pa/Po</v>
          </cell>
          <cell r="X170" t="str">
            <v>Undead</v>
          </cell>
        </row>
        <row r="171">
          <cell r="A171" t="str">
            <v>Lich</v>
          </cell>
          <cell r="B171" t="str">
            <v>Lich</v>
          </cell>
          <cell r="C171" t="str">
            <v>3</v>
          </cell>
          <cell r="D171" t="str">
            <v>B</v>
          </cell>
          <cell r="E171">
            <v>11</v>
          </cell>
          <cell r="F171" t="str">
            <v>3B</v>
          </cell>
          <cell r="G171" t="str">
            <v>82</v>
          </cell>
          <cell r="H171" t="str">
            <v>2</v>
          </cell>
          <cell r="I171" t="str">
            <v>7</v>
          </cell>
          <cell r="J171">
            <v>885</v>
          </cell>
          <cell r="K171">
            <v>83</v>
          </cell>
          <cell r="L171">
            <v>86</v>
          </cell>
          <cell r="M171">
            <v>94</v>
          </cell>
          <cell r="N171">
            <v>78</v>
          </cell>
          <cell r="O171" t="str">
            <v>7d14</v>
          </cell>
          <cell r="P171" t="str">
            <v>Thunder</v>
          </cell>
          <cell r="Q171" t="str">
            <v>Ice</v>
          </cell>
          <cell r="R171" t="str">
            <v>Slay</v>
          </cell>
          <cell r="S171" t="str">
            <v>Flare</v>
          </cell>
          <cell r="T171" t="str">
            <v>Teleport</v>
          </cell>
          <cell r="U171" t="str">
            <v>O-Ice</v>
          </cell>
          <cell r="V171" t="str">
            <v>O-Weapon</v>
          </cell>
          <cell r="W171" t="str">
            <v>O-Pa/Po</v>
          </cell>
          <cell r="X171" t="str">
            <v>Undead</v>
          </cell>
        </row>
        <row r="172">
          <cell r="A172" t="str">
            <v>Zombie</v>
          </cell>
          <cell r="B172" t="str">
            <v>Zombie</v>
          </cell>
          <cell r="C172" t="str">
            <v>1</v>
          </cell>
          <cell r="D172" t="str">
            <v>2</v>
          </cell>
          <cell r="E172">
            <v>2</v>
          </cell>
          <cell r="F172" t="str">
            <v>12</v>
          </cell>
          <cell r="G172" t="str">
            <v>19</v>
          </cell>
          <cell r="H172" t="str">
            <v>2</v>
          </cell>
          <cell r="I172" t="str">
            <v>2</v>
          </cell>
          <cell r="J172">
            <v>117</v>
          </cell>
          <cell r="K172">
            <v>12</v>
          </cell>
          <cell r="L172">
            <v>4</v>
          </cell>
          <cell r="M172">
            <v>8</v>
          </cell>
          <cell r="N172">
            <v>4</v>
          </cell>
          <cell r="O172" t="str">
            <v>7d1c</v>
          </cell>
          <cell r="P172" t="str">
            <v>Nail</v>
          </cell>
          <cell r="Q172" t="str">
            <v>Tusk</v>
          </cell>
          <cell r="R172" t="str">
            <v>X-Fire</v>
          </cell>
          <cell r="X172" t="str">
            <v>Undead</v>
          </cell>
        </row>
        <row r="173">
          <cell r="A173" t="str">
            <v>Ghoul</v>
          </cell>
          <cell r="B173" t="str">
            <v>Ghoul</v>
          </cell>
          <cell r="C173" t="str">
            <v>1</v>
          </cell>
          <cell r="D173" t="str">
            <v>4</v>
          </cell>
          <cell r="E173">
            <v>4</v>
          </cell>
          <cell r="F173" t="str">
            <v>14</v>
          </cell>
          <cell r="G173" t="str">
            <v>19</v>
          </cell>
          <cell r="H173" t="str">
            <v>2</v>
          </cell>
          <cell r="I173" t="str">
            <v>3</v>
          </cell>
          <cell r="J173">
            <v>234</v>
          </cell>
          <cell r="K173">
            <v>23</v>
          </cell>
          <cell r="L173">
            <v>13</v>
          </cell>
          <cell r="M173">
            <v>18</v>
          </cell>
          <cell r="N173">
            <v>13</v>
          </cell>
          <cell r="O173" t="str">
            <v>7d1f</v>
          </cell>
          <cell r="P173" t="str">
            <v>Tusk</v>
          </cell>
          <cell r="Q173" t="str">
            <v>ParaNail</v>
          </cell>
          <cell r="R173" t="str">
            <v>O-Pa/Po</v>
          </cell>
          <cell r="S173" t="str">
            <v>X-Fire</v>
          </cell>
          <cell r="X173" t="str">
            <v>Undead</v>
          </cell>
        </row>
        <row r="174">
          <cell r="A174" t="str">
            <v>Ghast</v>
          </cell>
          <cell r="B174" t="str">
            <v>Ghast</v>
          </cell>
          <cell r="C174" t="str">
            <v>3</v>
          </cell>
          <cell r="D174" t="str">
            <v>8</v>
          </cell>
          <cell r="E174">
            <v>8</v>
          </cell>
          <cell r="F174" t="str">
            <v>38</v>
          </cell>
          <cell r="G174" t="str">
            <v>19</v>
          </cell>
          <cell r="H174" t="str">
            <v>2</v>
          </cell>
          <cell r="I174" t="str">
            <v>6</v>
          </cell>
          <cell r="J174">
            <v>591</v>
          </cell>
          <cell r="K174">
            <v>59</v>
          </cell>
          <cell r="L174">
            <v>42</v>
          </cell>
          <cell r="M174">
            <v>51</v>
          </cell>
          <cell r="N174">
            <v>42</v>
          </cell>
          <cell r="O174" t="str">
            <v>7d23</v>
          </cell>
          <cell r="P174" t="str">
            <v>Tusk</v>
          </cell>
          <cell r="Q174" t="str">
            <v>ParaNail</v>
          </cell>
          <cell r="R174" t="str">
            <v>Stench</v>
          </cell>
          <cell r="S174" t="str">
            <v>P-Skin</v>
          </cell>
          <cell r="T174" t="str">
            <v>O-Ice</v>
          </cell>
          <cell r="U174" t="str">
            <v>O-Pa/Po</v>
          </cell>
          <cell r="V174" t="str">
            <v>X-Fire</v>
          </cell>
          <cell r="X174" t="str">
            <v>Undead</v>
          </cell>
        </row>
        <row r="175">
          <cell r="A175" t="str">
            <v>Wight</v>
          </cell>
          <cell r="B175" t="str">
            <v>Wight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19</v>
          </cell>
          <cell r="H175" t="str">
            <v>2</v>
          </cell>
          <cell r="I175" t="str">
            <v>6</v>
          </cell>
          <cell r="J175">
            <v>831</v>
          </cell>
          <cell r="K175">
            <v>83</v>
          </cell>
          <cell r="L175">
            <v>63</v>
          </cell>
          <cell r="M175">
            <v>73</v>
          </cell>
          <cell r="N175">
            <v>63</v>
          </cell>
          <cell r="O175" t="str">
            <v>7d2a</v>
          </cell>
          <cell r="P175" t="str">
            <v>Tusk</v>
          </cell>
          <cell r="Q175" t="str">
            <v>ParaNail</v>
          </cell>
          <cell r="R175" t="str">
            <v>Stench</v>
          </cell>
          <cell r="S175" t="str">
            <v>ParaSkin</v>
          </cell>
          <cell r="T175" t="str">
            <v>Touch</v>
          </cell>
          <cell r="U175" t="str">
            <v>O-Ice</v>
          </cell>
          <cell r="V175" t="str">
            <v>O-Pa/Po</v>
          </cell>
          <cell r="X175" t="str">
            <v>Undead</v>
          </cell>
        </row>
        <row r="176">
          <cell r="A176" t="str">
            <v>Revenant</v>
          </cell>
          <cell r="B176" t="str">
            <v>Revenant</v>
          </cell>
          <cell r="C176" t="str">
            <v>4</v>
          </cell>
          <cell r="D176" t="str">
            <v>B</v>
          </cell>
          <cell r="E176">
            <v>11</v>
          </cell>
          <cell r="F176" t="str">
            <v>4B</v>
          </cell>
          <cell r="G176" t="str">
            <v>19</v>
          </cell>
          <cell r="H176" t="str">
            <v>2</v>
          </cell>
          <cell r="I176" t="str">
            <v>7</v>
          </cell>
          <cell r="J176">
            <v>966</v>
          </cell>
          <cell r="K176">
            <v>97</v>
          </cell>
          <cell r="L176">
            <v>75</v>
          </cell>
          <cell r="M176">
            <v>86</v>
          </cell>
          <cell r="N176">
            <v>75</v>
          </cell>
          <cell r="O176" t="str">
            <v>7d31</v>
          </cell>
          <cell r="P176" t="str">
            <v>Nail</v>
          </cell>
          <cell r="Q176" t="str">
            <v>PoisonBurst</v>
          </cell>
          <cell r="R176" t="str">
            <v>Stench</v>
          </cell>
          <cell r="S176" t="str">
            <v>ParaSkin</v>
          </cell>
          <cell r="T176" t="str">
            <v>Touch</v>
          </cell>
          <cell r="U176" t="str">
            <v>Recover</v>
          </cell>
          <cell r="V176" t="str">
            <v>O-Ice</v>
          </cell>
          <cell r="W176" t="str">
            <v>O-Pa/Po</v>
          </cell>
          <cell r="X176" t="str">
            <v>Undead</v>
          </cell>
        </row>
        <row r="177">
          <cell r="A177" t="str">
            <v>O-Bake</v>
          </cell>
          <cell r="B177" t="str">
            <v>O-Bake</v>
          </cell>
          <cell r="C177" t="str">
            <v>1</v>
          </cell>
          <cell r="D177" t="str">
            <v>5</v>
          </cell>
          <cell r="E177">
            <v>5</v>
          </cell>
          <cell r="F177" t="str">
            <v>15</v>
          </cell>
          <cell r="G177" t="str">
            <v>05</v>
          </cell>
          <cell r="H177" t="str">
            <v>2</v>
          </cell>
          <cell r="I177" t="str">
            <v>3</v>
          </cell>
          <cell r="J177">
            <v>263</v>
          </cell>
          <cell r="K177">
            <v>20</v>
          </cell>
          <cell r="L177">
            <v>29</v>
          </cell>
          <cell r="M177">
            <v>29</v>
          </cell>
          <cell r="N177">
            <v>19</v>
          </cell>
          <cell r="O177" t="str">
            <v>7d39</v>
          </cell>
          <cell r="P177" t="str">
            <v>Sleep</v>
          </cell>
          <cell r="Q177" t="str">
            <v>Touch</v>
          </cell>
          <cell r="R177" t="str">
            <v>O-Quake</v>
          </cell>
          <cell r="S177" t="str">
            <v>X-Fire</v>
          </cell>
          <cell r="X177" t="str">
            <v>Undead</v>
          </cell>
        </row>
        <row r="178">
          <cell r="A178" t="str">
            <v>Phantom</v>
          </cell>
          <cell r="B178" t="str">
            <v>Phantom</v>
          </cell>
          <cell r="C178" t="str">
            <v>2</v>
          </cell>
          <cell r="D178" t="str">
            <v>7</v>
          </cell>
          <cell r="E178">
            <v>7</v>
          </cell>
          <cell r="F178" t="str">
            <v>27</v>
          </cell>
          <cell r="G178" t="str">
            <v>05</v>
          </cell>
          <cell r="H178" t="str">
            <v>2</v>
          </cell>
          <cell r="I178" t="str">
            <v>4</v>
          </cell>
          <cell r="J178">
            <v>430</v>
          </cell>
          <cell r="K178">
            <v>35</v>
          </cell>
          <cell r="L178">
            <v>47</v>
          </cell>
          <cell r="M178">
            <v>47</v>
          </cell>
          <cell r="N178">
            <v>33</v>
          </cell>
          <cell r="O178" t="str">
            <v>7d3d</v>
          </cell>
          <cell r="P178" t="str">
            <v>Ice</v>
          </cell>
          <cell r="Q178" t="str">
            <v>Sleep</v>
          </cell>
          <cell r="R178" t="str">
            <v>Touch</v>
          </cell>
          <cell r="S178" t="str">
            <v>O-Quake</v>
          </cell>
          <cell r="T178" t="str">
            <v>X-Fire</v>
          </cell>
          <cell r="X178" t="str">
            <v>Undead</v>
          </cell>
        </row>
        <row r="179">
          <cell r="A179" t="str">
            <v>Wraith</v>
          </cell>
          <cell r="B179" t="str">
            <v>Wraith</v>
          </cell>
          <cell r="C179" t="str">
            <v>2</v>
          </cell>
          <cell r="D179" t="str">
            <v>8</v>
          </cell>
          <cell r="E179">
            <v>8</v>
          </cell>
          <cell r="F179" t="str">
            <v>28</v>
          </cell>
          <cell r="G179" t="str">
            <v>05</v>
          </cell>
          <cell r="H179" t="str">
            <v>2</v>
          </cell>
          <cell r="I179" t="str">
            <v>5</v>
          </cell>
          <cell r="J179">
            <v>528</v>
          </cell>
          <cell r="K179">
            <v>44</v>
          </cell>
          <cell r="L179">
            <v>57</v>
          </cell>
          <cell r="M179">
            <v>57</v>
          </cell>
          <cell r="N179">
            <v>42</v>
          </cell>
          <cell r="O179" t="str">
            <v>7d42</v>
          </cell>
          <cell r="P179" t="str">
            <v>Touch</v>
          </cell>
          <cell r="Q179" t="str">
            <v>Ice</v>
          </cell>
          <cell r="R179" t="str">
            <v>Sleep</v>
          </cell>
          <cell r="S179" t="str">
            <v>O-Change</v>
          </cell>
          <cell r="T179" t="str">
            <v>O-Quake</v>
          </cell>
          <cell r="U179" t="str">
            <v>X-Fire</v>
          </cell>
          <cell r="X179" t="str">
            <v>Undead</v>
          </cell>
        </row>
        <row r="180">
          <cell r="A180" t="str">
            <v>Spector</v>
          </cell>
          <cell r="B180" t="str">
            <v>Spector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05</v>
          </cell>
          <cell r="H180" t="str">
            <v>2</v>
          </cell>
          <cell r="I180" t="str">
            <v>6</v>
          </cell>
          <cell r="J180">
            <v>756</v>
          </cell>
          <cell r="K180">
            <v>66</v>
          </cell>
          <cell r="L180">
            <v>81</v>
          </cell>
          <cell r="M180">
            <v>81</v>
          </cell>
          <cell r="N180">
            <v>63</v>
          </cell>
          <cell r="O180" t="str">
            <v>7d48</v>
          </cell>
          <cell r="P180" t="str">
            <v>Ice</v>
          </cell>
          <cell r="Q180" t="str">
            <v>Stone</v>
          </cell>
          <cell r="R180" t="str">
            <v>Touch</v>
          </cell>
          <cell r="S180" t="str">
            <v>Cure</v>
          </cell>
          <cell r="T180" t="str">
            <v>O-Weapon</v>
          </cell>
          <cell r="U180" t="str">
            <v>O-Change</v>
          </cell>
          <cell r="V180" t="str">
            <v>O-Quake</v>
          </cell>
          <cell r="X180" t="str">
            <v>Undead</v>
          </cell>
        </row>
        <row r="181">
          <cell r="A181" t="str">
            <v>Ghost</v>
          </cell>
          <cell r="B181" t="str">
            <v>Ghost</v>
          </cell>
          <cell r="C181" t="str">
            <v>4</v>
          </cell>
          <cell r="D181" t="str">
            <v>B</v>
          </cell>
          <cell r="E181">
            <v>11</v>
          </cell>
          <cell r="F181" t="str">
            <v>4B</v>
          </cell>
          <cell r="G181" t="str">
            <v>05</v>
          </cell>
          <cell r="H181" t="str">
            <v>2</v>
          </cell>
          <cell r="I181" t="str">
            <v>7</v>
          </cell>
          <cell r="J181">
            <v>885</v>
          </cell>
          <cell r="K181">
            <v>78</v>
          </cell>
          <cell r="L181">
            <v>94</v>
          </cell>
          <cell r="M181">
            <v>94</v>
          </cell>
          <cell r="N181">
            <v>75</v>
          </cell>
          <cell r="O181" t="str">
            <v>7d4f</v>
          </cell>
          <cell r="P181" t="str">
            <v>Drain</v>
          </cell>
          <cell r="Q181" t="str">
            <v>EvilEye</v>
          </cell>
          <cell r="R181" t="str">
            <v>Slay</v>
          </cell>
          <cell r="S181" t="str">
            <v>Touch</v>
          </cell>
          <cell r="T181" t="str">
            <v>Cure</v>
          </cell>
          <cell r="U181" t="str">
            <v>O-Weapon</v>
          </cell>
          <cell r="V181" t="str">
            <v>O-Change</v>
          </cell>
          <cell r="W181" t="str">
            <v>O-Quake</v>
          </cell>
          <cell r="X181" t="str">
            <v>Undead</v>
          </cell>
        </row>
        <row r="182">
          <cell r="A182" t="str">
            <v>Asigaru</v>
          </cell>
          <cell r="B182" t="str">
            <v>Asigaru</v>
          </cell>
          <cell r="C182" t="str">
            <v>0</v>
          </cell>
          <cell r="D182" t="str">
            <v>1</v>
          </cell>
          <cell r="E182">
            <v>1</v>
          </cell>
          <cell r="F182" t="str">
            <v>01</v>
          </cell>
          <cell r="G182" t="str">
            <v>83</v>
          </cell>
          <cell r="H182" t="str">
            <v>0</v>
          </cell>
          <cell r="I182" t="str">
            <v>0</v>
          </cell>
          <cell r="J182">
            <v>120</v>
          </cell>
          <cell r="K182">
            <v>5</v>
          </cell>
          <cell r="L182">
            <v>5</v>
          </cell>
          <cell r="M182">
            <v>2</v>
          </cell>
          <cell r="N182">
            <v>6</v>
          </cell>
          <cell r="O182" t="str">
            <v>7d57</v>
          </cell>
          <cell r="P182" t="str">
            <v>Long Sword</v>
          </cell>
          <cell r="X182" t="str">
            <v>Human</v>
          </cell>
        </row>
        <row r="183">
          <cell r="A183" t="str">
            <v>Samurai</v>
          </cell>
          <cell r="B183" t="str">
            <v>Samurai</v>
          </cell>
          <cell r="C183" t="str">
            <v>1</v>
          </cell>
          <cell r="D183" t="str">
            <v>3</v>
          </cell>
          <cell r="E183">
            <v>3</v>
          </cell>
          <cell r="F183" t="str">
            <v>13</v>
          </cell>
          <cell r="G183" t="str">
            <v>83</v>
          </cell>
          <cell r="H183" t="str">
            <v>0</v>
          </cell>
          <cell r="I183" t="str">
            <v>1</v>
          </cell>
          <cell r="J183">
            <v>320</v>
          </cell>
          <cell r="K183">
            <v>14</v>
          </cell>
          <cell r="L183">
            <v>14</v>
          </cell>
          <cell r="M183">
            <v>8</v>
          </cell>
          <cell r="N183">
            <v>15</v>
          </cell>
          <cell r="O183" t="str">
            <v>7d58</v>
          </cell>
          <cell r="P183" t="str">
            <v>Long Sword</v>
          </cell>
          <cell r="Q183" t="str">
            <v>Silver Helm</v>
          </cell>
          <cell r="X183" t="str">
            <v>Human</v>
          </cell>
        </row>
        <row r="184">
          <cell r="A184" t="str">
            <v>Ninja</v>
          </cell>
          <cell r="B184" t="str">
            <v>Ninja</v>
          </cell>
          <cell r="C184" t="str">
            <v>3</v>
          </cell>
          <cell r="D184" t="str">
            <v>7</v>
          </cell>
          <cell r="E184">
            <v>7</v>
          </cell>
          <cell r="F184" t="str">
            <v>37</v>
          </cell>
          <cell r="G184" t="str">
            <v>83</v>
          </cell>
          <cell r="H184" t="str">
            <v>0</v>
          </cell>
          <cell r="I184" t="str">
            <v>5</v>
          </cell>
          <cell r="J184">
            <v>700</v>
          </cell>
          <cell r="K184">
            <v>43</v>
          </cell>
          <cell r="L184">
            <v>43</v>
          </cell>
          <cell r="M184">
            <v>33</v>
          </cell>
          <cell r="N184">
            <v>45</v>
          </cell>
          <cell r="O184" t="str">
            <v>7d5a</v>
          </cell>
          <cell r="P184" t="str">
            <v>Katana</v>
          </cell>
          <cell r="Q184" t="str">
            <v>Blind</v>
          </cell>
          <cell r="R184" t="str">
            <v>Haste</v>
          </cell>
          <cell r="S184" t="str">
            <v>Ice Sword</v>
          </cell>
          <cell r="T184" t="str">
            <v>Surprise</v>
          </cell>
          <cell r="U184" t="str">
            <v>Warning</v>
          </cell>
          <cell r="X184" t="str">
            <v>Human</v>
          </cell>
        </row>
        <row r="185">
          <cell r="A185" t="str">
            <v>Musashi</v>
          </cell>
          <cell r="B185" t="str">
            <v>Musashi</v>
          </cell>
          <cell r="C185" t="str">
            <v>5</v>
          </cell>
          <cell r="D185" t="str">
            <v>A</v>
          </cell>
          <cell r="E185">
            <v>10</v>
          </cell>
          <cell r="F185" t="str">
            <v>5A</v>
          </cell>
          <cell r="G185" t="str">
            <v>83</v>
          </cell>
          <cell r="H185" t="str">
            <v>0</v>
          </cell>
          <cell r="I185" t="str">
            <v>6</v>
          </cell>
          <cell r="J185">
            <v>2000</v>
          </cell>
          <cell r="K185">
            <v>76</v>
          </cell>
          <cell r="L185">
            <v>76</v>
          </cell>
          <cell r="M185">
            <v>63</v>
          </cell>
          <cell r="N185">
            <v>78</v>
          </cell>
          <cell r="O185" t="str">
            <v>7d60</v>
          </cell>
          <cell r="P185" t="str">
            <v>Stab</v>
          </cell>
          <cell r="Q185" t="str">
            <v>Defense</v>
          </cell>
          <cell r="R185" t="str">
            <v>Counter</v>
          </cell>
          <cell r="S185" t="str">
            <v>2-Swords</v>
          </cell>
          <cell r="T185" t="str">
            <v>Critical</v>
          </cell>
          <cell r="U185" t="str">
            <v>Warning</v>
          </cell>
          <cell r="V185" t="str">
            <v>Elixier</v>
          </cell>
          <cell r="X185" t="str">
            <v>Human</v>
          </cell>
        </row>
        <row r="186">
          <cell r="A186" t="str">
            <v>Hatamoto</v>
          </cell>
          <cell r="B186" t="str">
            <v>Hatamoto</v>
          </cell>
          <cell r="C186" t="str">
            <v>3</v>
          </cell>
          <cell r="D186" t="str">
            <v>B</v>
          </cell>
          <cell r="E186">
            <v>11</v>
          </cell>
          <cell r="F186" t="str">
            <v>3B</v>
          </cell>
          <cell r="G186" t="str">
            <v>83</v>
          </cell>
          <cell r="H186" t="str">
            <v>0</v>
          </cell>
          <cell r="I186" t="str">
            <v>5</v>
          </cell>
          <cell r="J186">
            <v>400</v>
          </cell>
          <cell r="K186">
            <v>43</v>
          </cell>
          <cell r="L186">
            <v>43</v>
          </cell>
          <cell r="M186">
            <v>33</v>
          </cell>
          <cell r="N186">
            <v>44</v>
          </cell>
          <cell r="O186" t="str">
            <v>7d67</v>
          </cell>
          <cell r="P186" t="str">
            <v>Katana</v>
          </cell>
          <cell r="Q186" t="str">
            <v>Bazooka</v>
          </cell>
          <cell r="R186" t="str">
            <v>X-Cure Potion</v>
          </cell>
          <cell r="S186" t="str">
            <v>Magnum</v>
          </cell>
          <cell r="X186" t="str">
            <v>Human</v>
          </cell>
        </row>
        <row r="187">
          <cell r="A187" t="str">
            <v>Gang</v>
          </cell>
          <cell r="B187" t="str">
            <v>Gang</v>
          </cell>
          <cell r="C187" t="str">
            <v>0</v>
          </cell>
          <cell r="D187" t="str">
            <v>1</v>
          </cell>
          <cell r="E187">
            <v>1</v>
          </cell>
          <cell r="F187" t="str">
            <v>01</v>
          </cell>
          <cell r="G187" t="str">
            <v>1a</v>
          </cell>
          <cell r="H187" t="str">
            <v>0</v>
          </cell>
          <cell r="I187" t="str">
            <v>0</v>
          </cell>
          <cell r="J187">
            <v>45</v>
          </cell>
          <cell r="K187">
            <v>5</v>
          </cell>
          <cell r="L187">
            <v>7</v>
          </cell>
          <cell r="M187">
            <v>3</v>
          </cell>
          <cell r="N187">
            <v>4</v>
          </cell>
          <cell r="O187" t="str">
            <v>7d6b</v>
          </cell>
          <cell r="P187" t="str">
            <v>Strike</v>
          </cell>
          <cell r="X187" t="str">
            <v>Human</v>
          </cell>
        </row>
        <row r="188">
          <cell r="A188" t="str">
            <v>Wh. Belt</v>
          </cell>
          <cell r="B188" t="str">
            <v>Wh. Belt</v>
          </cell>
          <cell r="C188" t="str">
            <v>2</v>
          </cell>
          <cell r="D188" t="str">
            <v>5</v>
          </cell>
          <cell r="E188">
            <v>5</v>
          </cell>
          <cell r="F188" t="str">
            <v>25</v>
          </cell>
          <cell r="G188" t="str">
            <v>1a</v>
          </cell>
          <cell r="H188" t="str">
            <v>0</v>
          </cell>
          <cell r="I188" t="str">
            <v>2</v>
          </cell>
          <cell r="J188">
            <v>248</v>
          </cell>
          <cell r="K188">
            <v>25</v>
          </cell>
          <cell r="L188">
            <v>29</v>
          </cell>
          <cell r="M188">
            <v>22</v>
          </cell>
          <cell r="N188">
            <v>23</v>
          </cell>
          <cell r="O188" t="str">
            <v>7d6c</v>
          </cell>
          <cell r="P188" t="str">
            <v>Strike</v>
          </cell>
          <cell r="Q188" t="str">
            <v>JumpKick</v>
          </cell>
          <cell r="R188" t="str">
            <v>HeadButt</v>
          </cell>
          <cell r="X188" t="str">
            <v>Human</v>
          </cell>
        </row>
        <row r="189">
          <cell r="A189" t="str">
            <v>Killer</v>
          </cell>
          <cell r="B189" t="str">
            <v>Killer</v>
          </cell>
          <cell r="C189" t="str">
            <v>4</v>
          </cell>
          <cell r="D189" t="str">
            <v>8</v>
          </cell>
          <cell r="E189">
            <v>8</v>
          </cell>
          <cell r="F189" t="str">
            <v>48</v>
          </cell>
          <cell r="G189" t="str">
            <v>1a</v>
          </cell>
          <cell r="H189" t="str">
            <v>0</v>
          </cell>
          <cell r="I189" t="str">
            <v>5</v>
          </cell>
          <cell r="J189">
            <v>507</v>
          </cell>
          <cell r="K189">
            <v>51</v>
          </cell>
          <cell r="L189">
            <v>57</v>
          </cell>
          <cell r="M189">
            <v>47</v>
          </cell>
          <cell r="N189">
            <v>49</v>
          </cell>
          <cell r="O189" t="str">
            <v>7d6f</v>
          </cell>
          <cell r="P189" t="str">
            <v>Axe</v>
          </cell>
          <cell r="Q189" t="str">
            <v>ChainSaw</v>
          </cell>
          <cell r="R189" t="str">
            <v>StunGun</v>
          </cell>
          <cell r="S189" t="str">
            <v>Venom</v>
          </cell>
          <cell r="T189" t="str">
            <v>Blitz Whip</v>
          </cell>
          <cell r="U189" t="str">
            <v>Surprise</v>
          </cell>
          <cell r="X189" t="str">
            <v>Human</v>
          </cell>
        </row>
        <row r="190">
          <cell r="A190" t="str">
            <v>Bl. Belt</v>
          </cell>
          <cell r="B190" t="str">
            <v>Bl. Belt</v>
          </cell>
          <cell r="C190" t="str">
            <v>6</v>
          </cell>
          <cell r="D190" t="str">
            <v>A</v>
          </cell>
          <cell r="E190">
            <v>10</v>
          </cell>
          <cell r="F190" t="str">
            <v>6A</v>
          </cell>
          <cell r="G190" t="str">
            <v>1a</v>
          </cell>
          <cell r="H190" t="str">
            <v>0</v>
          </cell>
          <cell r="I190" t="str">
            <v>6</v>
          </cell>
          <cell r="J190">
            <v>731</v>
          </cell>
          <cell r="K190">
            <v>73</v>
          </cell>
          <cell r="L190">
            <v>81</v>
          </cell>
          <cell r="M190">
            <v>68</v>
          </cell>
          <cell r="N190">
            <v>71</v>
          </cell>
          <cell r="O190" t="str">
            <v>7d75</v>
          </cell>
          <cell r="P190" t="str">
            <v>Strike</v>
          </cell>
          <cell r="Q190" t="str">
            <v>JumpKick</v>
          </cell>
          <cell r="R190" t="str">
            <v>HeadButt</v>
          </cell>
          <cell r="S190" t="str">
            <v>FlyingKick</v>
          </cell>
          <cell r="T190" t="str">
            <v>Jyudo</v>
          </cell>
          <cell r="U190" t="str">
            <v>Karate</v>
          </cell>
          <cell r="V190" t="str">
            <v>Samurai Shield</v>
          </cell>
          <cell r="X190" t="str">
            <v>Human</v>
          </cell>
        </row>
        <row r="191">
          <cell r="A191" t="str">
            <v>TianLung</v>
          </cell>
          <cell r="B191" t="str">
            <v>TianLung</v>
          </cell>
          <cell r="C191" t="str">
            <v>3</v>
          </cell>
          <cell r="D191" t="str">
            <v>B</v>
          </cell>
          <cell r="E191">
            <v>11</v>
          </cell>
          <cell r="F191" t="str">
            <v>3B</v>
          </cell>
          <cell r="G191" t="str">
            <v>29</v>
          </cell>
          <cell r="H191" t="str">
            <v>2</v>
          </cell>
          <cell r="I191" t="str">
            <v>4</v>
          </cell>
          <cell r="J191">
            <v>2000</v>
          </cell>
          <cell r="K191">
            <v>86</v>
          </cell>
          <cell r="L191">
            <v>94</v>
          </cell>
          <cell r="M191">
            <v>80</v>
          </cell>
          <cell r="N191">
            <v>83</v>
          </cell>
          <cell r="O191" t="str">
            <v>7d7c</v>
          </cell>
          <cell r="P191" t="str">
            <v>Tornado</v>
          </cell>
          <cell r="Q191" t="str">
            <v>Tusk</v>
          </cell>
          <cell r="R191" t="str">
            <v>Lightning</v>
          </cell>
          <cell r="S191" t="str">
            <v>Gas</v>
          </cell>
          <cell r="T191" t="str">
            <v>O-All</v>
          </cell>
          <cell r="X191" t="str">
            <v>Great Reptile</v>
          </cell>
        </row>
        <row r="192">
          <cell r="A192" t="str">
            <v>Trooper</v>
          </cell>
          <cell r="B192" t="str">
            <v>Trooper</v>
          </cell>
          <cell r="C192" t="str">
            <v>1</v>
          </cell>
          <cell r="D192" t="str">
            <v>2</v>
          </cell>
          <cell r="E192">
            <v>2</v>
          </cell>
          <cell r="F192" t="str">
            <v>12</v>
          </cell>
          <cell r="G192" t="str">
            <v>1b</v>
          </cell>
          <cell r="H192" t="str">
            <v>0</v>
          </cell>
          <cell r="I192" t="str">
            <v>1</v>
          </cell>
          <cell r="J192">
            <v>90</v>
          </cell>
          <cell r="K192">
            <v>8</v>
          </cell>
          <cell r="L192">
            <v>6</v>
          </cell>
          <cell r="M192">
            <v>6</v>
          </cell>
          <cell r="N192">
            <v>11</v>
          </cell>
          <cell r="O192" t="str">
            <v>7d81</v>
          </cell>
          <cell r="P192" t="str">
            <v>Long Sword</v>
          </cell>
          <cell r="Q192" t="str">
            <v>Bronze Shield</v>
          </cell>
          <cell r="X192" t="str">
            <v>Human</v>
          </cell>
        </row>
        <row r="193">
          <cell r="A193" t="str">
            <v>Guard</v>
          </cell>
          <cell r="B193" t="str">
            <v>Guard</v>
          </cell>
          <cell r="C193" t="str">
            <v>2</v>
          </cell>
          <cell r="D193" t="str">
            <v>5</v>
          </cell>
          <cell r="E193">
            <v>5</v>
          </cell>
          <cell r="F193" t="str">
            <v>25</v>
          </cell>
          <cell r="G193" t="str">
            <v>1b</v>
          </cell>
          <cell r="H193" t="str">
            <v>0</v>
          </cell>
          <cell r="I193" t="str">
            <v>2</v>
          </cell>
          <cell r="J193">
            <v>263</v>
          </cell>
          <cell r="K193">
            <v>25</v>
          </cell>
          <cell r="L193">
            <v>22</v>
          </cell>
          <cell r="M193">
            <v>22</v>
          </cell>
          <cell r="N193">
            <v>29</v>
          </cell>
          <cell r="O193" t="str">
            <v>7d83</v>
          </cell>
          <cell r="P193" t="str">
            <v>Gold Sword</v>
          </cell>
          <cell r="Q193" t="str">
            <v>Gold Shield</v>
          </cell>
          <cell r="R193" t="str">
            <v>Cure Potion</v>
          </cell>
          <cell r="X193" t="str">
            <v>Human</v>
          </cell>
        </row>
        <row r="194">
          <cell r="A194" t="str">
            <v>Knight</v>
          </cell>
          <cell r="B194" t="str">
            <v>Knight</v>
          </cell>
          <cell r="C194" t="str">
            <v>5</v>
          </cell>
          <cell r="D194" t="str">
            <v>7</v>
          </cell>
          <cell r="E194">
            <v>7</v>
          </cell>
          <cell r="F194" t="str">
            <v>57</v>
          </cell>
          <cell r="G194" t="str">
            <v>1b</v>
          </cell>
          <cell r="H194" t="str">
            <v>0</v>
          </cell>
          <cell r="I194" t="str">
            <v>5</v>
          </cell>
          <cell r="J194">
            <v>390</v>
          </cell>
          <cell r="K194">
            <v>41</v>
          </cell>
          <cell r="L194">
            <v>37</v>
          </cell>
          <cell r="M194">
            <v>37</v>
          </cell>
          <cell r="N194">
            <v>47</v>
          </cell>
          <cell r="O194" t="str">
            <v>7d86</v>
          </cell>
          <cell r="P194" t="str">
            <v>Flame Sword</v>
          </cell>
          <cell r="Q194" t="str">
            <v>Ice Sword</v>
          </cell>
          <cell r="R194" t="str">
            <v>Thunder Sword</v>
          </cell>
          <cell r="S194" t="str">
            <v>Flame Shield</v>
          </cell>
          <cell r="T194" t="str">
            <v>Ice Shield</v>
          </cell>
          <cell r="U194" t="str">
            <v>X-Cure Potion</v>
          </cell>
          <cell r="X194" t="str">
            <v>Human</v>
          </cell>
        </row>
        <row r="195">
          <cell r="A195" t="str">
            <v>Paladin</v>
          </cell>
          <cell r="B195" t="str">
            <v>Paladin</v>
          </cell>
          <cell r="C195" t="str">
            <v>6</v>
          </cell>
          <cell r="D195" t="str">
            <v>A</v>
          </cell>
          <cell r="E195">
            <v>10</v>
          </cell>
          <cell r="F195" t="str">
            <v>6A</v>
          </cell>
          <cell r="G195" t="str">
            <v>1b</v>
          </cell>
          <cell r="H195" t="str">
            <v>0</v>
          </cell>
          <cell r="I195" t="str">
            <v>6</v>
          </cell>
          <cell r="J195">
            <v>756</v>
          </cell>
          <cell r="K195">
            <v>73</v>
          </cell>
          <cell r="L195">
            <v>68</v>
          </cell>
          <cell r="M195">
            <v>68</v>
          </cell>
          <cell r="N195">
            <v>81</v>
          </cell>
          <cell r="O195" t="str">
            <v>7d8c</v>
          </cell>
          <cell r="P195" t="str">
            <v>Sun Sword</v>
          </cell>
          <cell r="Q195" t="str">
            <v>Dragon Sword</v>
          </cell>
          <cell r="R195" t="str">
            <v>Defend Sword</v>
          </cell>
          <cell r="S195" t="str">
            <v>Dragon Shield</v>
          </cell>
          <cell r="T195" t="str">
            <v>Dragon Helm</v>
          </cell>
          <cell r="U195" t="str">
            <v>Ninja Glove</v>
          </cell>
          <cell r="V195" t="str">
            <v>Dragon Armor</v>
          </cell>
          <cell r="X195" t="str">
            <v>Human</v>
          </cell>
        </row>
        <row r="196">
          <cell r="A196" t="str">
            <v>Fenrir</v>
          </cell>
          <cell r="B196" t="str">
            <v>Fenrir</v>
          </cell>
          <cell r="C196" t="str">
            <v>2</v>
          </cell>
          <cell r="D196" t="str">
            <v>B</v>
          </cell>
          <cell r="E196">
            <v>11</v>
          </cell>
          <cell r="F196" t="str">
            <v>2B</v>
          </cell>
          <cell r="G196" t="str">
            <v>2c</v>
          </cell>
          <cell r="H196" t="str">
            <v>2</v>
          </cell>
          <cell r="I196" t="str">
            <v>4</v>
          </cell>
          <cell r="J196">
            <v>2500</v>
          </cell>
          <cell r="K196">
            <v>86</v>
          </cell>
          <cell r="L196">
            <v>80</v>
          </cell>
          <cell r="M196">
            <v>80</v>
          </cell>
          <cell r="N196">
            <v>94</v>
          </cell>
          <cell r="O196" t="str">
            <v>7d93</v>
          </cell>
          <cell r="P196" t="str">
            <v>Tornado</v>
          </cell>
          <cell r="Q196" t="str">
            <v>Tusk</v>
          </cell>
          <cell r="R196" t="str">
            <v>Blizzard</v>
          </cell>
          <cell r="S196" t="str">
            <v>Recover</v>
          </cell>
          <cell r="T196" t="str">
            <v>O-All</v>
          </cell>
          <cell r="X196" t="str">
            <v>Beast</v>
          </cell>
        </row>
        <row r="197">
          <cell r="A197" t="str">
            <v>Terorist</v>
          </cell>
          <cell r="B197" t="str">
            <v>Terorist</v>
          </cell>
          <cell r="C197" t="str">
            <v>1</v>
          </cell>
          <cell r="D197" t="str">
            <v>3</v>
          </cell>
          <cell r="E197">
            <v>3</v>
          </cell>
          <cell r="F197" t="str">
            <v>13</v>
          </cell>
          <cell r="G197" t="str">
            <v>84</v>
          </cell>
          <cell r="H197" t="str">
            <v>0</v>
          </cell>
          <cell r="I197" t="str">
            <v>1</v>
          </cell>
          <cell r="J197">
            <v>148</v>
          </cell>
          <cell r="K197">
            <v>14</v>
          </cell>
          <cell r="L197">
            <v>14</v>
          </cell>
          <cell r="M197">
            <v>8</v>
          </cell>
          <cell r="N197">
            <v>13</v>
          </cell>
          <cell r="O197" t="str">
            <v>7d98</v>
          </cell>
          <cell r="P197" t="str">
            <v>Colt Gun</v>
          </cell>
          <cell r="Q197" t="str">
            <v>Kick</v>
          </cell>
          <cell r="X197" t="str">
            <v>Human</v>
          </cell>
        </row>
        <row r="198">
          <cell r="A198" t="str">
            <v>Mercenar</v>
          </cell>
          <cell r="B198" t="str">
            <v>Mercenar</v>
          </cell>
          <cell r="C198" t="str">
            <v>3</v>
          </cell>
          <cell r="D198" t="str">
            <v>6</v>
          </cell>
          <cell r="E198">
            <v>6</v>
          </cell>
          <cell r="F198" t="str">
            <v>36</v>
          </cell>
          <cell r="G198" t="str">
            <v>84</v>
          </cell>
          <cell r="H198" t="str">
            <v>0</v>
          </cell>
          <cell r="I198" t="str">
            <v>3</v>
          </cell>
          <cell r="J198">
            <v>358</v>
          </cell>
          <cell r="K198">
            <v>34</v>
          </cell>
          <cell r="L198">
            <v>34</v>
          </cell>
          <cell r="M198">
            <v>26</v>
          </cell>
          <cell r="N198">
            <v>32</v>
          </cell>
          <cell r="O198" t="str">
            <v>7d9a</v>
          </cell>
          <cell r="P198" t="str">
            <v>Musket</v>
          </cell>
          <cell r="Q198" t="str">
            <v>Grenade</v>
          </cell>
          <cell r="R198" t="str">
            <v>SMG</v>
          </cell>
          <cell r="S198" t="str">
            <v>Cure Potion</v>
          </cell>
          <cell r="X198" t="str">
            <v>Human</v>
          </cell>
        </row>
        <row r="199">
          <cell r="A199" t="str">
            <v>Commando</v>
          </cell>
          <cell r="B199" t="str">
            <v>Commando</v>
          </cell>
          <cell r="C199" t="str">
            <v>4</v>
          </cell>
          <cell r="D199" t="str">
            <v>7</v>
          </cell>
          <cell r="E199">
            <v>7</v>
          </cell>
          <cell r="F199" t="str">
            <v>47</v>
          </cell>
          <cell r="G199" t="str">
            <v>84</v>
          </cell>
          <cell r="H199" t="str">
            <v>0</v>
          </cell>
          <cell r="I199" t="str">
            <v>5</v>
          </cell>
          <cell r="J199">
            <v>410</v>
          </cell>
          <cell r="K199">
            <v>43</v>
          </cell>
          <cell r="L199">
            <v>43</v>
          </cell>
          <cell r="M199">
            <v>33</v>
          </cell>
          <cell r="N199">
            <v>41</v>
          </cell>
          <cell r="O199" t="str">
            <v>7d9e</v>
          </cell>
          <cell r="P199" t="str">
            <v>HeadButt</v>
          </cell>
          <cell r="Q199" t="str">
            <v>Fire Gun</v>
          </cell>
          <cell r="R199" t="str">
            <v>Bazooka</v>
          </cell>
          <cell r="S199" t="str">
            <v>Magnum</v>
          </cell>
          <cell r="T199" t="str">
            <v>Army Armor</v>
          </cell>
          <cell r="U199" t="str">
            <v>Surprise</v>
          </cell>
          <cell r="X199" t="str">
            <v>Human</v>
          </cell>
        </row>
        <row r="200">
          <cell r="A200" t="str">
            <v>SS</v>
          </cell>
          <cell r="B200" t="str">
            <v>SS</v>
          </cell>
          <cell r="C200" t="str">
            <v>6</v>
          </cell>
          <cell r="D200" t="str">
            <v>A</v>
          </cell>
          <cell r="E200">
            <v>10</v>
          </cell>
          <cell r="F200" t="str">
            <v>6A</v>
          </cell>
          <cell r="G200" t="str">
            <v>84</v>
          </cell>
          <cell r="H200" t="str">
            <v>0</v>
          </cell>
          <cell r="I200" t="str">
            <v>6</v>
          </cell>
          <cell r="J200">
            <v>781</v>
          </cell>
          <cell r="K200">
            <v>76</v>
          </cell>
          <cell r="L200">
            <v>76</v>
          </cell>
          <cell r="M200">
            <v>63</v>
          </cell>
          <cell r="N200">
            <v>73</v>
          </cell>
          <cell r="O200" t="str">
            <v>7da4</v>
          </cell>
          <cell r="P200" t="str">
            <v>Laser Sword</v>
          </cell>
          <cell r="Q200" t="str">
            <v>Vulcan Cannon</v>
          </cell>
          <cell r="R200" t="str">
            <v>Fire Gun</v>
          </cell>
          <cell r="S200" t="str">
            <v>Missile Cannon</v>
          </cell>
          <cell r="T200" t="str">
            <v>Tank Cannon</v>
          </cell>
          <cell r="U200" t="str">
            <v>X-Cure Potion</v>
          </cell>
          <cell r="V200" t="str">
            <v>Army Armor</v>
          </cell>
          <cell r="X200" t="str">
            <v>Human</v>
          </cell>
        </row>
        <row r="201">
          <cell r="A201" t="str">
            <v>EchigoYa</v>
          </cell>
          <cell r="B201" t="str">
            <v>EchigoYa</v>
          </cell>
          <cell r="C201" t="str">
            <v>2</v>
          </cell>
          <cell r="D201" t="str">
            <v>B</v>
          </cell>
          <cell r="E201">
            <v>11</v>
          </cell>
          <cell r="F201" t="str">
            <v>2B</v>
          </cell>
          <cell r="G201" t="str">
            <v>84</v>
          </cell>
          <cell r="H201" t="str">
            <v>0</v>
          </cell>
          <cell r="I201" t="str">
            <v>2</v>
          </cell>
          <cell r="J201">
            <v>443</v>
          </cell>
          <cell r="K201">
            <v>43</v>
          </cell>
          <cell r="L201">
            <v>43</v>
          </cell>
          <cell r="M201">
            <v>36</v>
          </cell>
          <cell r="N201">
            <v>41</v>
          </cell>
          <cell r="O201" t="str">
            <v>7dab</v>
          </cell>
          <cell r="P201" t="str">
            <v>Abacus</v>
          </cell>
          <cell r="Q201" t="str">
            <v>Vulcan Cannon</v>
          </cell>
          <cell r="R201" t="str">
            <v>Psi Sword</v>
          </cell>
          <cell r="X201" t="str">
            <v>Human</v>
          </cell>
        </row>
        <row r="202">
          <cell r="A202" t="str">
            <v>Conjurer</v>
          </cell>
          <cell r="B202" t="str">
            <v>Conjurer</v>
          </cell>
          <cell r="C202" t="str">
            <v>1</v>
          </cell>
          <cell r="D202" t="str">
            <v>3</v>
          </cell>
          <cell r="E202">
            <v>3</v>
          </cell>
          <cell r="F202" t="str">
            <v>13</v>
          </cell>
          <cell r="G202" t="str">
            <v>85</v>
          </cell>
          <cell r="H202" t="str">
            <v>0</v>
          </cell>
          <cell r="I202" t="str">
            <v>1</v>
          </cell>
          <cell r="J202">
            <v>123</v>
          </cell>
          <cell r="K202">
            <v>8</v>
          </cell>
          <cell r="L202">
            <v>16</v>
          </cell>
          <cell r="M202">
            <v>17</v>
          </cell>
          <cell r="N202">
            <v>9</v>
          </cell>
          <cell r="O202" t="str">
            <v>7dae</v>
          </cell>
          <cell r="P202" t="str">
            <v>Sleep Book</v>
          </cell>
          <cell r="Q202" t="str">
            <v>Cure Book</v>
          </cell>
          <cell r="X202" t="str">
            <v>Human</v>
          </cell>
        </row>
        <row r="203">
          <cell r="A203" t="str">
            <v>Magician</v>
          </cell>
          <cell r="B203" t="str">
            <v>Magician</v>
          </cell>
          <cell r="C203" t="str">
            <v>3</v>
          </cell>
          <cell r="D203" t="str">
            <v>6</v>
          </cell>
          <cell r="E203">
            <v>6</v>
          </cell>
          <cell r="F203" t="str">
            <v>36</v>
          </cell>
          <cell r="G203" t="str">
            <v>85</v>
          </cell>
          <cell r="H203" t="str">
            <v>0</v>
          </cell>
          <cell r="I203" t="str">
            <v>3</v>
          </cell>
          <cell r="J203">
            <v>324</v>
          </cell>
          <cell r="K203">
            <v>26</v>
          </cell>
          <cell r="L203">
            <v>38</v>
          </cell>
          <cell r="M203">
            <v>39</v>
          </cell>
          <cell r="N203">
            <v>27</v>
          </cell>
          <cell r="O203" t="str">
            <v>7db0</v>
          </cell>
          <cell r="P203" t="str">
            <v>Fire Book</v>
          </cell>
          <cell r="Q203" t="str">
            <v>Ice Book</v>
          </cell>
          <cell r="R203" t="str">
            <v>Sleep Book</v>
          </cell>
          <cell r="S203" t="str">
            <v>Cure Book</v>
          </cell>
          <cell r="X203" t="str">
            <v>Human</v>
          </cell>
        </row>
        <row r="204">
          <cell r="A204" t="str">
            <v>Sorcerer</v>
          </cell>
          <cell r="B204" t="str">
            <v>Sorcerer</v>
          </cell>
          <cell r="C204" t="str">
            <v>5</v>
          </cell>
          <cell r="D204" t="str">
            <v>9</v>
          </cell>
          <cell r="E204">
            <v>9</v>
          </cell>
          <cell r="F204" t="str">
            <v>59</v>
          </cell>
          <cell r="G204" t="str">
            <v>85</v>
          </cell>
          <cell r="H204" t="str">
            <v>0</v>
          </cell>
          <cell r="I204" t="str">
            <v>5</v>
          </cell>
          <cell r="J204">
            <v>614</v>
          </cell>
          <cell r="K204">
            <v>52</v>
          </cell>
          <cell r="L204">
            <v>68</v>
          </cell>
          <cell r="M204">
            <v>64</v>
          </cell>
          <cell r="N204">
            <v>55</v>
          </cell>
          <cell r="O204" t="str">
            <v>7db4</v>
          </cell>
          <cell r="P204" t="str">
            <v>Thunder Book</v>
          </cell>
          <cell r="Q204" t="str">
            <v>Stone Book</v>
          </cell>
          <cell r="R204" t="str">
            <v>Mage Staff</v>
          </cell>
          <cell r="S204" t="str">
            <v>Death Book</v>
          </cell>
          <cell r="T204" t="str">
            <v>Ice Book</v>
          </cell>
          <cell r="U204" t="str">
            <v>Cure Book</v>
          </cell>
          <cell r="X204" t="str">
            <v>Human</v>
          </cell>
        </row>
        <row r="205">
          <cell r="A205" t="str">
            <v>Wizard</v>
          </cell>
          <cell r="B205" t="str">
            <v>Wizard</v>
          </cell>
          <cell r="C205" t="str">
            <v>6</v>
          </cell>
          <cell r="D205" t="str">
            <v>A</v>
          </cell>
          <cell r="E205">
            <v>10</v>
          </cell>
          <cell r="F205" t="str">
            <v>6A</v>
          </cell>
          <cell r="G205" t="str">
            <v>85</v>
          </cell>
          <cell r="H205" t="str">
            <v>0</v>
          </cell>
          <cell r="I205" t="str">
            <v>6</v>
          </cell>
          <cell r="J205">
            <v>731</v>
          </cell>
          <cell r="K205">
            <v>63</v>
          </cell>
          <cell r="L205">
            <v>81</v>
          </cell>
          <cell r="M205">
            <v>75</v>
          </cell>
          <cell r="N205">
            <v>66</v>
          </cell>
          <cell r="O205" t="str">
            <v>7dba</v>
          </cell>
          <cell r="P205" t="str">
            <v>Thunder Book</v>
          </cell>
          <cell r="Q205" t="str">
            <v>Fog Book</v>
          </cell>
          <cell r="R205" t="str">
            <v>Stone Book</v>
          </cell>
          <cell r="S205" t="str">
            <v>Mage Staff</v>
          </cell>
          <cell r="T205" t="str">
            <v>Wizard Staff</v>
          </cell>
          <cell r="U205" t="str">
            <v>Flare Book</v>
          </cell>
          <cell r="V205" t="str">
            <v>Heal Staff</v>
          </cell>
          <cell r="X205" t="str">
            <v>Human</v>
          </cell>
        </row>
        <row r="206">
          <cell r="A206" t="str">
            <v>ROBO-28</v>
          </cell>
          <cell r="B206" t="str">
            <v>ROBO-28</v>
          </cell>
          <cell r="C206" t="str">
            <v>0</v>
          </cell>
          <cell r="D206" t="str">
            <v>3</v>
          </cell>
          <cell r="E206">
            <v>3</v>
          </cell>
          <cell r="F206" t="str">
            <v>03</v>
          </cell>
          <cell r="G206" t="str">
            <v>86</v>
          </cell>
          <cell r="H206" t="str">
            <v>3</v>
          </cell>
          <cell r="I206" t="str">
            <v>1</v>
          </cell>
          <cell r="J206">
            <v>137</v>
          </cell>
          <cell r="K206">
            <v>15</v>
          </cell>
          <cell r="L206">
            <v>15</v>
          </cell>
          <cell r="M206">
            <v>0</v>
          </cell>
          <cell r="N206">
            <v>14</v>
          </cell>
          <cell r="O206" t="str">
            <v>7dc1</v>
          </cell>
          <cell r="P206" t="str">
            <v>Rocket</v>
          </cell>
          <cell r="Q206" t="str">
            <v>O-Pa/Po</v>
          </cell>
          <cell r="X206" t="str">
            <v>Robot</v>
          </cell>
        </row>
        <row r="207">
          <cell r="A207" t="str">
            <v>ROBO-Z</v>
          </cell>
          <cell r="B207" t="str">
            <v>ROBO-Z</v>
          </cell>
          <cell r="C207" t="str">
            <v>2</v>
          </cell>
          <cell r="D207" t="str">
            <v>5</v>
          </cell>
          <cell r="E207">
            <v>5</v>
          </cell>
          <cell r="F207" t="str">
            <v>25</v>
          </cell>
          <cell r="G207" t="str">
            <v>86</v>
          </cell>
          <cell r="H207" t="str">
            <v>3</v>
          </cell>
          <cell r="I207" t="str">
            <v>3</v>
          </cell>
          <cell r="J207">
            <v>263</v>
          </cell>
          <cell r="K207">
            <v>28</v>
          </cell>
          <cell r="L207">
            <v>28</v>
          </cell>
          <cell r="M207">
            <v>0</v>
          </cell>
          <cell r="N207">
            <v>26</v>
          </cell>
          <cell r="O207" t="str">
            <v>7dc3</v>
          </cell>
          <cell r="P207" t="str">
            <v>Rocket</v>
          </cell>
          <cell r="Q207" t="str">
            <v>Flame</v>
          </cell>
          <cell r="R207" t="str">
            <v>Beam</v>
          </cell>
          <cell r="S207" t="str">
            <v>O-Pa/Po</v>
          </cell>
          <cell r="X207" t="str">
            <v>Robot</v>
          </cell>
        </row>
        <row r="208">
          <cell r="A208" t="str">
            <v>Ridean</v>
          </cell>
          <cell r="B208" t="str">
            <v>Ridean</v>
          </cell>
          <cell r="C208" t="str">
            <v>4</v>
          </cell>
          <cell r="D208" t="str">
            <v>9</v>
          </cell>
          <cell r="E208">
            <v>9</v>
          </cell>
          <cell r="F208" t="str">
            <v>49</v>
          </cell>
          <cell r="G208" t="str">
            <v>86</v>
          </cell>
          <cell r="H208" t="str">
            <v>3</v>
          </cell>
          <cell r="I208" t="str">
            <v>5</v>
          </cell>
          <cell r="J208">
            <v>637</v>
          </cell>
          <cell r="K208">
            <v>66</v>
          </cell>
          <cell r="L208">
            <v>66</v>
          </cell>
          <cell r="M208">
            <v>0</v>
          </cell>
          <cell r="N208">
            <v>64</v>
          </cell>
          <cell r="O208" t="str">
            <v>7dc7</v>
          </cell>
          <cell r="P208" t="str">
            <v>Rocket</v>
          </cell>
          <cell r="Q208" t="str">
            <v>Laser Gun</v>
          </cell>
          <cell r="R208" t="str">
            <v>Vulcan</v>
          </cell>
          <cell r="S208" t="str">
            <v>Laser Sword</v>
          </cell>
          <cell r="T208" t="str">
            <v>Blitz</v>
          </cell>
          <cell r="U208" t="str">
            <v>O-Pa/Po</v>
          </cell>
          <cell r="X208" t="str">
            <v>Robot</v>
          </cell>
        </row>
        <row r="209">
          <cell r="A209" t="str">
            <v>G-7</v>
          </cell>
          <cell r="B209" t="str">
            <v>G-7</v>
          </cell>
          <cell r="C209" t="str">
            <v>4</v>
          </cell>
          <cell r="D209" t="str">
            <v>A</v>
          </cell>
          <cell r="E209">
            <v>10</v>
          </cell>
          <cell r="F209" t="str">
            <v>4A</v>
          </cell>
          <cell r="G209" t="str">
            <v>86</v>
          </cell>
          <cell r="H209" t="str">
            <v>3</v>
          </cell>
          <cell r="I209" t="str">
            <v>6</v>
          </cell>
          <cell r="J209">
            <v>756</v>
          </cell>
          <cell r="K209">
            <v>78</v>
          </cell>
          <cell r="L209">
            <v>78</v>
          </cell>
          <cell r="M209">
            <v>0</v>
          </cell>
          <cell r="N209">
            <v>76</v>
          </cell>
          <cell r="O209" t="str">
            <v>7dcd</v>
          </cell>
          <cell r="P209" t="str">
            <v>Rocket</v>
          </cell>
          <cell r="Q209" t="str">
            <v>Laser Gun</v>
          </cell>
          <cell r="R209" t="str">
            <v>Vulcan</v>
          </cell>
          <cell r="S209" t="str">
            <v>Laser Sword</v>
          </cell>
          <cell r="T209" t="str">
            <v>Missile</v>
          </cell>
          <cell r="U209" t="str">
            <v>Selfix</v>
          </cell>
          <cell r="V209" t="str">
            <v>O-Pa/Po</v>
          </cell>
          <cell r="X209" t="str">
            <v>Robot</v>
          </cell>
        </row>
        <row r="210">
          <cell r="A210" t="str">
            <v>Dunatis</v>
          </cell>
          <cell r="B210" t="str">
            <v>Dunatis</v>
          </cell>
          <cell r="C210" t="str">
            <v>0</v>
          </cell>
          <cell r="D210" t="str">
            <v>B</v>
          </cell>
          <cell r="E210">
            <v>11</v>
          </cell>
          <cell r="F210" t="str">
            <v>0B</v>
          </cell>
          <cell r="G210" t="str">
            <v>86</v>
          </cell>
          <cell r="H210" t="str">
            <v>3</v>
          </cell>
          <cell r="I210" t="str">
            <v>3</v>
          </cell>
          <cell r="J210">
            <v>300</v>
          </cell>
          <cell r="K210">
            <v>30</v>
          </cell>
          <cell r="L210">
            <v>30</v>
          </cell>
          <cell r="M210">
            <v>0</v>
          </cell>
          <cell r="N210">
            <v>29</v>
          </cell>
          <cell r="O210" t="str">
            <v>7dd4</v>
          </cell>
          <cell r="P210" t="str">
            <v>Rocket</v>
          </cell>
          <cell r="Q210" t="str">
            <v>ChainSaw</v>
          </cell>
          <cell r="R210" t="str">
            <v>Blitz Whip</v>
          </cell>
          <cell r="S210" t="str">
            <v>O-Pa/Po</v>
          </cell>
          <cell r="X210" t="str">
            <v>Robot</v>
          </cell>
        </row>
        <row r="211">
          <cell r="A211" t="str">
            <v>MechBug</v>
          </cell>
          <cell r="B211" t="str">
            <v>MechBug</v>
          </cell>
          <cell r="C211" t="str">
            <v>1</v>
          </cell>
          <cell r="D211" t="str">
            <v>5</v>
          </cell>
          <cell r="E211">
            <v>5</v>
          </cell>
          <cell r="F211" t="str">
            <v>15</v>
          </cell>
          <cell r="G211" t="str">
            <v>87</v>
          </cell>
          <cell r="H211" t="str">
            <v>3</v>
          </cell>
          <cell r="I211" t="str">
            <v>2</v>
          </cell>
          <cell r="J211">
            <v>248</v>
          </cell>
          <cell r="K211">
            <v>29</v>
          </cell>
          <cell r="L211">
            <v>25</v>
          </cell>
          <cell r="M211">
            <v>0</v>
          </cell>
          <cell r="N211">
            <v>29</v>
          </cell>
          <cell r="O211" t="str">
            <v>7dd8</v>
          </cell>
          <cell r="P211" t="str">
            <v>SMG</v>
          </cell>
          <cell r="Q211" t="str">
            <v>Blitz Whip</v>
          </cell>
          <cell r="R211" t="str">
            <v>O-Pa/Po</v>
          </cell>
          <cell r="X211" t="str">
            <v>Robot</v>
          </cell>
        </row>
        <row r="212">
          <cell r="A212" t="str">
            <v>Hawk</v>
          </cell>
          <cell r="B212" t="str">
            <v>Hawk</v>
          </cell>
          <cell r="C212" t="str">
            <v>1</v>
          </cell>
          <cell r="D212" t="str">
            <v>6</v>
          </cell>
          <cell r="E212">
            <v>6</v>
          </cell>
          <cell r="F212" t="str">
            <v>16</v>
          </cell>
          <cell r="G212" t="str">
            <v>87</v>
          </cell>
          <cell r="H212" t="str">
            <v>3</v>
          </cell>
          <cell r="I212" t="str">
            <v>3</v>
          </cell>
          <cell r="J212">
            <v>324</v>
          </cell>
          <cell r="K212">
            <v>38</v>
          </cell>
          <cell r="L212">
            <v>32</v>
          </cell>
          <cell r="M212">
            <v>0</v>
          </cell>
          <cell r="N212">
            <v>38</v>
          </cell>
          <cell r="O212" t="str">
            <v>7ddb</v>
          </cell>
          <cell r="P212" t="str">
            <v>Grenade</v>
          </cell>
          <cell r="Q212" t="str">
            <v>Fire Gun</v>
          </cell>
          <cell r="R212" t="str">
            <v>Warning</v>
          </cell>
          <cell r="S212" t="str">
            <v>O-Pa/Po</v>
          </cell>
          <cell r="X212" t="str">
            <v>Robot</v>
          </cell>
        </row>
        <row r="213">
          <cell r="A213" t="str">
            <v>Falcon</v>
          </cell>
          <cell r="B213" t="str">
            <v>Falcon</v>
          </cell>
          <cell r="C213" t="str">
            <v>3</v>
          </cell>
          <cell r="D213" t="str">
            <v>9</v>
          </cell>
          <cell r="E213">
            <v>9</v>
          </cell>
          <cell r="F213" t="str">
            <v>39</v>
          </cell>
          <cell r="G213" t="str">
            <v>87</v>
          </cell>
          <cell r="H213" t="str">
            <v>3</v>
          </cell>
          <cell r="I213" t="str">
            <v>5</v>
          </cell>
          <cell r="J213">
            <v>614</v>
          </cell>
          <cell r="K213">
            <v>68</v>
          </cell>
          <cell r="L213">
            <v>61</v>
          </cell>
          <cell r="M213">
            <v>0</v>
          </cell>
          <cell r="N213">
            <v>68</v>
          </cell>
          <cell r="O213" t="str">
            <v>7ddf</v>
          </cell>
          <cell r="P213" t="str">
            <v>Defense</v>
          </cell>
          <cell r="Q213" t="str">
            <v>D-Beam</v>
          </cell>
          <cell r="R213" t="str">
            <v>Vulcan</v>
          </cell>
          <cell r="S213" t="str">
            <v>Beam</v>
          </cell>
          <cell r="T213" t="str">
            <v>Warning</v>
          </cell>
          <cell r="U213" t="str">
            <v>O-Pa/Po</v>
          </cell>
          <cell r="X213" t="str">
            <v>Robot</v>
          </cell>
        </row>
        <row r="214">
          <cell r="A214" t="str">
            <v>Intrcept</v>
          </cell>
          <cell r="B214" t="str">
            <v>Intrcept</v>
          </cell>
          <cell r="C214" t="str">
            <v>3</v>
          </cell>
          <cell r="D214" t="str">
            <v>A</v>
          </cell>
          <cell r="E214">
            <v>10</v>
          </cell>
          <cell r="F214" t="str">
            <v>3A</v>
          </cell>
          <cell r="G214" t="str">
            <v>87</v>
          </cell>
          <cell r="H214" t="str">
            <v>3</v>
          </cell>
          <cell r="I214" t="str">
            <v>6</v>
          </cell>
          <cell r="J214">
            <v>731</v>
          </cell>
          <cell r="K214">
            <v>81</v>
          </cell>
          <cell r="L214">
            <v>73</v>
          </cell>
          <cell r="M214">
            <v>0</v>
          </cell>
          <cell r="N214">
            <v>81</v>
          </cell>
          <cell r="O214" t="str">
            <v>7de5</v>
          </cell>
          <cell r="P214" t="str">
            <v>D-Beam</v>
          </cell>
          <cell r="Q214" t="str">
            <v>Vulcan</v>
          </cell>
          <cell r="R214" t="str">
            <v>Beam</v>
          </cell>
          <cell r="S214" t="str">
            <v>Missile</v>
          </cell>
          <cell r="T214" t="str">
            <v>Warning</v>
          </cell>
          <cell r="U214" t="str">
            <v>Selfix</v>
          </cell>
          <cell r="V214" t="str">
            <v>O-Pa/Po</v>
          </cell>
          <cell r="X214" t="str">
            <v>Robot</v>
          </cell>
        </row>
        <row r="215">
          <cell r="A215" t="str">
            <v>Plasma</v>
          </cell>
          <cell r="B215" t="str">
            <v>Plasma</v>
          </cell>
          <cell r="C215" t="str">
            <v>0</v>
          </cell>
          <cell r="D215" t="str">
            <v>3</v>
          </cell>
          <cell r="E215">
            <v>3</v>
          </cell>
          <cell r="F215" t="str">
            <v>03</v>
          </cell>
          <cell r="G215" t="str">
            <v>06</v>
          </cell>
          <cell r="H215" t="str">
            <v>2</v>
          </cell>
          <cell r="I215" t="str">
            <v>1</v>
          </cell>
          <cell r="J215">
            <v>104</v>
          </cell>
          <cell r="K215">
            <v>15</v>
          </cell>
          <cell r="L215">
            <v>13</v>
          </cell>
          <cell r="M215">
            <v>13</v>
          </cell>
          <cell r="N215">
            <v>13</v>
          </cell>
          <cell r="O215" t="str">
            <v>7dec</v>
          </cell>
          <cell r="P215" t="str">
            <v>Dissolve</v>
          </cell>
          <cell r="Q215" t="str">
            <v>X-Ice</v>
          </cell>
          <cell r="X215" t="str">
            <v>Aberration</v>
          </cell>
        </row>
        <row r="216">
          <cell r="A216" t="str">
            <v>Phagocyt</v>
          </cell>
          <cell r="B216" t="str">
            <v>Phagocyt</v>
          </cell>
          <cell r="C216" t="str">
            <v>1</v>
          </cell>
          <cell r="D216" t="str">
            <v>4</v>
          </cell>
          <cell r="E216">
            <v>4</v>
          </cell>
          <cell r="F216" t="str">
            <v>14</v>
          </cell>
          <cell r="G216" t="str">
            <v>06</v>
          </cell>
          <cell r="H216" t="str">
            <v>2</v>
          </cell>
          <cell r="I216" t="str">
            <v>2</v>
          </cell>
          <cell r="J216">
            <v>156</v>
          </cell>
          <cell r="K216">
            <v>21</v>
          </cell>
          <cell r="L216">
            <v>18</v>
          </cell>
          <cell r="M216">
            <v>18</v>
          </cell>
          <cell r="N216">
            <v>18</v>
          </cell>
          <cell r="O216" t="str">
            <v>7dee</v>
          </cell>
          <cell r="P216" t="str">
            <v>Wind Up</v>
          </cell>
          <cell r="Q216" t="str">
            <v>Dissolve</v>
          </cell>
          <cell r="R216" t="str">
            <v>X-Ice</v>
          </cell>
          <cell r="X216" t="str">
            <v>Aberration</v>
          </cell>
        </row>
        <row r="217">
          <cell r="A217" t="str">
            <v>Corpuscl</v>
          </cell>
          <cell r="B217" t="str">
            <v>Corpuscl</v>
          </cell>
          <cell r="C217" t="str">
            <v>2</v>
          </cell>
          <cell r="D217" t="str">
            <v>6</v>
          </cell>
          <cell r="E217">
            <v>6</v>
          </cell>
          <cell r="F217" t="str">
            <v>26</v>
          </cell>
          <cell r="G217" t="str">
            <v>06</v>
          </cell>
          <cell r="H217" t="str">
            <v>2</v>
          </cell>
          <cell r="I217" t="str">
            <v>5</v>
          </cell>
          <cell r="J217">
            <v>290</v>
          </cell>
          <cell r="K217">
            <v>36</v>
          </cell>
          <cell r="L217">
            <v>32</v>
          </cell>
          <cell r="M217">
            <v>32</v>
          </cell>
          <cell r="N217">
            <v>32</v>
          </cell>
          <cell r="O217" t="str">
            <v>7df1</v>
          </cell>
          <cell r="P217" t="str">
            <v>Wind Up</v>
          </cell>
          <cell r="Q217" t="str">
            <v>Dissolve</v>
          </cell>
          <cell r="R217" t="str">
            <v>Multiply</v>
          </cell>
          <cell r="S217" t="str">
            <v>Recover</v>
          </cell>
          <cell r="T217" t="str">
            <v>O-Weapon</v>
          </cell>
          <cell r="U217" t="str">
            <v>X-Ice</v>
          </cell>
          <cell r="X217" t="str">
            <v>Aberration</v>
          </cell>
        </row>
        <row r="218">
          <cell r="A218" t="str">
            <v>Cancer</v>
          </cell>
          <cell r="B218" t="str">
            <v>Cancer</v>
          </cell>
          <cell r="C218" t="str">
            <v>2</v>
          </cell>
          <cell r="D218" t="str">
            <v>A</v>
          </cell>
          <cell r="E218">
            <v>10</v>
          </cell>
          <cell r="F218" t="str">
            <v>2A</v>
          </cell>
          <cell r="G218" t="str">
            <v>06</v>
          </cell>
          <cell r="H218" t="str">
            <v>2</v>
          </cell>
          <cell r="I218" t="str">
            <v>6</v>
          </cell>
          <cell r="J218">
            <v>681</v>
          </cell>
          <cell r="K218">
            <v>78</v>
          </cell>
          <cell r="L218">
            <v>73</v>
          </cell>
          <cell r="M218">
            <v>73</v>
          </cell>
          <cell r="N218">
            <v>73</v>
          </cell>
          <cell r="O218" t="str">
            <v>7df7</v>
          </cell>
          <cell r="P218" t="str">
            <v>Wind Up</v>
          </cell>
          <cell r="Q218" t="str">
            <v>Dissolve</v>
          </cell>
          <cell r="R218" t="str">
            <v>Surprise</v>
          </cell>
          <cell r="S218" t="str">
            <v>Warning</v>
          </cell>
          <cell r="T218" t="str">
            <v>Recover</v>
          </cell>
          <cell r="U218" t="str">
            <v>O-Weapon</v>
          </cell>
          <cell r="V218" t="str">
            <v>X-Ice</v>
          </cell>
          <cell r="X218" t="str">
            <v>Aberration</v>
          </cell>
        </row>
        <row r="219">
          <cell r="A219" t="str">
            <v>Grippe</v>
          </cell>
          <cell r="B219" t="str">
            <v>Grippe</v>
          </cell>
          <cell r="C219" t="str">
            <v>0</v>
          </cell>
          <cell r="D219" t="str">
            <v>3</v>
          </cell>
          <cell r="E219">
            <v>3</v>
          </cell>
          <cell r="F219" t="str">
            <v>03</v>
          </cell>
          <cell r="G219" t="str">
            <v>88</v>
          </cell>
          <cell r="H219" t="str">
            <v>2</v>
          </cell>
          <cell r="I219" t="str">
            <v>1</v>
          </cell>
          <cell r="J219">
            <v>71</v>
          </cell>
          <cell r="K219">
            <v>12</v>
          </cell>
          <cell r="L219">
            <v>15</v>
          </cell>
          <cell r="M219">
            <v>14</v>
          </cell>
          <cell r="N219">
            <v>16</v>
          </cell>
          <cell r="O219" t="str">
            <v>7dfe</v>
          </cell>
          <cell r="P219" t="str">
            <v>PoisonBurst</v>
          </cell>
          <cell r="Q219" t="str">
            <v>X-Fire</v>
          </cell>
          <cell r="X219" t="str">
            <v>Aberration</v>
          </cell>
        </row>
        <row r="220">
          <cell r="A220" t="str">
            <v>Virus</v>
          </cell>
          <cell r="B220" t="str">
            <v>Virus</v>
          </cell>
          <cell r="C220" t="str">
            <v>1</v>
          </cell>
          <cell r="D220" t="str">
            <v>4</v>
          </cell>
          <cell r="E220">
            <v>4</v>
          </cell>
          <cell r="F220" t="str">
            <v>14</v>
          </cell>
          <cell r="G220" t="str">
            <v>88</v>
          </cell>
          <cell r="H220" t="str">
            <v>2</v>
          </cell>
          <cell r="I220" t="str">
            <v>2</v>
          </cell>
          <cell r="J220">
            <v>117</v>
          </cell>
          <cell r="K220">
            <v>17</v>
          </cell>
          <cell r="L220">
            <v>21</v>
          </cell>
          <cell r="M220">
            <v>20</v>
          </cell>
          <cell r="N220">
            <v>22</v>
          </cell>
          <cell r="O220" t="str">
            <v>7e00</v>
          </cell>
          <cell r="P220" t="str">
            <v>PoisonBurst</v>
          </cell>
          <cell r="Q220" t="str">
            <v>Heat</v>
          </cell>
          <cell r="R220" t="str">
            <v>X-Fire</v>
          </cell>
          <cell r="X220" t="str">
            <v>Aberration</v>
          </cell>
        </row>
        <row r="221">
          <cell r="A221" t="str">
            <v>Pathogen</v>
          </cell>
          <cell r="B221" t="str">
            <v>Pathogen</v>
          </cell>
          <cell r="C221" t="str">
            <v>3</v>
          </cell>
          <cell r="D221" t="str">
            <v>7</v>
          </cell>
          <cell r="E221">
            <v>7</v>
          </cell>
          <cell r="F221" t="str">
            <v>37</v>
          </cell>
          <cell r="G221" t="str">
            <v>88</v>
          </cell>
          <cell r="H221" t="str">
            <v>2</v>
          </cell>
          <cell r="I221" t="str">
            <v>4</v>
          </cell>
          <cell r="J221">
            <v>316</v>
          </cell>
          <cell r="K221">
            <v>39</v>
          </cell>
          <cell r="L221">
            <v>45</v>
          </cell>
          <cell r="M221">
            <v>43</v>
          </cell>
          <cell r="N221">
            <v>47</v>
          </cell>
          <cell r="O221" t="str">
            <v>7e03</v>
          </cell>
          <cell r="P221" t="str">
            <v>Multiply</v>
          </cell>
          <cell r="Q221" t="str">
            <v>PoisonBurst</v>
          </cell>
          <cell r="R221" t="str">
            <v>Heat</v>
          </cell>
          <cell r="S221" t="str">
            <v>ParaSkin</v>
          </cell>
          <cell r="T221" t="str">
            <v>X-Fire</v>
          </cell>
          <cell r="X221" t="str">
            <v>Aberration</v>
          </cell>
        </row>
        <row r="222">
          <cell r="A222" t="str">
            <v>Plague</v>
          </cell>
          <cell r="B222" t="str">
            <v>Plague</v>
          </cell>
          <cell r="C222" t="str">
            <v>4</v>
          </cell>
          <cell r="D222" t="str">
            <v>A</v>
          </cell>
          <cell r="E222">
            <v>10</v>
          </cell>
          <cell r="F222" t="str">
            <v>4A</v>
          </cell>
          <cell r="G222" t="str">
            <v>88</v>
          </cell>
          <cell r="H222" t="str">
            <v>2</v>
          </cell>
          <cell r="I222" t="str">
            <v>6</v>
          </cell>
          <cell r="J222">
            <v>606</v>
          </cell>
          <cell r="K222">
            <v>71</v>
          </cell>
          <cell r="L222">
            <v>78</v>
          </cell>
          <cell r="M222">
            <v>76</v>
          </cell>
          <cell r="N222">
            <v>81</v>
          </cell>
          <cell r="O222" t="str">
            <v>7e08</v>
          </cell>
          <cell r="P222" t="str">
            <v>PoisonBurst</v>
          </cell>
          <cell r="Q222" t="str">
            <v>Heat</v>
          </cell>
          <cell r="R222" t="str">
            <v>ComVirus</v>
          </cell>
          <cell r="S222" t="str">
            <v>Surprise</v>
          </cell>
          <cell r="T222" t="str">
            <v>Multiply</v>
          </cell>
          <cell r="U222" t="str">
            <v>DNA</v>
          </cell>
          <cell r="V222" t="str">
            <v>X-Fire</v>
          </cell>
          <cell r="X222" t="str">
            <v>Aberration</v>
          </cell>
        </row>
        <row r="223">
          <cell r="A223" t="str">
            <v>Teacher</v>
          </cell>
          <cell r="B223" t="str">
            <v>Teacher</v>
          </cell>
          <cell r="C223" t="str">
            <v>4</v>
          </cell>
          <cell r="D223" t="str">
            <v>0</v>
          </cell>
          <cell r="E223">
            <v>0</v>
          </cell>
          <cell r="F223">
            <v>40</v>
          </cell>
          <cell r="G223" t="str">
            <v>00</v>
          </cell>
          <cell r="H223" t="str">
            <v>2</v>
          </cell>
          <cell r="I223" t="str">
            <v>7</v>
          </cell>
          <cell r="J223">
            <v>185</v>
          </cell>
          <cell r="K223">
            <v>18</v>
          </cell>
          <cell r="L223">
            <v>15</v>
          </cell>
          <cell r="M223">
            <v>19</v>
          </cell>
          <cell r="N223">
            <v>18</v>
          </cell>
          <cell r="O223" t="str">
            <v>7e0f</v>
          </cell>
          <cell r="P223" t="str">
            <v>Dissolve</v>
          </cell>
          <cell r="Q223" t="str">
            <v>Fire</v>
          </cell>
          <cell r="R223" t="str">
            <v>Cure</v>
          </cell>
          <cell r="X223" t="str">
            <v>Human</v>
          </cell>
        </row>
        <row r="224">
          <cell r="A224" t="str">
            <v>Cleric</v>
          </cell>
          <cell r="B224" t="str">
            <v>Cleric</v>
          </cell>
          <cell r="C224" t="str">
            <v>6</v>
          </cell>
          <cell r="D224" t="str">
            <v>0</v>
          </cell>
          <cell r="E224">
            <v>0</v>
          </cell>
          <cell r="F224" t="str">
            <v>60</v>
          </cell>
          <cell r="G224" t="str">
            <v>00</v>
          </cell>
          <cell r="H224" t="str">
            <v>0</v>
          </cell>
          <cell r="I224" t="str">
            <v>7</v>
          </cell>
          <cell r="J224">
            <v>80</v>
          </cell>
          <cell r="K224">
            <v>8</v>
          </cell>
          <cell r="L224">
            <v>13</v>
          </cell>
          <cell r="M224">
            <v>14</v>
          </cell>
          <cell r="N224">
            <v>11</v>
          </cell>
          <cell r="O224" t="str">
            <v>7e17</v>
          </cell>
          <cell r="P224" t="str">
            <v>Hammer</v>
          </cell>
          <cell r="Q224" t="str">
            <v>Bronze Shield</v>
          </cell>
          <cell r="R224" t="str">
            <v>Thunder Book</v>
          </cell>
          <cell r="S224" t="str">
            <v>Cure Book</v>
          </cell>
          <cell r="T224" t="str">
            <v>Bronze Armor</v>
          </cell>
          <cell r="U224" t="str">
            <v>Bronze Helm</v>
          </cell>
          <cell r="V224" t="str">
            <v>Bronze Glove</v>
          </cell>
          <cell r="X224" t="str">
            <v>Human</v>
          </cell>
        </row>
        <row r="225">
          <cell r="A225" t="str">
            <v>Unknown</v>
          </cell>
          <cell r="B225" t="str">
            <v>Unknown</v>
          </cell>
          <cell r="C225" t="str">
            <v>4</v>
          </cell>
          <cell r="D225" t="str">
            <v>0</v>
          </cell>
          <cell r="E225">
            <v>0</v>
          </cell>
          <cell r="F225">
            <v>40</v>
          </cell>
          <cell r="G225" t="str">
            <v>00</v>
          </cell>
          <cell r="H225" t="str">
            <v>0</v>
          </cell>
          <cell r="I225" t="str">
            <v>7</v>
          </cell>
          <cell r="J225">
            <v>321</v>
          </cell>
          <cell r="K225">
            <v>35</v>
          </cell>
          <cell r="L225">
            <v>29</v>
          </cell>
          <cell r="M225">
            <v>35</v>
          </cell>
          <cell r="N225">
            <v>11</v>
          </cell>
          <cell r="O225" t="str">
            <v>7e27</v>
          </cell>
          <cell r="P225" t="str">
            <v>Hammer</v>
          </cell>
          <cell r="Q225" t="str">
            <v>Bronze Shield</v>
          </cell>
          <cell r="R225" t="str">
            <v>Bronze Armor</v>
          </cell>
          <cell r="S225" t="str">
            <v>Bronze Helm</v>
          </cell>
          <cell r="T225" t="str">
            <v>Bronze Glove</v>
          </cell>
          <cell r="X225" t="str">
            <v>Human</v>
          </cell>
        </row>
        <row r="226">
          <cell r="A226" t="str">
            <v>Girl1</v>
          </cell>
          <cell r="B226" t="str">
            <v>Girl1</v>
          </cell>
          <cell r="C226" t="str">
            <v>0</v>
          </cell>
          <cell r="D226" t="str">
            <v>0</v>
          </cell>
          <cell r="E226">
            <v>0</v>
          </cell>
          <cell r="F226" t="str">
            <v>00</v>
          </cell>
          <cell r="G226" t="str">
            <v>00</v>
          </cell>
          <cell r="H226" t="str">
            <v>0</v>
          </cell>
          <cell r="I226" t="str">
            <v>7</v>
          </cell>
          <cell r="J226">
            <v>100</v>
          </cell>
          <cell r="K226">
            <v>16</v>
          </cell>
          <cell r="L226">
            <v>25</v>
          </cell>
          <cell r="M226">
            <v>21</v>
          </cell>
          <cell r="N226">
            <v>0</v>
          </cell>
          <cell r="O226" t="str">
            <v>7e2f</v>
          </cell>
          <cell r="P226" t="str">
            <v>Strike</v>
          </cell>
          <cell r="Q226" t="str">
            <v>JumpKick</v>
          </cell>
          <cell r="X226" t="str">
            <v>Human</v>
          </cell>
        </row>
        <row r="227">
          <cell r="A227" t="str">
            <v>Guardian</v>
          </cell>
          <cell r="B227" t="str">
            <v>Guardian</v>
          </cell>
          <cell r="C227" t="str">
            <v>4</v>
          </cell>
          <cell r="D227" t="str">
            <v>0</v>
          </cell>
          <cell r="E227">
            <v>0</v>
          </cell>
          <cell r="F227">
            <v>40</v>
          </cell>
          <cell r="G227" t="str">
            <v>00</v>
          </cell>
          <cell r="H227" t="str">
            <v>0</v>
          </cell>
          <cell r="I227" t="str">
            <v>7</v>
          </cell>
          <cell r="J227">
            <v>321</v>
          </cell>
          <cell r="K227">
            <v>35</v>
          </cell>
          <cell r="L227">
            <v>35</v>
          </cell>
          <cell r="M227">
            <v>29</v>
          </cell>
          <cell r="N227">
            <v>15</v>
          </cell>
          <cell r="O227" t="str">
            <v>7e37</v>
          </cell>
          <cell r="P227" t="str">
            <v>Gold Sword</v>
          </cell>
          <cell r="Q227" t="str">
            <v>SMG</v>
          </cell>
          <cell r="R227" t="str">
            <v>Blitz Whip</v>
          </cell>
          <cell r="S227" t="str">
            <v>Army Armor</v>
          </cell>
          <cell r="T227" t="str">
            <v>Cure Book</v>
          </cell>
          <cell r="X227" t="str">
            <v>Human</v>
          </cell>
        </row>
        <row r="228">
          <cell r="A228" t="str">
            <v>Girl2</v>
          </cell>
          <cell r="B228" t="str">
            <v>Girl2</v>
          </cell>
          <cell r="C228" t="str">
            <v>0</v>
          </cell>
          <cell r="D228" t="str">
            <v>0</v>
          </cell>
          <cell r="E228">
            <v>0</v>
          </cell>
          <cell r="F228" t="str">
            <v>00</v>
          </cell>
          <cell r="G228" t="str">
            <v>00</v>
          </cell>
          <cell r="H228" t="str">
            <v>0</v>
          </cell>
          <cell r="I228" t="str">
            <v>7</v>
          </cell>
          <cell r="J228">
            <v>247</v>
          </cell>
          <cell r="K228">
            <v>23</v>
          </cell>
          <cell r="L228">
            <v>33</v>
          </cell>
          <cell r="M228">
            <v>28</v>
          </cell>
          <cell r="N228">
            <v>21</v>
          </cell>
          <cell r="O228" t="str">
            <v>7e3f</v>
          </cell>
          <cell r="P228" t="str">
            <v>HeadButt</v>
          </cell>
          <cell r="Q228" t="str">
            <v>FlyingKick</v>
          </cell>
          <cell r="X228" t="str">
            <v>Human</v>
          </cell>
        </row>
        <row r="229">
          <cell r="A229" t="str">
            <v>Detectiv</v>
          </cell>
          <cell r="B229" t="str">
            <v>Detectiv</v>
          </cell>
          <cell r="C229" t="str">
            <v>3</v>
          </cell>
          <cell r="D229" t="str">
            <v>0</v>
          </cell>
          <cell r="E229">
            <v>0</v>
          </cell>
          <cell r="F229" t="str">
            <v>30</v>
          </cell>
          <cell r="G229" t="str">
            <v>00</v>
          </cell>
          <cell r="H229" t="str">
            <v>0</v>
          </cell>
          <cell r="I229" t="str">
            <v>7</v>
          </cell>
          <cell r="J229">
            <v>473</v>
          </cell>
          <cell r="K229">
            <v>46</v>
          </cell>
          <cell r="L229">
            <v>62</v>
          </cell>
          <cell r="M229">
            <v>39</v>
          </cell>
          <cell r="N229">
            <v>49</v>
          </cell>
          <cell r="O229" t="str">
            <v>7e47</v>
          </cell>
          <cell r="P229" t="str">
            <v>Sypha</v>
          </cell>
          <cell r="Q229" t="str">
            <v>Coin</v>
          </cell>
          <cell r="R229" t="str">
            <v>Kimono Armor</v>
          </cell>
          <cell r="S229" t="str">
            <v>Temptat</v>
          </cell>
          <cell r="X229" t="str">
            <v>Human</v>
          </cell>
        </row>
        <row r="230">
          <cell r="A230" t="str">
            <v>Samurai</v>
          </cell>
          <cell r="B230" t="str">
            <v>Samurai</v>
          </cell>
          <cell r="C230" t="str">
            <v>4</v>
          </cell>
          <cell r="D230" t="str">
            <v>0</v>
          </cell>
          <cell r="E230">
            <v>0</v>
          </cell>
          <cell r="F230" t="str">
            <v>40</v>
          </cell>
          <cell r="G230" t="str">
            <v>00</v>
          </cell>
          <cell r="H230" t="str">
            <v>0</v>
          </cell>
          <cell r="I230" t="str">
            <v>7</v>
          </cell>
          <cell r="J230">
            <v>551</v>
          </cell>
          <cell r="K230">
            <v>63</v>
          </cell>
          <cell r="L230">
            <v>60</v>
          </cell>
          <cell r="M230">
            <v>45</v>
          </cell>
          <cell r="N230">
            <v>56</v>
          </cell>
          <cell r="O230" t="str">
            <v>7e4f</v>
          </cell>
          <cell r="P230" t="str">
            <v>Muramas Sword</v>
          </cell>
          <cell r="Q230" t="str">
            <v>Katana</v>
          </cell>
          <cell r="R230" t="str">
            <v>Ninja Glove</v>
          </cell>
          <cell r="S230" t="str">
            <v>Kimono Armor</v>
          </cell>
          <cell r="T230" t="str">
            <v>Samurai Bow</v>
          </cell>
          <cell r="U230" t="str">
            <v>Cure Book</v>
          </cell>
          <cell r="X230" t="str">
            <v>Human</v>
          </cell>
        </row>
        <row r="231">
          <cell r="A231" t="str">
            <v>Guardian</v>
          </cell>
          <cell r="B231" t="str">
            <v>Guardian</v>
          </cell>
          <cell r="C231" t="str">
            <v>4</v>
          </cell>
          <cell r="D231" t="str">
            <v>0</v>
          </cell>
          <cell r="E231">
            <v>0</v>
          </cell>
          <cell r="F231" t="str">
            <v>40</v>
          </cell>
          <cell r="G231" t="str">
            <v>00</v>
          </cell>
          <cell r="H231" t="str">
            <v>0</v>
          </cell>
          <cell r="I231" t="str">
            <v>7</v>
          </cell>
          <cell r="J231">
            <v>700</v>
          </cell>
          <cell r="K231">
            <v>70</v>
          </cell>
          <cell r="L231">
            <v>80</v>
          </cell>
          <cell r="M231">
            <v>60</v>
          </cell>
          <cell r="N231">
            <v>70</v>
          </cell>
          <cell r="O231" t="str">
            <v>7e57</v>
          </cell>
          <cell r="P231" t="str">
            <v>Defend Sword</v>
          </cell>
          <cell r="Q231" t="str">
            <v>Vulcan Cannon</v>
          </cell>
          <cell r="R231" t="str">
            <v>Magnum</v>
          </cell>
          <cell r="S231" t="str">
            <v>Battle Armor</v>
          </cell>
          <cell r="T231" t="str">
            <v>Heal Staff</v>
          </cell>
          <cell r="U231" t="str">
            <v>Cure Book</v>
          </cell>
          <cell r="X231" t="str">
            <v>Human</v>
          </cell>
        </row>
        <row r="232">
          <cell r="A232" t="str">
            <v>Ancient</v>
          </cell>
          <cell r="B232" t="str">
            <v>Ancient</v>
          </cell>
          <cell r="C232" t="str">
            <v>5</v>
          </cell>
          <cell r="D232" t="str">
            <v>0</v>
          </cell>
          <cell r="E232">
            <v>0</v>
          </cell>
          <cell r="F232" t="str">
            <v>50</v>
          </cell>
          <cell r="G232" t="str">
            <v>00</v>
          </cell>
          <cell r="H232" t="str">
            <v>2</v>
          </cell>
          <cell r="I232" t="str">
            <v>7</v>
          </cell>
          <cell r="J232">
            <v>999</v>
          </cell>
          <cell r="K232">
            <v>99</v>
          </cell>
          <cell r="L232">
            <v>99</v>
          </cell>
          <cell r="M232">
            <v>99</v>
          </cell>
          <cell r="N232">
            <v>99</v>
          </cell>
          <cell r="O232" t="str">
            <v>7e5f</v>
          </cell>
          <cell r="P232" t="str">
            <v>Masmune Magi</v>
          </cell>
          <cell r="Q232" t="str">
            <v>Aegis Magi</v>
          </cell>
          <cell r="R232" t="str">
            <v>Heart Magi</v>
          </cell>
          <cell r="S232" t="str">
            <v>TrueEye</v>
          </cell>
          <cell r="T232" t="str">
            <v>Pegasus Magi</v>
          </cell>
          <cell r="U232" t="str">
            <v>Flare</v>
          </cell>
          <cell r="V232" t="str">
            <v>O-All</v>
          </cell>
          <cell r="W232" t="str">
            <v>Recover</v>
          </cell>
          <cell r="X232" t="str">
            <v>God</v>
          </cell>
        </row>
        <row r="233">
          <cell r="A233" t="str">
            <v>Haniwa</v>
          </cell>
          <cell r="B233" t="str">
            <v>Haniwa</v>
          </cell>
          <cell r="C233" t="str">
            <v>3</v>
          </cell>
          <cell r="D233" t="str">
            <v>c</v>
          </cell>
          <cell r="E233">
            <v>12</v>
          </cell>
          <cell r="F233" t="str">
            <v>3c</v>
          </cell>
          <cell r="G233" t="str">
            <v>8b</v>
          </cell>
          <cell r="H233" t="str">
            <v>2</v>
          </cell>
          <cell r="I233" t="str">
            <v>5</v>
          </cell>
          <cell r="J233">
            <v>10000</v>
          </cell>
          <cell r="K233">
            <v>90</v>
          </cell>
          <cell r="L233">
            <v>90</v>
          </cell>
          <cell r="M233">
            <v>90</v>
          </cell>
          <cell r="N233">
            <v>90</v>
          </cell>
          <cell r="O233" t="str">
            <v>7e67</v>
          </cell>
          <cell r="P233" t="str">
            <v>Bash</v>
          </cell>
          <cell r="Q233" t="str">
            <v>Quake</v>
          </cell>
          <cell r="R233" t="str">
            <v>Flare</v>
          </cell>
          <cell r="S233" t="str">
            <v>Seven Sword</v>
          </cell>
          <cell r="T233" t="str">
            <v>O-All</v>
          </cell>
          <cell r="U233" t="str">
            <v>Recover</v>
          </cell>
          <cell r="X233" t="str">
            <v>Spirit</v>
          </cell>
        </row>
        <row r="234">
          <cell r="A234" t="str">
            <v>Dolphin</v>
          </cell>
          <cell r="B234" t="str">
            <v>Dolphin</v>
          </cell>
          <cell r="C234" t="str">
            <v>4</v>
          </cell>
          <cell r="D234" t="str">
            <v>9</v>
          </cell>
          <cell r="E234">
            <v>9</v>
          </cell>
          <cell r="F234" t="str">
            <v>49</v>
          </cell>
          <cell r="G234" t="str">
            <v>8a</v>
          </cell>
          <cell r="H234" t="str">
            <v>2</v>
          </cell>
          <cell r="I234" t="str">
            <v>7</v>
          </cell>
          <cell r="J234">
            <v>5000</v>
          </cell>
          <cell r="K234">
            <v>60</v>
          </cell>
          <cell r="L234">
            <v>60</v>
          </cell>
          <cell r="M234">
            <v>60</v>
          </cell>
          <cell r="N234">
            <v>60</v>
          </cell>
          <cell r="O234" t="str">
            <v>7e6d</v>
          </cell>
          <cell r="P234" t="str">
            <v>Blitz</v>
          </cell>
          <cell r="Q234" t="str">
            <v>Fin</v>
          </cell>
          <cell r="R234" t="str">
            <v>Whirl</v>
          </cell>
          <cell r="S234" t="str">
            <v>Tusk</v>
          </cell>
          <cell r="T234" t="str">
            <v>Thunder</v>
          </cell>
          <cell r="U234" t="str">
            <v>Tail</v>
          </cell>
          <cell r="V234" t="str">
            <v>O-Quake</v>
          </cell>
          <cell r="W234" t="str">
            <v>O-Fire</v>
          </cell>
          <cell r="X234" t="str">
            <v>Aquatic</v>
          </cell>
        </row>
        <row r="235">
          <cell r="A235" t="str">
            <v>OdinCrow</v>
          </cell>
          <cell r="B235" t="str">
            <v>OdinCrow</v>
          </cell>
          <cell r="C235" t="str">
            <v>2</v>
          </cell>
          <cell r="D235" t="str">
            <v>7</v>
          </cell>
          <cell r="E235">
            <v>7</v>
          </cell>
          <cell r="F235" t="str">
            <v>27</v>
          </cell>
          <cell r="G235" t="str">
            <v>16</v>
          </cell>
          <cell r="H235" t="str">
            <v>2</v>
          </cell>
          <cell r="I235" t="str">
            <v>6</v>
          </cell>
          <cell r="J235">
            <v>669</v>
          </cell>
          <cell r="K235">
            <v>75</v>
          </cell>
          <cell r="L235">
            <v>85</v>
          </cell>
          <cell r="M235">
            <v>79</v>
          </cell>
          <cell r="N235">
            <v>69</v>
          </cell>
          <cell r="O235" t="str">
            <v>7bdf</v>
          </cell>
          <cell r="P235" t="str">
            <v>Nail</v>
          </cell>
          <cell r="Q235" t="str">
            <v>Beak</v>
          </cell>
          <cell r="R235" t="str">
            <v>Blind</v>
          </cell>
          <cell r="S235" t="str">
            <v>Tornado</v>
          </cell>
          <cell r="T235" t="str">
            <v>Surprise</v>
          </cell>
          <cell r="U235" t="str">
            <v>Warning</v>
          </cell>
          <cell r="V235" t="str">
            <v>O-Quake</v>
          </cell>
          <cell r="X235" t="str">
            <v>Flyer</v>
          </cell>
        </row>
        <row r="236">
          <cell r="A236" t="str">
            <v>WarMach</v>
          </cell>
          <cell r="B236" t="str">
            <v>WarMach</v>
          </cell>
          <cell r="C236" t="str">
            <v>3</v>
          </cell>
          <cell r="D236" t="str">
            <v>e</v>
          </cell>
          <cell r="E236">
            <v>14</v>
          </cell>
          <cell r="F236" t="str">
            <v>3e</v>
          </cell>
          <cell r="G236" t="str">
            <v>51</v>
          </cell>
          <cell r="H236" t="str">
            <v>3</v>
          </cell>
          <cell r="I236" t="str">
            <v>4</v>
          </cell>
          <cell r="J236">
            <v>10000</v>
          </cell>
          <cell r="K236">
            <v>120</v>
          </cell>
          <cell r="L236">
            <v>60</v>
          </cell>
          <cell r="M236">
            <v>0</v>
          </cell>
          <cell r="N236">
            <v>90</v>
          </cell>
          <cell r="O236" t="str">
            <v>7e7a</v>
          </cell>
          <cell r="P236" t="str">
            <v>Missile</v>
          </cell>
          <cell r="Q236" t="str">
            <v>NukeBomb</v>
          </cell>
          <cell r="R236" t="str">
            <v>Bash</v>
          </cell>
          <cell r="S236" t="str">
            <v>ParaNail</v>
          </cell>
          <cell r="T236" t="str">
            <v>O-Pa/Po</v>
          </cell>
          <cell r="X236" t="str">
            <v>Robot</v>
          </cell>
        </row>
        <row r="237">
          <cell r="A237" t="str">
            <v>Human M</v>
          </cell>
          <cell r="B237" t="str">
            <v>Human M</v>
          </cell>
          <cell r="C237" t="str">
            <v>1</v>
          </cell>
          <cell r="D237" t="str">
            <v>0</v>
          </cell>
          <cell r="E237">
            <v>0</v>
          </cell>
          <cell r="F237">
            <v>10</v>
          </cell>
          <cell r="G237" t="str">
            <v>00</v>
          </cell>
          <cell r="H237" t="str">
            <v>0</v>
          </cell>
          <cell r="I237" t="str">
            <v>1</v>
          </cell>
          <cell r="J237">
            <v>59</v>
          </cell>
          <cell r="K237">
            <v>6</v>
          </cell>
          <cell r="L237">
            <v>5</v>
          </cell>
          <cell r="M237">
            <v>3</v>
          </cell>
          <cell r="N237">
            <v>3</v>
          </cell>
          <cell r="O237" t="str">
            <v>7e7f</v>
          </cell>
          <cell r="P237" t="str">
            <v>Long Sword</v>
          </cell>
          <cell r="Q237" t="str">
            <v>Bronze Armor</v>
          </cell>
          <cell r="X237" t="str">
            <v>Human</v>
          </cell>
        </row>
        <row r="238">
          <cell r="A238" t="str">
            <v>Human F</v>
          </cell>
          <cell r="B238" t="str">
            <v>Human F</v>
          </cell>
          <cell r="C238" t="str">
            <v>1</v>
          </cell>
          <cell r="D238" t="str">
            <v>0</v>
          </cell>
          <cell r="E238">
            <v>0</v>
          </cell>
          <cell r="F238">
            <v>10</v>
          </cell>
          <cell r="G238" t="str">
            <v>00</v>
          </cell>
          <cell r="H238" t="str">
            <v>0</v>
          </cell>
          <cell r="I238" t="str">
            <v>1</v>
          </cell>
          <cell r="J238">
            <v>52</v>
          </cell>
          <cell r="K238">
            <v>5</v>
          </cell>
          <cell r="L238">
            <v>6</v>
          </cell>
          <cell r="M238">
            <v>4</v>
          </cell>
          <cell r="N238">
            <v>3</v>
          </cell>
          <cell r="O238" t="str">
            <v>7e81</v>
          </cell>
          <cell r="P238" t="str">
            <v>Rapier Sword</v>
          </cell>
          <cell r="Q238" t="str">
            <v>Bronze Armor</v>
          </cell>
          <cell r="X238" t="str">
            <v>Human</v>
          </cell>
        </row>
        <row r="239">
          <cell r="A239" t="str">
            <v>Mutant M</v>
          </cell>
          <cell r="B239" t="str">
            <v>Mutant M</v>
          </cell>
          <cell r="C239" t="str">
            <v>2</v>
          </cell>
          <cell r="D239" t="str">
            <v>0</v>
          </cell>
          <cell r="E239">
            <v>0</v>
          </cell>
          <cell r="F239">
            <v>20</v>
          </cell>
          <cell r="G239" t="str">
            <v>00</v>
          </cell>
          <cell r="H239" t="str">
            <v>1</v>
          </cell>
          <cell r="I239" t="str">
            <v>2</v>
          </cell>
          <cell r="J239">
            <v>52</v>
          </cell>
          <cell r="K239">
            <v>5</v>
          </cell>
          <cell r="L239">
            <v>4</v>
          </cell>
          <cell r="M239">
            <v>6</v>
          </cell>
          <cell r="N239">
            <v>3</v>
          </cell>
          <cell r="O239" t="str">
            <v>7e83</v>
          </cell>
          <cell r="P239" t="str">
            <v>Hammer</v>
          </cell>
          <cell r="Q239" t="str">
            <v>Blizzard</v>
          </cell>
          <cell r="R239" t="str">
            <v>Bronze Armor</v>
          </cell>
          <cell r="X239" t="str">
            <v>Mutant</v>
          </cell>
        </row>
        <row r="240">
          <cell r="A240" t="str">
            <v>Mutant F</v>
          </cell>
          <cell r="B240" t="str">
            <v>Mutant F</v>
          </cell>
          <cell r="C240" t="str">
            <v>2</v>
          </cell>
          <cell r="D240" t="str">
            <v>0</v>
          </cell>
          <cell r="E240">
            <v>0</v>
          </cell>
          <cell r="F240" t="str">
            <v>20</v>
          </cell>
          <cell r="G240" t="str">
            <v>00</v>
          </cell>
          <cell r="H240" t="str">
            <v>1</v>
          </cell>
          <cell r="I240" t="str">
            <v>2</v>
          </cell>
          <cell r="J240">
            <v>45</v>
          </cell>
          <cell r="K240">
            <v>4</v>
          </cell>
          <cell r="L240">
            <v>5</v>
          </cell>
          <cell r="M240">
            <v>6</v>
          </cell>
          <cell r="N240">
            <v>3</v>
          </cell>
          <cell r="O240" t="str">
            <v>7e86</v>
          </cell>
          <cell r="P240" t="str">
            <v>Bow</v>
          </cell>
          <cell r="Q240" t="str">
            <v>Flame</v>
          </cell>
          <cell r="R240" t="str">
            <v>Bronze Armor</v>
          </cell>
          <cell r="X240" t="str">
            <v>Mutant</v>
          </cell>
        </row>
        <row r="241">
          <cell r="A241" t="str">
            <v>Robot</v>
          </cell>
          <cell r="B241" t="str">
            <v>Robot</v>
          </cell>
          <cell r="C241" t="str">
            <v>1</v>
          </cell>
          <cell r="D241" t="str">
            <v>0</v>
          </cell>
          <cell r="E241">
            <v>0</v>
          </cell>
          <cell r="F241" t="str">
            <v>10</v>
          </cell>
          <cell r="G241" t="str">
            <v>00</v>
          </cell>
          <cell r="H241" t="str">
            <v>3</v>
          </cell>
          <cell r="I241" t="str">
            <v>1</v>
          </cell>
          <cell r="J241">
            <v>60</v>
          </cell>
          <cell r="K241">
            <v>6</v>
          </cell>
          <cell r="L241">
            <v>5</v>
          </cell>
          <cell r="M241">
            <v>0</v>
          </cell>
          <cell r="N241">
            <v>6</v>
          </cell>
          <cell r="O241" t="str">
            <v>7e89</v>
          </cell>
          <cell r="P241" t="str">
            <v>Colt Gun</v>
          </cell>
          <cell r="Q241" t="str">
            <v>O-Pa/Po</v>
          </cell>
          <cell r="X241" t="str">
            <v>Robot</v>
          </cell>
        </row>
        <row r="242">
          <cell r="A242" t="str">
            <v>Goop</v>
          </cell>
          <cell r="B242" t="str">
            <v>Goop</v>
          </cell>
          <cell r="C242" t="str">
            <v>1</v>
          </cell>
          <cell r="D242" t="str">
            <v>1</v>
          </cell>
          <cell r="E242">
            <v>1</v>
          </cell>
          <cell r="F242" t="str">
            <v>11</v>
          </cell>
          <cell r="G242" t="str">
            <v>00</v>
          </cell>
          <cell r="H242" t="str">
            <v>2</v>
          </cell>
          <cell r="I242" t="str">
            <v>1</v>
          </cell>
          <cell r="J242">
            <v>52</v>
          </cell>
          <cell r="K242">
            <v>5</v>
          </cell>
          <cell r="L242">
            <v>2</v>
          </cell>
          <cell r="M242">
            <v>6</v>
          </cell>
          <cell r="N242">
            <v>5</v>
          </cell>
          <cell r="O242" t="str">
            <v>7e8b</v>
          </cell>
          <cell r="P242" t="str">
            <v>Dissolve</v>
          </cell>
          <cell r="Q242" t="str">
            <v>X-Fire</v>
          </cell>
          <cell r="X242" t="str">
            <v>Aberration</v>
          </cell>
        </row>
        <row r="243">
          <cell r="A243" t="str">
            <v>Hatchling</v>
          </cell>
          <cell r="B243" t="str">
            <v>Hatchling</v>
          </cell>
          <cell r="C243" t="str">
            <v>1</v>
          </cell>
          <cell r="D243" t="str">
            <v>1</v>
          </cell>
          <cell r="E243">
            <v>1</v>
          </cell>
          <cell r="F243" t="str">
            <v>11</v>
          </cell>
          <cell r="G243" t="str">
            <v>00</v>
          </cell>
          <cell r="H243" t="str">
            <v>2</v>
          </cell>
          <cell r="I243" t="str">
            <v>2</v>
          </cell>
          <cell r="J243">
            <v>45</v>
          </cell>
          <cell r="K243">
            <v>5</v>
          </cell>
          <cell r="L243">
            <v>2</v>
          </cell>
          <cell r="M243">
            <v>6</v>
          </cell>
          <cell r="N243">
            <v>5</v>
          </cell>
          <cell r="O243" t="str">
            <v>7e8d</v>
          </cell>
          <cell r="P243" t="str">
            <v>Nail</v>
          </cell>
          <cell r="Q243" t="str">
            <v>Flame</v>
          </cell>
          <cell r="R243" t="str">
            <v>O-Quake</v>
          </cell>
          <cell r="X243" t="str">
            <v>Great Reptile</v>
          </cell>
        </row>
        <row r="244">
          <cell r="A244" t="str">
            <v>Imp</v>
          </cell>
          <cell r="B244" t="str">
            <v>Imp</v>
          </cell>
          <cell r="C244" t="str">
            <v>1</v>
          </cell>
          <cell r="D244" t="str">
            <v>1</v>
          </cell>
          <cell r="E244">
            <v>1</v>
          </cell>
          <cell r="F244" t="str">
            <v>11</v>
          </cell>
          <cell r="G244" t="str">
            <v>00</v>
          </cell>
          <cell r="H244" t="str">
            <v>2</v>
          </cell>
          <cell r="I244" t="str">
            <v>1</v>
          </cell>
          <cell r="J244">
            <v>31</v>
          </cell>
          <cell r="K244">
            <v>5</v>
          </cell>
          <cell r="L244">
            <v>5</v>
          </cell>
          <cell r="M244">
            <v>6</v>
          </cell>
          <cell r="N244">
            <v>5</v>
          </cell>
          <cell r="O244" t="str">
            <v>7e90</v>
          </cell>
          <cell r="P244" t="str">
            <v>Nail</v>
          </cell>
          <cell r="Q244" t="str">
            <v>Sleep</v>
          </cell>
          <cell r="X244" t="str">
            <v>Spirit</v>
          </cell>
        </row>
        <row r="245">
          <cell r="A245" t="str">
            <v>Ashura</v>
          </cell>
          <cell r="B245" t="str">
            <v>Ashura</v>
          </cell>
          <cell r="C245" t="str">
            <v>3</v>
          </cell>
          <cell r="D245" t="str">
            <v>7</v>
          </cell>
          <cell r="E245">
            <v>7</v>
          </cell>
          <cell r="F245">
            <v>37</v>
          </cell>
          <cell r="G245" t="str">
            <v>40</v>
          </cell>
          <cell r="H245" t="str">
            <v>2</v>
          </cell>
          <cell r="I245" t="str">
            <v>4</v>
          </cell>
          <cell r="J245">
            <v>900</v>
          </cell>
          <cell r="K245">
            <v>18</v>
          </cell>
          <cell r="L245">
            <v>18</v>
          </cell>
          <cell r="M245">
            <v>17</v>
          </cell>
          <cell r="N245">
            <v>18</v>
          </cell>
          <cell r="O245" t="str">
            <v>7e92</v>
          </cell>
          <cell r="P245" t="str">
            <v>6-Arms</v>
          </cell>
          <cell r="Q245" t="str">
            <v>Flame</v>
          </cell>
          <cell r="R245" t="str">
            <v>Sleep</v>
          </cell>
          <cell r="S245" t="str">
            <v>Axe</v>
          </cell>
          <cell r="T245" t="str">
            <v>O-Damage</v>
          </cell>
          <cell r="X245" t="str">
            <v>God</v>
          </cell>
        </row>
        <row r="246">
          <cell r="A246" t="str">
            <v>Venus</v>
          </cell>
          <cell r="B246" t="str">
            <v>Venus</v>
          </cell>
          <cell r="C246" t="str">
            <v>3</v>
          </cell>
          <cell r="D246" t="str">
            <v>9</v>
          </cell>
          <cell r="E246">
            <v>9</v>
          </cell>
          <cell r="F246" t="str">
            <v>39</v>
          </cell>
          <cell r="G246" t="str">
            <v>30</v>
          </cell>
          <cell r="H246" t="str">
            <v>0</v>
          </cell>
          <cell r="I246" t="str">
            <v>4</v>
          </cell>
          <cell r="J246">
            <v>2500</v>
          </cell>
          <cell r="K246">
            <v>52</v>
          </cell>
          <cell r="L246">
            <v>52</v>
          </cell>
          <cell r="M246">
            <v>52</v>
          </cell>
          <cell r="N246">
            <v>52</v>
          </cell>
          <cell r="O246" t="str">
            <v>7e97</v>
          </cell>
          <cell r="P246" t="str">
            <v>Charm</v>
          </cell>
          <cell r="Q246" t="str">
            <v>Blitz Whip</v>
          </cell>
          <cell r="R246" t="str">
            <v>Flame</v>
          </cell>
          <cell r="S246" t="str">
            <v>Slay</v>
          </cell>
          <cell r="T246" t="str">
            <v>O-Damage</v>
          </cell>
          <cell r="X246" t="str">
            <v>God</v>
          </cell>
        </row>
        <row r="247">
          <cell r="A247" t="str">
            <v>Sho-gun</v>
          </cell>
          <cell r="B247" t="str">
            <v>Sho-gun</v>
          </cell>
          <cell r="C247" t="str">
            <v>3</v>
          </cell>
          <cell r="D247" t="str">
            <v>7</v>
          </cell>
          <cell r="E247">
            <v>7</v>
          </cell>
          <cell r="F247" t="str">
            <v>37</v>
          </cell>
          <cell r="G247" t="str">
            <v>89</v>
          </cell>
          <cell r="H247" t="str">
            <v>0</v>
          </cell>
          <cell r="I247" t="str">
            <v>4</v>
          </cell>
          <cell r="J247">
            <v>2000</v>
          </cell>
          <cell r="K247">
            <v>41</v>
          </cell>
          <cell r="L247">
            <v>41</v>
          </cell>
          <cell r="M247">
            <v>41</v>
          </cell>
          <cell r="N247">
            <v>41</v>
          </cell>
          <cell r="O247" t="str">
            <v>7e9c</v>
          </cell>
          <cell r="P247" t="str">
            <v>Riddle</v>
          </cell>
          <cell r="Q247" t="str">
            <v>PoisonGas</v>
          </cell>
          <cell r="R247" t="str">
            <v>SleepGas</v>
          </cell>
          <cell r="S247" t="str">
            <v>Katana</v>
          </cell>
          <cell r="T247" t="str">
            <v>O-Change</v>
          </cell>
          <cell r="X247" t="str">
            <v>Human</v>
          </cell>
        </row>
        <row r="248">
          <cell r="A248" t="str">
            <v>Magnate</v>
          </cell>
          <cell r="B248" t="str">
            <v>Magnate</v>
          </cell>
          <cell r="C248" t="str">
            <v>3</v>
          </cell>
          <cell r="D248" t="str">
            <v>c</v>
          </cell>
          <cell r="E248">
            <v>12</v>
          </cell>
          <cell r="F248" t="str">
            <v>3c</v>
          </cell>
          <cell r="G248" t="str">
            <v>41</v>
          </cell>
          <cell r="H248" t="str">
            <v>0</v>
          </cell>
          <cell r="I248" t="str">
            <v>5</v>
          </cell>
          <cell r="J248">
            <v>6000</v>
          </cell>
          <cell r="K248">
            <v>63</v>
          </cell>
          <cell r="L248">
            <v>63</v>
          </cell>
          <cell r="M248">
            <v>63</v>
          </cell>
          <cell r="N248">
            <v>63</v>
          </cell>
          <cell r="O248" t="str">
            <v>7ea1</v>
          </cell>
          <cell r="P248" t="str">
            <v>Katana</v>
          </cell>
          <cell r="Q248" t="str">
            <v>Thunder</v>
          </cell>
          <cell r="R248" t="str">
            <v>Tornado</v>
          </cell>
          <cell r="S248" t="str">
            <v>Vulcan Cannon</v>
          </cell>
          <cell r="T248" t="str">
            <v>Stone</v>
          </cell>
          <cell r="U248" t="str">
            <v>O-Change</v>
          </cell>
          <cell r="X248" t="str">
            <v>God</v>
          </cell>
        </row>
        <row r="249">
          <cell r="A249" t="str">
            <v>Odin</v>
          </cell>
          <cell r="B249" t="str">
            <v>Odin</v>
          </cell>
          <cell r="C249" t="str">
            <v>3</v>
          </cell>
          <cell r="D249" t="str">
            <v>d</v>
          </cell>
          <cell r="E249">
            <v>13</v>
          </cell>
          <cell r="F249" t="str">
            <v>3d</v>
          </cell>
          <cell r="G249" t="str">
            <v>31</v>
          </cell>
          <cell r="H249" t="str">
            <v>0</v>
          </cell>
          <cell r="I249" t="str">
            <v>4</v>
          </cell>
          <cell r="J249">
            <v>3700</v>
          </cell>
          <cell r="K249">
            <v>75</v>
          </cell>
          <cell r="L249">
            <v>75</v>
          </cell>
          <cell r="M249">
            <v>68</v>
          </cell>
          <cell r="N249">
            <v>75</v>
          </cell>
          <cell r="O249" t="str">
            <v>7ea7</v>
          </cell>
          <cell r="P249" t="str">
            <v>Gungnir</v>
          </cell>
          <cell r="Q249" t="str">
            <v>Lightning</v>
          </cell>
          <cell r="R249" t="str">
            <v>Ice</v>
          </cell>
          <cell r="S249" t="str">
            <v>Cure</v>
          </cell>
          <cell r="T249" t="str">
            <v>O-Change</v>
          </cell>
          <cell r="X249" t="str">
            <v>God</v>
          </cell>
        </row>
        <row r="250">
          <cell r="A250" t="str">
            <v>Minion</v>
          </cell>
          <cell r="B250" t="str">
            <v>Minion</v>
          </cell>
          <cell r="C250" t="str">
            <v>4</v>
          </cell>
          <cell r="D250" t="str">
            <v>e</v>
          </cell>
          <cell r="E250">
            <v>14</v>
          </cell>
          <cell r="F250" t="str">
            <v>4e</v>
          </cell>
          <cell r="G250" t="str">
            <v>50</v>
          </cell>
          <cell r="H250" t="str">
            <v>2</v>
          </cell>
          <cell r="I250" t="str">
            <v>4</v>
          </cell>
          <cell r="J250">
            <v>5000</v>
          </cell>
          <cell r="K250">
            <v>63</v>
          </cell>
          <cell r="L250">
            <v>63</v>
          </cell>
          <cell r="M250">
            <v>57</v>
          </cell>
          <cell r="N250">
            <v>63</v>
          </cell>
          <cell r="O250" t="str">
            <v>7eac</v>
          </cell>
          <cell r="P250" t="str">
            <v>Flame</v>
          </cell>
          <cell r="Q250" t="str">
            <v>Gas</v>
          </cell>
          <cell r="R250" t="str">
            <v>Tornado</v>
          </cell>
          <cell r="S250" t="str">
            <v>Blizzard</v>
          </cell>
          <cell r="T250" t="str">
            <v>Lightning</v>
          </cell>
          <cell r="X250" t="str">
            <v>Flyer</v>
          </cell>
        </row>
        <row r="251">
          <cell r="A251" t="str">
            <v>Apollo</v>
          </cell>
          <cell r="B251" t="str">
            <v>Apollo</v>
          </cell>
          <cell r="E251">
            <v>0</v>
          </cell>
          <cell r="F251" t="str">
            <v>of</v>
          </cell>
          <cell r="G251" t="str">
            <v>32</v>
          </cell>
          <cell r="H251" t="str">
            <v>0</v>
          </cell>
          <cell r="I251" t="str">
            <v>1</v>
          </cell>
          <cell r="J251">
            <v>25000</v>
          </cell>
          <cell r="K251">
            <v>99</v>
          </cell>
          <cell r="L251">
            <v>99</v>
          </cell>
          <cell r="M251">
            <v>80</v>
          </cell>
          <cell r="N251">
            <v>99</v>
          </cell>
          <cell r="O251" t="str">
            <v>7eb1</v>
          </cell>
          <cell r="P251" t="str">
            <v>Flare</v>
          </cell>
          <cell r="Q251" t="str">
            <v>O-All</v>
          </cell>
          <cell r="X251" t="str">
            <v>God</v>
          </cell>
        </row>
        <row r="252">
          <cell r="A252" t="str">
            <v>Arsenal</v>
          </cell>
          <cell r="B252" t="str">
            <v>Arsenal</v>
          </cell>
          <cell r="E252">
            <v>0</v>
          </cell>
          <cell r="F252" t="str">
            <v>00</v>
          </cell>
          <cell r="G252" t="str">
            <v>60</v>
          </cell>
          <cell r="H252" t="str">
            <v>3</v>
          </cell>
          <cell r="I252" t="str">
            <v>1</v>
          </cell>
          <cell r="J252">
            <v>10000</v>
          </cell>
          <cell r="K252">
            <v>99</v>
          </cell>
          <cell r="L252">
            <v>99</v>
          </cell>
          <cell r="M252">
            <v>120</v>
          </cell>
          <cell r="N252">
            <v>99</v>
          </cell>
          <cell r="O252" t="str">
            <v>7eb3</v>
          </cell>
          <cell r="P252" t="str">
            <v>Smasher</v>
          </cell>
          <cell r="Q252" t="str">
            <v>O-Change</v>
          </cell>
          <cell r="X252" t="str">
            <v>Robot</v>
          </cell>
        </row>
        <row r="253">
          <cell r="A253" t="str">
            <v>Jerk</v>
          </cell>
          <cell r="B253" t="str">
            <v>Jerk</v>
          </cell>
          <cell r="C253">
            <v>0</v>
          </cell>
          <cell r="E253">
            <v>0</v>
          </cell>
          <cell r="H253">
            <v>1</v>
          </cell>
          <cell r="I253">
            <v>0</v>
          </cell>
          <cell r="J253">
            <v>1000</v>
          </cell>
          <cell r="K253">
            <v>1</v>
          </cell>
          <cell r="L253">
            <v>20</v>
          </cell>
          <cell r="M253">
            <v>20</v>
          </cell>
          <cell r="N253">
            <v>20</v>
          </cell>
          <cell r="P253" t="str">
            <v>Ice</v>
          </cell>
          <cell r="X253" t="str">
            <v>Mutant</v>
          </cell>
        </row>
        <row r="254">
          <cell r="A254" t="str">
            <v>SuperJerk</v>
          </cell>
          <cell r="B254" t="str">
            <v>SuperJerk</v>
          </cell>
          <cell r="C254">
            <v>3</v>
          </cell>
          <cell r="E254">
            <v>0</v>
          </cell>
          <cell r="H254">
            <v>1</v>
          </cell>
          <cell r="J254">
            <v>1000</v>
          </cell>
          <cell r="K254">
            <v>15</v>
          </cell>
          <cell r="L254">
            <v>50</v>
          </cell>
          <cell r="M254">
            <v>40</v>
          </cell>
          <cell r="N254">
            <v>30</v>
          </cell>
          <cell r="P254" t="str">
            <v>MadSong</v>
          </cell>
          <cell r="Q254" t="str">
            <v>PoisonBurst</v>
          </cell>
          <cell r="R254" t="str">
            <v>Stone</v>
          </cell>
          <cell r="S254" t="str">
            <v>Wizard Staff</v>
          </cell>
          <cell r="T254" t="str">
            <v>CursSong</v>
          </cell>
          <cell r="U254" t="str">
            <v>O-Weapon</v>
          </cell>
          <cell r="X254" t="str">
            <v>Mutant</v>
          </cell>
        </row>
        <row r="255">
          <cell r="A255" t="str">
            <v>Human</v>
          </cell>
          <cell r="B255" t="str">
            <v>Human</v>
          </cell>
          <cell r="X255" t="str">
            <v>Human</v>
          </cell>
        </row>
        <row r="256">
          <cell r="A256" t="str">
            <v>Mutant</v>
          </cell>
          <cell r="B256" t="str">
            <v>Mutant</v>
          </cell>
          <cell r="X256" t="str">
            <v>Mutant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60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Bronze Armor</v>
          </cell>
          <cell r="B21" t="str">
            <v>Bronze Armor</v>
          </cell>
          <cell r="C21" t="str">
            <v>Bronze</v>
          </cell>
          <cell r="D21" t="str">
            <v>Armor</v>
          </cell>
          <cell r="E21">
            <v>53</v>
          </cell>
          <cell r="F21">
            <v>35</v>
          </cell>
          <cell r="G21">
            <v>-2</v>
          </cell>
          <cell r="H21">
            <v>75</v>
          </cell>
          <cell r="I21">
            <v>3</v>
          </cell>
          <cell r="L21">
            <v>9</v>
          </cell>
          <cell r="M21" t="str">
            <v>Def +2</v>
          </cell>
        </row>
        <row r="22">
          <cell r="A22" t="str">
            <v>EyeDrop</v>
          </cell>
          <cell r="B22" t="str">
            <v>EyeDrop</v>
          </cell>
          <cell r="C22" t="str">
            <v>EyeDrop</v>
          </cell>
          <cell r="D22" t="str">
            <v>Potion</v>
          </cell>
          <cell r="E22">
            <v>32</v>
          </cell>
          <cell r="F22">
            <v>20</v>
          </cell>
          <cell r="G22">
            <v>4</v>
          </cell>
          <cell r="H22">
            <v>200</v>
          </cell>
          <cell r="L22">
            <v>9</v>
          </cell>
          <cell r="M22">
            <v>0</v>
          </cell>
        </row>
        <row r="23">
          <cell r="A23" t="str">
            <v>X-Cure Potion</v>
          </cell>
          <cell r="B23" t="str">
            <v>X-Cure Potion</v>
          </cell>
          <cell r="C23" t="str">
            <v>X-Cure</v>
          </cell>
          <cell r="D23" t="str">
            <v>Potion</v>
          </cell>
          <cell r="E23">
            <v>30</v>
          </cell>
          <cell r="F23" t="str">
            <v>1E</v>
          </cell>
          <cell r="G23">
            <v>4</v>
          </cell>
          <cell r="H23">
            <v>300</v>
          </cell>
          <cell r="L23">
            <v>9</v>
          </cell>
          <cell r="M23">
            <v>0</v>
          </cell>
        </row>
        <row r="24">
          <cell r="A24" t="str">
            <v>Curse Potion</v>
          </cell>
          <cell r="B24" t="str">
            <v>Curse Potion</v>
          </cell>
          <cell r="C24" t="str">
            <v>Curse</v>
          </cell>
          <cell r="D24" t="str">
            <v>Potion</v>
          </cell>
          <cell r="E24">
            <v>31</v>
          </cell>
          <cell r="F24" t="str">
            <v>1F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>Long Sword</v>
          </cell>
          <cell r="B25" t="str">
            <v>Long Sword</v>
          </cell>
          <cell r="C25" t="str">
            <v>Long</v>
          </cell>
          <cell r="D25" t="str">
            <v>Sword</v>
          </cell>
          <cell r="E25">
            <v>1</v>
          </cell>
          <cell r="F25" t="str">
            <v>01</v>
          </cell>
          <cell r="G25">
            <v>50</v>
          </cell>
          <cell r="H25">
            <v>400</v>
          </cell>
          <cell r="L25">
            <v>18</v>
          </cell>
          <cell r="M25" t="str">
            <v>Str +4</v>
          </cell>
        </row>
        <row r="26">
          <cell r="A26" t="str">
            <v>Rapier</v>
          </cell>
          <cell r="B26" t="str">
            <v>Rapier</v>
          </cell>
          <cell r="C26" t="str">
            <v>Rapier</v>
          </cell>
          <cell r="D26" t="str">
            <v>Sword</v>
          </cell>
          <cell r="E26">
            <v>15</v>
          </cell>
          <cell r="F26" t="str">
            <v>0F</v>
          </cell>
          <cell r="G26">
            <v>50</v>
          </cell>
          <cell r="H26">
            <v>400</v>
          </cell>
          <cell r="L26">
            <v>18</v>
          </cell>
          <cell r="M26" t="str">
            <v>Agl +4</v>
          </cell>
        </row>
        <row r="27">
          <cell r="A27" t="str">
            <v>Whip</v>
          </cell>
          <cell r="B27" t="str">
            <v>Whip</v>
          </cell>
          <cell r="C27" t="str">
            <v>Whip</v>
          </cell>
          <cell r="D27" t="str">
            <v>Whip</v>
          </cell>
          <cell r="E27">
            <v>72</v>
          </cell>
          <cell r="F27">
            <v>48</v>
          </cell>
          <cell r="G27">
            <v>40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Silver Glove</v>
          </cell>
          <cell r="B28" t="str">
            <v>Silver Glove</v>
          </cell>
          <cell r="C28" t="str">
            <v>Silver</v>
          </cell>
          <cell r="D28" t="str">
            <v>Glove</v>
          </cell>
          <cell r="E28">
            <v>59</v>
          </cell>
          <cell r="F28" t="str">
            <v>3B</v>
          </cell>
          <cell r="G28">
            <v>-2</v>
          </cell>
          <cell r="H28">
            <v>700</v>
          </cell>
          <cell r="I28">
            <v>2</v>
          </cell>
          <cell r="L28">
            <v>27</v>
          </cell>
          <cell r="M28" t="str">
            <v>Def +6</v>
          </cell>
        </row>
        <row r="29">
          <cell r="A29" t="str">
            <v>Soft Potion</v>
          </cell>
          <cell r="B29" t="str">
            <v>Soft Potion</v>
          </cell>
          <cell r="C29" t="str">
            <v>Soft</v>
          </cell>
          <cell r="D29" t="str">
            <v>Potion</v>
          </cell>
          <cell r="E29">
            <v>66</v>
          </cell>
          <cell r="F29">
            <v>42</v>
          </cell>
          <cell r="G29">
            <v>4</v>
          </cell>
          <cell r="H29">
            <v>1000</v>
          </cell>
          <cell r="L29">
            <v>9</v>
          </cell>
          <cell r="M29">
            <v>0</v>
          </cell>
        </row>
        <row r="30">
          <cell r="A30" t="str">
            <v>Power Potion</v>
          </cell>
          <cell r="B30" t="str">
            <v>Power Potion</v>
          </cell>
          <cell r="C30" t="str">
            <v>Power</v>
          </cell>
          <cell r="D30" t="str">
            <v>Potion</v>
          </cell>
          <cell r="E30">
            <v>67</v>
          </cell>
          <cell r="F30">
            <v>43</v>
          </cell>
          <cell r="G30">
            <v>1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Speed Potion</v>
          </cell>
          <cell r="B31" t="str">
            <v>Speed Potion</v>
          </cell>
          <cell r="C31" t="str">
            <v>Speed</v>
          </cell>
          <cell r="D31" t="str">
            <v>Potion</v>
          </cell>
          <cell r="E31">
            <v>68</v>
          </cell>
          <cell r="F31">
            <v>44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Magic Potion</v>
          </cell>
          <cell r="B32" t="str">
            <v>Magic Potion</v>
          </cell>
          <cell r="C32" t="str">
            <v>Magic</v>
          </cell>
          <cell r="D32" t="str">
            <v>Potion</v>
          </cell>
          <cell r="E32">
            <v>69</v>
          </cell>
          <cell r="F32">
            <v>45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Body Potion</v>
          </cell>
          <cell r="B33" t="str">
            <v>Body Potion</v>
          </cell>
          <cell r="C33" t="str">
            <v>Body</v>
          </cell>
          <cell r="D33" t="str">
            <v>Potion</v>
          </cell>
          <cell r="E33">
            <v>70</v>
          </cell>
          <cell r="F33">
            <v>46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Axe</v>
          </cell>
          <cell r="B34" t="str">
            <v>Axe</v>
          </cell>
          <cell r="C34" t="str">
            <v>Axe</v>
          </cell>
          <cell r="D34" t="str">
            <v>Axe</v>
          </cell>
          <cell r="E34">
            <v>2</v>
          </cell>
          <cell r="F34" t="str">
            <v>02</v>
          </cell>
          <cell r="G34">
            <v>50</v>
          </cell>
          <cell r="H34">
            <v>1400</v>
          </cell>
          <cell r="L34">
            <v>27</v>
          </cell>
          <cell r="M34" t="str">
            <v>Str +6</v>
          </cell>
        </row>
        <row r="35">
          <cell r="A35" t="str">
            <v>Silver Shield</v>
          </cell>
          <cell r="B35" t="str">
            <v>Silver Shield</v>
          </cell>
          <cell r="C35" t="str">
            <v>Silver</v>
          </cell>
          <cell r="D35" t="str">
            <v>Shield</v>
          </cell>
          <cell r="E35">
            <v>24</v>
          </cell>
          <cell r="F35">
            <v>18</v>
          </cell>
          <cell r="G35">
            <v>50</v>
          </cell>
          <cell r="H35">
            <v>1400</v>
          </cell>
          <cell r="L35">
            <v>27</v>
          </cell>
          <cell r="M35" t="str">
            <v>Def +6</v>
          </cell>
        </row>
        <row r="36">
          <cell r="A36" t="str">
            <v>Silver Helm</v>
          </cell>
          <cell r="B36" t="str">
            <v>Silver Helm</v>
          </cell>
          <cell r="C36" t="str">
            <v>Silver</v>
          </cell>
          <cell r="D36" t="str">
            <v>Helm</v>
          </cell>
          <cell r="E36">
            <v>50</v>
          </cell>
          <cell r="F36">
            <v>32</v>
          </cell>
          <cell r="G36">
            <v>-2</v>
          </cell>
          <cell r="H36">
            <v>1400</v>
          </cell>
          <cell r="I36">
            <v>4</v>
          </cell>
          <cell r="L36">
            <v>27</v>
          </cell>
          <cell r="M36" t="str">
            <v>Def +6</v>
          </cell>
        </row>
        <row r="37">
          <cell r="A37" t="str">
            <v>Colt Gun</v>
          </cell>
          <cell r="B37" t="str">
            <v>Colt Gun</v>
          </cell>
          <cell r="C37" t="str">
            <v>Colt</v>
          </cell>
          <cell r="D37" t="str">
            <v>Gun</v>
          </cell>
          <cell r="E37">
            <v>76</v>
          </cell>
          <cell r="F37" t="str">
            <v>4C</v>
          </cell>
          <cell r="G37">
            <v>50</v>
          </cell>
          <cell r="H37">
            <v>1400</v>
          </cell>
          <cell r="L37">
            <v>27</v>
          </cell>
          <cell r="M37" t="str">
            <v>Str +6</v>
          </cell>
        </row>
        <row r="38">
          <cell r="A38" t="str">
            <v>JumpKick</v>
          </cell>
          <cell r="B38" t="str">
            <v>JumpKick</v>
          </cell>
          <cell r="C38" t="str">
            <v>JumpKick</v>
          </cell>
          <cell r="D38" t="str">
            <v>Art</v>
          </cell>
          <cell r="E38">
            <v>80</v>
          </cell>
          <cell r="F38">
            <v>50</v>
          </cell>
          <cell r="G38">
            <v>60</v>
          </cell>
          <cell r="H38">
            <v>1400</v>
          </cell>
          <cell r="L38">
            <v>27</v>
          </cell>
          <cell r="M38" t="str">
            <v>Agl +6</v>
          </cell>
        </row>
        <row r="39">
          <cell r="A39" t="str">
            <v>Stun Gun</v>
          </cell>
          <cell r="B39" t="str">
            <v>Stun Gun</v>
          </cell>
          <cell r="C39" t="str">
            <v>Stun</v>
          </cell>
          <cell r="D39" t="str">
            <v>Gun</v>
          </cell>
          <cell r="E39">
            <v>86</v>
          </cell>
          <cell r="F39">
            <v>56</v>
          </cell>
          <cell r="G39">
            <v>40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Psi Knife</v>
          </cell>
          <cell r="B40" t="str">
            <v>Psi Knife</v>
          </cell>
          <cell r="C40" t="str">
            <v>Psi</v>
          </cell>
          <cell r="D40" t="str">
            <v>Knife</v>
          </cell>
          <cell r="E40">
            <v>109</v>
          </cell>
          <cell r="F40" t="str">
            <v>6D</v>
          </cell>
          <cell r="G40">
            <v>50</v>
          </cell>
          <cell r="H40">
            <v>1400</v>
          </cell>
          <cell r="L40">
            <v>27</v>
          </cell>
          <cell r="M40">
            <v>0</v>
          </cell>
        </row>
        <row r="41">
          <cell r="A41" t="str">
            <v>NukeBomb</v>
          </cell>
          <cell r="B41" t="str">
            <v>NukeBomb</v>
          </cell>
          <cell r="C41" t="str">
            <v>NukeBomb</v>
          </cell>
          <cell r="E41">
            <v>97</v>
          </cell>
          <cell r="F41">
            <v>61</v>
          </cell>
          <cell r="G41">
            <v>1</v>
          </cell>
          <cell r="H41">
            <v>1464</v>
          </cell>
          <cell r="L41">
            <v>144</v>
          </cell>
          <cell r="M41">
            <v>0</v>
          </cell>
        </row>
        <row r="42">
          <cell r="A42" t="str">
            <v>Silver Armor</v>
          </cell>
          <cell r="B42" t="str">
            <v>Silver Armor</v>
          </cell>
          <cell r="C42" t="str">
            <v>Silver</v>
          </cell>
          <cell r="D42" t="str">
            <v>Armor</v>
          </cell>
          <cell r="E42">
            <v>54</v>
          </cell>
          <cell r="F42">
            <v>36</v>
          </cell>
          <cell r="G42">
            <v>-2</v>
          </cell>
          <cell r="H42">
            <v>2100</v>
          </cell>
          <cell r="I42">
            <v>7</v>
          </cell>
          <cell r="L42">
            <v>27</v>
          </cell>
          <cell r="M42" t="str">
            <v>Def +6</v>
          </cell>
        </row>
        <row r="43">
          <cell r="A43" t="str">
            <v>Geta Boot</v>
          </cell>
          <cell r="B43" t="str">
            <v>Geta Boot</v>
          </cell>
          <cell r="C43" t="str">
            <v>Geta</v>
          </cell>
          <cell r="D43" t="str">
            <v>Boot</v>
          </cell>
          <cell r="E43">
            <v>101</v>
          </cell>
          <cell r="F43">
            <v>65</v>
          </cell>
          <cell r="G43">
            <v>-2</v>
          </cell>
          <cell r="H43">
            <v>2800</v>
          </cell>
          <cell r="I43">
            <v>2</v>
          </cell>
          <cell r="J43" t="str">
            <v>Str</v>
          </cell>
          <cell r="K43">
            <v>5</v>
          </cell>
          <cell r="L43">
            <v>27</v>
          </cell>
          <cell r="M43" t="str">
            <v>Def +6</v>
          </cell>
        </row>
        <row r="44">
          <cell r="A44" t="str">
            <v>Battle Sword</v>
          </cell>
          <cell r="B44" t="str">
            <v>Battle Sword</v>
          </cell>
          <cell r="C44" t="str">
            <v>Battle</v>
          </cell>
          <cell r="D44" t="str">
            <v>Sword</v>
          </cell>
          <cell r="E44">
            <v>3</v>
          </cell>
          <cell r="F44" t="str">
            <v>03</v>
          </cell>
          <cell r="G44">
            <v>50</v>
          </cell>
          <cell r="H44">
            <v>3200</v>
          </cell>
          <cell r="L44">
            <v>36</v>
          </cell>
          <cell r="M44" t="str">
            <v>Str +8</v>
          </cell>
        </row>
        <row r="45">
          <cell r="A45" t="str">
            <v>Sabre</v>
          </cell>
          <cell r="B45" t="str">
            <v>Sabre</v>
          </cell>
          <cell r="C45" t="str">
            <v>Sabre</v>
          </cell>
          <cell r="D45" t="str">
            <v>Sword</v>
          </cell>
          <cell r="E45">
            <v>16</v>
          </cell>
          <cell r="F45">
            <v>10</v>
          </cell>
          <cell r="G45">
            <v>50</v>
          </cell>
          <cell r="H45">
            <v>3200</v>
          </cell>
          <cell r="L45">
            <v>36</v>
          </cell>
          <cell r="M45" t="str">
            <v>Agl +8</v>
          </cell>
        </row>
        <row r="46">
          <cell r="A46" t="str">
            <v>Gold Glove</v>
          </cell>
          <cell r="B46" t="str">
            <v>Gold Glove</v>
          </cell>
          <cell r="C46" t="str">
            <v>Gold</v>
          </cell>
          <cell r="D46" t="str">
            <v>Glove</v>
          </cell>
          <cell r="E46">
            <v>60</v>
          </cell>
          <cell r="F46" t="str">
            <v>3C</v>
          </cell>
          <cell r="G46">
            <v>-2</v>
          </cell>
          <cell r="H46">
            <v>3400</v>
          </cell>
          <cell r="I46">
            <v>4</v>
          </cell>
          <cell r="L46">
            <v>45</v>
          </cell>
          <cell r="M46" t="str">
            <v>Def +10</v>
          </cell>
        </row>
        <row r="47">
          <cell r="A47" t="str">
            <v>Kimono</v>
          </cell>
          <cell r="B47" t="str">
            <v>Kimono</v>
          </cell>
          <cell r="C47" t="str">
            <v>Kimono</v>
          </cell>
          <cell r="D47" t="str">
            <v>Armor</v>
          </cell>
          <cell r="E47">
            <v>104</v>
          </cell>
          <cell r="F47">
            <v>68</v>
          </cell>
          <cell r="G47">
            <v>-2</v>
          </cell>
          <cell r="H47">
            <v>4800</v>
          </cell>
          <cell r="I47">
            <v>10</v>
          </cell>
          <cell r="J47" t="str">
            <v>Agl</v>
          </cell>
          <cell r="K47">
            <v>5</v>
          </cell>
          <cell r="L47">
            <v>9</v>
          </cell>
          <cell r="M47" t="str">
            <v>Def +2</v>
          </cell>
        </row>
        <row r="48">
          <cell r="A48" t="str">
            <v>Abacus</v>
          </cell>
          <cell r="B48" t="str">
            <v>Abacus</v>
          </cell>
          <cell r="C48" t="str">
            <v>Abacus</v>
          </cell>
          <cell r="E48">
            <v>33</v>
          </cell>
          <cell r="F48">
            <v>21</v>
          </cell>
          <cell r="G48">
            <v>30</v>
          </cell>
          <cell r="H48">
            <v>5000</v>
          </cell>
          <cell r="L48">
            <v>9</v>
          </cell>
          <cell r="M48">
            <v>0</v>
          </cell>
        </row>
        <row r="49">
          <cell r="A49" t="str">
            <v>Elixier</v>
          </cell>
          <cell r="B49" t="str">
            <v>Elixier</v>
          </cell>
          <cell r="C49" t="str">
            <v>Elixier</v>
          </cell>
          <cell r="E49">
            <v>65</v>
          </cell>
          <cell r="F49">
            <v>41</v>
          </cell>
          <cell r="G49">
            <v>1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 xml:space="preserve">Door </v>
          </cell>
          <cell r="B50" t="str">
            <v xml:space="preserve">Door </v>
          </cell>
          <cell r="C50" t="str">
            <v>Door</v>
          </cell>
          <cell r="E50">
            <v>119</v>
          </cell>
          <cell r="F50">
            <v>77</v>
          </cell>
          <cell r="G50">
            <v>3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>Katana</v>
          </cell>
          <cell r="B51" t="str">
            <v>Katana</v>
          </cell>
          <cell r="C51" t="str">
            <v>Katana</v>
          </cell>
          <cell r="D51" t="str">
            <v>Sword</v>
          </cell>
          <cell r="E51">
            <v>4</v>
          </cell>
          <cell r="F51" t="str">
            <v>04</v>
          </cell>
          <cell r="G51">
            <v>50</v>
          </cell>
          <cell r="H51">
            <v>6800</v>
          </cell>
          <cell r="L51">
            <v>45</v>
          </cell>
          <cell r="M51" t="str">
            <v>Str +10</v>
          </cell>
        </row>
        <row r="52">
          <cell r="A52" t="str">
            <v>Gold Bow</v>
          </cell>
          <cell r="B52" t="str">
            <v>Gold Bow</v>
          </cell>
          <cell r="C52" t="str">
            <v>Gold</v>
          </cell>
          <cell r="D52" t="str">
            <v>Bow</v>
          </cell>
          <cell r="E52">
            <v>22</v>
          </cell>
          <cell r="F52">
            <v>16</v>
          </cell>
          <cell r="G52">
            <v>50</v>
          </cell>
          <cell r="H52">
            <v>6800</v>
          </cell>
          <cell r="L52">
            <v>45</v>
          </cell>
          <cell r="M52" t="str">
            <v>Agl +10</v>
          </cell>
        </row>
        <row r="53">
          <cell r="A53" t="str">
            <v>Gold Shield</v>
          </cell>
          <cell r="B53" t="str">
            <v>Gold Shield</v>
          </cell>
          <cell r="C53" t="str">
            <v>Gold</v>
          </cell>
          <cell r="D53" t="str">
            <v>Shield</v>
          </cell>
          <cell r="E53">
            <v>25</v>
          </cell>
          <cell r="F53">
            <v>19</v>
          </cell>
          <cell r="G53">
            <v>50</v>
          </cell>
          <cell r="H53">
            <v>6800</v>
          </cell>
          <cell r="L53">
            <v>45</v>
          </cell>
          <cell r="M53" t="str">
            <v>Def +10</v>
          </cell>
        </row>
        <row r="54">
          <cell r="A54" t="str">
            <v>Cure Book</v>
          </cell>
          <cell r="B54" t="str">
            <v>Cure Book</v>
          </cell>
          <cell r="C54" t="str">
            <v>Cure</v>
          </cell>
          <cell r="D54" t="str">
            <v>Book</v>
          </cell>
          <cell r="E54">
            <v>36</v>
          </cell>
          <cell r="F54">
            <v>24</v>
          </cell>
          <cell r="G54">
            <v>30</v>
          </cell>
          <cell r="H54">
            <v>6800</v>
          </cell>
          <cell r="L54">
            <v>45</v>
          </cell>
          <cell r="M54">
            <v>0</v>
          </cell>
        </row>
        <row r="55">
          <cell r="A55" t="str">
            <v>Prayer Book</v>
          </cell>
          <cell r="B55" t="str">
            <v>Prayer Book</v>
          </cell>
          <cell r="C55" t="str">
            <v>Prayer</v>
          </cell>
          <cell r="D55" t="str">
            <v>Book</v>
          </cell>
          <cell r="E55">
            <v>37</v>
          </cell>
          <cell r="F55">
            <v>25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Fire Book</v>
          </cell>
          <cell r="B56" t="str">
            <v>Fire Book</v>
          </cell>
          <cell r="C56" t="str">
            <v>Fire</v>
          </cell>
          <cell r="D56" t="str">
            <v>Book</v>
          </cell>
          <cell r="E56">
            <v>38</v>
          </cell>
          <cell r="F56">
            <v>26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Ice Book</v>
          </cell>
          <cell r="B57" t="str">
            <v>Ice Book</v>
          </cell>
          <cell r="C57" t="str">
            <v>Ice</v>
          </cell>
          <cell r="D57" t="str">
            <v>Book</v>
          </cell>
          <cell r="E57">
            <v>39</v>
          </cell>
          <cell r="F57">
            <v>27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Thunder Book</v>
          </cell>
          <cell r="B58" t="str">
            <v>Thunder Book</v>
          </cell>
          <cell r="C58" t="str">
            <v>Thunder</v>
          </cell>
          <cell r="D58" t="str">
            <v>Book</v>
          </cell>
          <cell r="E58">
            <v>40</v>
          </cell>
          <cell r="F58">
            <v>28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Fog Book</v>
          </cell>
          <cell r="B59" t="str">
            <v>Fog Book</v>
          </cell>
          <cell r="C59" t="str">
            <v>Fog</v>
          </cell>
          <cell r="D59" t="str">
            <v>Book</v>
          </cell>
          <cell r="E59">
            <v>41</v>
          </cell>
          <cell r="F59">
            <v>29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Sleep Book</v>
          </cell>
          <cell r="B60" t="str">
            <v>Sleep Book</v>
          </cell>
          <cell r="C60" t="str">
            <v>Sleep</v>
          </cell>
          <cell r="D60" t="str">
            <v>Book</v>
          </cell>
          <cell r="E60">
            <v>42</v>
          </cell>
          <cell r="F60" t="str">
            <v>2A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Gold Helm</v>
          </cell>
          <cell r="B61" t="str">
            <v>Gold Helm</v>
          </cell>
          <cell r="C61" t="str">
            <v>Gold</v>
          </cell>
          <cell r="D61" t="str">
            <v>Helm</v>
          </cell>
          <cell r="E61">
            <v>51</v>
          </cell>
          <cell r="F61">
            <v>33</v>
          </cell>
          <cell r="G61">
            <v>-2</v>
          </cell>
          <cell r="H61">
            <v>6800</v>
          </cell>
          <cell r="I61">
            <v>8</v>
          </cell>
          <cell r="L61">
            <v>45</v>
          </cell>
          <cell r="M61" t="str">
            <v>Def +10</v>
          </cell>
        </row>
        <row r="62">
          <cell r="A62" t="str">
            <v>Hermes Boot</v>
          </cell>
          <cell r="B62" t="str">
            <v>Hermes Boot</v>
          </cell>
          <cell r="C62" t="str">
            <v>Hermes</v>
          </cell>
          <cell r="D62" t="str">
            <v>Boot</v>
          </cell>
          <cell r="E62">
            <v>63</v>
          </cell>
          <cell r="F62" t="str">
            <v>3F</v>
          </cell>
          <cell r="G62">
            <v>-2</v>
          </cell>
          <cell r="H62">
            <v>6800</v>
          </cell>
          <cell r="I62">
            <v>4</v>
          </cell>
          <cell r="J62" t="str">
            <v>Agl</v>
          </cell>
          <cell r="K62">
            <v>10</v>
          </cell>
          <cell r="L62">
            <v>45</v>
          </cell>
          <cell r="M62" t="str">
            <v>Def +10</v>
          </cell>
        </row>
        <row r="63">
          <cell r="A63" t="str">
            <v>Blitz Whip</v>
          </cell>
          <cell r="B63" t="str">
            <v>Blitz Whip</v>
          </cell>
          <cell r="C63" t="str">
            <v>Blitz</v>
          </cell>
          <cell r="D63" t="str">
            <v>Whip</v>
          </cell>
          <cell r="E63">
            <v>73</v>
          </cell>
          <cell r="F63">
            <v>49</v>
          </cell>
          <cell r="G63">
            <v>40</v>
          </cell>
          <cell r="H63">
            <v>6800</v>
          </cell>
          <cell r="L63">
            <v>45</v>
          </cell>
          <cell r="M63" t="str">
            <v>Agl +10</v>
          </cell>
        </row>
        <row r="64">
          <cell r="A64" t="str">
            <v>ChainSaw</v>
          </cell>
          <cell r="B64" t="str">
            <v>ChainSaw</v>
          </cell>
          <cell r="C64" t="str">
            <v>ChainSaw</v>
          </cell>
          <cell r="E64">
            <v>74</v>
          </cell>
          <cell r="F64" t="str">
            <v>4A</v>
          </cell>
          <cell r="G64">
            <v>30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Counter</v>
          </cell>
          <cell r="B65" t="str">
            <v>Counter</v>
          </cell>
          <cell r="C65" t="str">
            <v>Counter</v>
          </cell>
          <cell r="E65">
            <v>75</v>
          </cell>
          <cell r="F65" t="str">
            <v>4B</v>
          </cell>
          <cell r="G65">
            <v>40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HeadButt</v>
          </cell>
          <cell r="B66" t="str">
            <v>HeadButt</v>
          </cell>
          <cell r="C66" t="str">
            <v>HeadButt</v>
          </cell>
          <cell r="D66" t="str">
            <v>Art</v>
          </cell>
          <cell r="E66">
            <v>81</v>
          </cell>
          <cell r="F66">
            <v>51</v>
          </cell>
          <cell r="G66">
            <v>50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Temptat</v>
          </cell>
          <cell r="B67" t="str">
            <v>Temptat</v>
          </cell>
          <cell r="C67" t="str">
            <v>Temptat</v>
          </cell>
          <cell r="E67">
            <v>85</v>
          </cell>
          <cell r="F67">
            <v>55</v>
          </cell>
          <cell r="G67">
            <v>30</v>
          </cell>
          <cell r="H67">
            <v>6800</v>
          </cell>
          <cell r="L67">
            <v>45</v>
          </cell>
          <cell r="M67">
            <v>0</v>
          </cell>
        </row>
        <row r="68">
          <cell r="A68" t="str">
            <v>SMG</v>
          </cell>
          <cell r="B68" t="str">
            <v>SMG</v>
          </cell>
          <cell r="C68" t="str">
            <v>SMG</v>
          </cell>
          <cell r="D68" t="str">
            <v>Gun</v>
          </cell>
          <cell r="E68">
            <v>90</v>
          </cell>
          <cell r="F68" t="str">
            <v>5A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SpeedUp</v>
          </cell>
          <cell r="B69" t="str">
            <v>SpeedUp</v>
          </cell>
          <cell r="C69" t="str">
            <v>SpeedUp</v>
          </cell>
          <cell r="E69">
            <v>112</v>
          </cell>
          <cell r="F69">
            <v>70</v>
          </cell>
          <cell r="G69">
            <v>20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Rocket</v>
          </cell>
          <cell r="B70" t="str">
            <v>Rocket</v>
          </cell>
          <cell r="C70" t="str">
            <v>Rocket</v>
          </cell>
          <cell r="E70">
            <v>113</v>
          </cell>
          <cell r="F70">
            <v>71</v>
          </cell>
          <cell r="G70">
            <v>30</v>
          </cell>
          <cell r="H70">
            <v>6800</v>
          </cell>
          <cell r="L70">
            <v>45</v>
          </cell>
          <cell r="M70" t="str">
            <v>Str +10</v>
          </cell>
        </row>
        <row r="71">
          <cell r="A71" t="str">
            <v>Revenge Sword</v>
          </cell>
          <cell r="B71" t="str">
            <v>Revenge Sword</v>
          </cell>
          <cell r="C71" t="str">
            <v>Revenge</v>
          </cell>
          <cell r="D71" t="str">
            <v>Sword</v>
          </cell>
          <cell r="E71">
            <v>20</v>
          </cell>
          <cell r="F71">
            <v>14</v>
          </cell>
          <cell r="G71">
            <v>40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Musket</v>
          </cell>
          <cell r="B72" t="str">
            <v>Musket</v>
          </cell>
          <cell r="C72" t="str">
            <v>Musket</v>
          </cell>
          <cell r="D72" t="str">
            <v>Gun</v>
          </cell>
          <cell r="E72">
            <v>77</v>
          </cell>
          <cell r="F72" t="str">
            <v>4D</v>
          </cell>
          <cell r="G72">
            <v>50</v>
          </cell>
          <cell r="H72">
            <v>8000</v>
          </cell>
          <cell r="L72">
            <v>63</v>
          </cell>
          <cell r="M72" t="str">
            <v>Str +14</v>
          </cell>
        </row>
        <row r="73">
          <cell r="A73" t="str">
            <v>Giant Glove</v>
          </cell>
          <cell r="B73" t="str">
            <v>Giant Glove</v>
          </cell>
          <cell r="C73" t="str">
            <v>Giant</v>
          </cell>
          <cell r="D73" t="str">
            <v>Glove</v>
          </cell>
          <cell r="E73">
            <v>61</v>
          </cell>
          <cell r="F73" t="str">
            <v>3D</v>
          </cell>
          <cell r="G73">
            <v>-2</v>
          </cell>
          <cell r="H73">
            <v>8500</v>
          </cell>
          <cell r="I73">
            <v>6</v>
          </cell>
          <cell r="J73" t="str">
            <v>Str</v>
          </cell>
          <cell r="K73">
            <v>10</v>
          </cell>
          <cell r="L73">
            <v>81</v>
          </cell>
          <cell r="M73" t="str">
            <v>Def +18</v>
          </cell>
        </row>
        <row r="74">
          <cell r="A74" t="str">
            <v xml:space="preserve">Parasuit </v>
          </cell>
          <cell r="B74" t="str">
            <v xml:space="preserve">Parasuit </v>
          </cell>
          <cell r="C74" t="str">
            <v>Parasuit</v>
          </cell>
          <cell r="E74">
            <v>118</v>
          </cell>
          <cell r="F74">
            <v>76</v>
          </cell>
          <cell r="G74">
            <v>-2</v>
          </cell>
          <cell r="H74">
            <v>9464</v>
          </cell>
          <cell r="I74">
            <v>73</v>
          </cell>
          <cell r="J74" t="str">
            <v>Str, Agl</v>
          </cell>
          <cell r="K74">
            <v>15</v>
          </cell>
          <cell r="L74">
            <v>144</v>
          </cell>
          <cell r="M74" t="str">
            <v>Def +32</v>
          </cell>
        </row>
        <row r="75">
          <cell r="A75" t="str">
            <v>Gold Armor</v>
          </cell>
          <cell r="B75" t="str">
            <v>Gold Armor</v>
          </cell>
          <cell r="C75" t="str">
            <v>Gold</v>
          </cell>
          <cell r="D75" t="str">
            <v>Armor</v>
          </cell>
          <cell r="E75">
            <v>55</v>
          </cell>
          <cell r="F75">
            <v>37</v>
          </cell>
          <cell r="G75">
            <v>-2</v>
          </cell>
          <cell r="H75">
            <v>10000</v>
          </cell>
          <cell r="I75">
            <v>13</v>
          </cell>
          <cell r="L75">
            <v>45</v>
          </cell>
          <cell r="M75" t="str">
            <v>Def +10</v>
          </cell>
        </row>
        <row r="76">
          <cell r="A76" t="str">
            <v xml:space="preserve">Tent </v>
          </cell>
          <cell r="B76" t="str">
            <v xml:space="preserve">Tent </v>
          </cell>
          <cell r="C76" t="str">
            <v>Tent</v>
          </cell>
          <cell r="E76">
            <v>71</v>
          </cell>
          <cell r="F76">
            <v>47</v>
          </cell>
          <cell r="G76">
            <v>1</v>
          </cell>
          <cell r="H76">
            <v>10000</v>
          </cell>
          <cell r="L76">
            <v>9</v>
          </cell>
          <cell r="M76">
            <v>0</v>
          </cell>
        </row>
        <row r="77">
          <cell r="A77" t="str">
            <v>Gold Sword</v>
          </cell>
          <cell r="B77" t="str">
            <v>Gold Sword</v>
          </cell>
          <cell r="C77" t="str">
            <v>Gold</v>
          </cell>
          <cell r="D77" t="str">
            <v>Sword</v>
          </cell>
          <cell r="E77">
            <v>5</v>
          </cell>
          <cell r="F77" t="str">
            <v>05</v>
          </cell>
          <cell r="G77">
            <v>50</v>
          </cell>
          <cell r="H77">
            <v>11000</v>
          </cell>
          <cell r="L77">
            <v>63</v>
          </cell>
          <cell r="M77" t="str">
            <v>Str +14</v>
          </cell>
        </row>
        <row r="78">
          <cell r="A78" t="str">
            <v>Stone Book</v>
          </cell>
          <cell r="B78" t="str">
            <v>Stone Book</v>
          </cell>
          <cell r="C78" t="str">
            <v>Stone</v>
          </cell>
          <cell r="D78" t="str">
            <v>Book</v>
          </cell>
          <cell r="E78">
            <v>43</v>
          </cell>
          <cell r="F78" t="str">
            <v>2B</v>
          </cell>
          <cell r="G78">
            <v>15</v>
          </cell>
          <cell r="H78">
            <v>11000</v>
          </cell>
          <cell r="L78">
            <v>63</v>
          </cell>
          <cell r="M78">
            <v>0</v>
          </cell>
        </row>
        <row r="79">
          <cell r="A79" t="str">
            <v>Grenade</v>
          </cell>
          <cell r="B79" t="str">
            <v>Grenade</v>
          </cell>
          <cell r="C79" t="str">
            <v>Grenade</v>
          </cell>
          <cell r="E79">
            <v>91</v>
          </cell>
          <cell r="F79" t="str">
            <v>5B</v>
          </cell>
          <cell r="G79">
            <v>30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Sypha</v>
          </cell>
          <cell r="B80" t="str">
            <v>Sypha</v>
          </cell>
          <cell r="C80" t="str">
            <v>Sypha</v>
          </cell>
          <cell r="E80">
            <v>102</v>
          </cell>
          <cell r="F80">
            <v>66</v>
          </cell>
          <cell r="G80">
            <v>50</v>
          </cell>
          <cell r="H80">
            <v>11000</v>
          </cell>
          <cell r="L80">
            <v>63</v>
          </cell>
          <cell r="M80" t="str">
            <v>Str +14</v>
          </cell>
        </row>
        <row r="81">
          <cell r="A81" t="str">
            <v>Coin</v>
          </cell>
          <cell r="B81" t="str">
            <v>Coin</v>
          </cell>
          <cell r="C81" t="str">
            <v>Coin</v>
          </cell>
          <cell r="E81">
            <v>103</v>
          </cell>
          <cell r="F81">
            <v>67</v>
          </cell>
          <cell r="G81">
            <v>50</v>
          </cell>
          <cell r="H81">
            <v>11000</v>
          </cell>
          <cell r="L81">
            <v>63</v>
          </cell>
          <cell r="M81" t="str">
            <v>Agl +14</v>
          </cell>
        </row>
        <row r="82">
          <cell r="A82" t="str">
            <v>Laser Sword</v>
          </cell>
          <cell r="B82" t="str">
            <v>Laser Sword</v>
          </cell>
          <cell r="C82" t="str">
            <v>Laser</v>
          </cell>
          <cell r="D82" t="str">
            <v>Sword</v>
          </cell>
          <cell r="E82">
            <v>108</v>
          </cell>
          <cell r="F82" t="str">
            <v>6C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Flame Sword</v>
          </cell>
          <cell r="B83" t="str">
            <v>Flame Sword</v>
          </cell>
          <cell r="C83" t="str">
            <v>Flame</v>
          </cell>
          <cell r="D83" t="str">
            <v>Sword</v>
          </cell>
          <cell r="E83">
            <v>10</v>
          </cell>
          <cell r="F83" t="str">
            <v>0A</v>
          </cell>
          <cell r="G83">
            <v>40</v>
          </cell>
          <cell r="H83">
            <v>17000</v>
          </cell>
          <cell r="L83">
            <v>81</v>
          </cell>
          <cell r="M83" t="str">
            <v>Str +18</v>
          </cell>
        </row>
        <row r="84">
          <cell r="A84" t="str">
            <v>Ice Sword</v>
          </cell>
          <cell r="B84" t="str">
            <v>Ice Sword</v>
          </cell>
          <cell r="C84" t="str">
            <v>Ice</v>
          </cell>
          <cell r="D84" t="str">
            <v>Sword</v>
          </cell>
          <cell r="E84">
            <v>11</v>
          </cell>
          <cell r="F84" t="str">
            <v>0B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Thunder Axe</v>
          </cell>
          <cell r="B85" t="str">
            <v>Thunder Axe</v>
          </cell>
          <cell r="C85" t="str">
            <v>Thunder</v>
          </cell>
          <cell r="D85" t="str">
            <v>Axe</v>
          </cell>
          <cell r="E85">
            <v>12</v>
          </cell>
          <cell r="F85" t="str">
            <v>0C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Flame Shield</v>
          </cell>
          <cell r="B86" t="str">
            <v>Flame Shield</v>
          </cell>
          <cell r="C86" t="str">
            <v>Flame</v>
          </cell>
          <cell r="D86" t="str">
            <v>Shield</v>
          </cell>
          <cell r="E86">
            <v>26</v>
          </cell>
          <cell r="F86" t="str">
            <v>1A</v>
          </cell>
          <cell r="G86">
            <v>30</v>
          </cell>
          <cell r="H86">
            <v>17000</v>
          </cell>
          <cell r="L86">
            <v>81</v>
          </cell>
          <cell r="M86" t="str">
            <v>Def +18</v>
          </cell>
        </row>
        <row r="87">
          <cell r="A87" t="str">
            <v>Ice Shield</v>
          </cell>
          <cell r="B87" t="str">
            <v>Ice Shield</v>
          </cell>
          <cell r="C87" t="str">
            <v>Ice</v>
          </cell>
          <cell r="D87" t="str">
            <v>Shield</v>
          </cell>
          <cell r="E87">
            <v>27</v>
          </cell>
          <cell r="F87" t="str">
            <v>1B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Death Book</v>
          </cell>
          <cell r="B88" t="str">
            <v>Death Book</v>
          </cell>
          <cell r="C88" t="str">
            <v>Death</v>
          </cell>
          <cell r="D88" t="str">
            <v>Book</v>
          </cell>
          <cell r="E88">
            <v>44</v>
          </cell>
          <cell r="F88" t="str">
            <v>2C</v>
          </cell>
          <cell r="G88">
            <v>15</v>
          </cell>
          <cell r="H88">
            <v>17000</v>
          </cell>
          <cell r="L88">
            <v>81</v>
          </cell>
          <cell r="M88">
            <v>0</v>
          </cell>
        </row>
        <row r="89">
          <cell r="A89" t="str">
            <v>Mage Staff</v>
          </cell>
          <cell r="B89" t="str">
            <v>Mage Staff</v>
          </cell>
          <cell r="C89" t="str">
            <v>Mage</v>
          </cell>
          <cell r="D89" t="str">
            <v>Staff</v>
          </cell>
          <cell r="E89">
            <v>45</v>
          </cell>
          <cell r="F89" t="str">
            <v>2D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Heal Staff</v>
          </cell>
          <cell r="B90" t="str">
            <v>Heal Staff</v>
          </cell>
          <cell r="C90" t="str">
            <v>Heal</v>
          </cell>
          <cell r="D90" t="str">
            <v>Staff</v>
          </cell>
          <cell r="E90">
            <v>47</v>
          </cell>
          <cell r="F90" t="str">
            <v>2F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Hecate Boot</v>
          </cell>
          <cell r="B91" t="str">
            <v>Hecate Boot</v>
          </cell>
          <cell r="C91" t="str">
            <v>Hecate</v>
          </cell>
          <cell r="D91" t="str">
            <v>Boot</v>
          </cell>
          <cell r="E91">
            <v>64</v>
          </cell>
          <cell r="F91">
            <v>40</v>
          </cell>
          <cell r="G91">
            <v>-2</v>
          </cell>
          <cell r="H91">
            <v>17000</v>
          </cell>
          <cell r="I91">
            <v>6</v>
          </cell>
          <cell r="J91" t="str">
            <v>Mana</v>
          </cell>
          <cell r="K91">
            <v>15</v>
          </cell>
          <cell r="L91">
            <v>81</v>
          </cell>
          <cell r="M91" t="str">
            <v>Def +18</v>
          </cell>
        </row>
        <row r="92">
          <cell r="A92" t="str">
            <v>Magnum</v>
          </cell>
          <cell r="B92" t="str">
            <v>Magnum</v>
          </cell>
          <cell r="C92" t="str">
            <v>Magnum</v>
          </cell>
          <cell r="D92" t="str">
            <v>Gun</v>
          </cell>
          <cell r="E92">
            <v>78</v>
          </cell>
          <cell r="F92" t="str">
            <v>4E</v>
          </cell>
          <cell r="G92">
            <v>50</v>
          </cell>
          <cell r="H92">
            <v>17000</v>
          </cell>
          <cell r="L92">
            <v>81</v>
          </cell>
          <cell r="M92" t="str">
            <v>Str +18</v>
          </cell>
        </row>
        <row r="93">
          <cell r="A93" t="str">
            <v>FlyingKick</v>
          </cell>
          <cell r="B93" t="str">
            <v>FlyingKick</v>
          </cell>
          <cell r="C93" t="str">
            <v>FlyingKick</v>
          </cell>
          <cell r="D93" t="str">
            <v>Art</v>
          </cell>
          <cell r="E93">
            <v>82</v>
          </cell>
          <cell r="F93">
            <v>52</v>
          </cell>
          <cell r="G93">
            <v>50</v>
          </cell>
          <cell r="H93">
            <v>17000</v>
          </cell>
          <cell r="L93">
            <v>81</v>
          </cell>
          <cell r="M93" t="str">
            <v>Agl +18</v>
          </cell>
        </row>
        <row r="94">
          <cell r="A94" t="str">
            <v>Bazooka</v>
          </cell>
          <cell r="B94" t="str">
            <v>Bazooka</v>
          </cell>
          <cell r="C94" t="str">
            <v>Bazooka</v>
          </cell>
          <cell r="D94" t="str">
            <v>Cannon</v>
          </cell>
          <cell r="E94">
            <v>92</v>
          </cell>
          <cell r="F94" t="str">
            <v>5C</v>
          </cell>
          <cell r="G94">
            <v>30</v>
          </cell>
          <cell r="H94">
            <v>17000</v>
          </cell>
          <cell r="L94">
            <v>81</v>
          </cell>
          <cell r="M94">
            <v>0</v>
          </cell>
        </row>
        <row r="95">
          <cell r="A95" t="str">
            <v>Fire Gun</v>
          </cell>
          <cell r="B95" t="str">
            <v>Fire Gun</v>
          </cell>
          <cell r="C95" t="str">
            <v>Fire</v>
          </cell>
          <cell r="D95" t="str">
            <v>Gun</v>
          </cell>
          <cell r="E95">
            <v>95</v>
          </cell>
          <cell r="F95" t="str">
            <v>5F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Army Helm</v>
          </cell>
          <cell r="B96" t="str">
            <v>Army Helm</v>
          </cell>
          <cell r="C96" t="str">
            <v>Army</v>
          </cell>
          <cell r="D96" t="str">
            <v>Helm</v>
          </cell>
          <cell r="E96">
            <v>99</v>
          </cell>
          <cell r="F96">
            <v>63</v>
          </cell>
          <cell r="G96">
            <v>-2</v>
          </cell>
          <cell r="H96">
            <v>17000</v>
          </cell>
          <cell r="I96">
            <v>13</v>
          </cell>
          <cell r="L96">
            <v>81</v>
          </cell>
          <cell r="M96" t="str">
            <v>Def +18</v>
          </cell>
        </row>
        <row r="97">
          <cell r="A97" t="str">
            <v>Army Armor</v>
          </cell>
          <cell r="B97" t="str">
            <v>Army Armor</v>
          </cell>
          <cell r="C97" t="str">
            <v>Army</v>
          </cell>
          <cell r="D97" t="str">
            <v>Armor</v>
          </cell>
          <cell r="E97">
            <v>100</v>
          </cell>
          <cell r="F97">
            <v>64</v>
          </cell>
          <cell r="G97">
            <v>-2</v>
          </cell>
          <cell r="H97">
            <v>17000</v>
          </cell>
          <cell r="I97">
            <v>16</v>
          </cell>
          <cell r="L97">
            <v>63</v>
          </cell>
          <cell r="M97" t="str">
            <v>Def +14</v>
          </cell>
        </row>
        <row r="98">
          <cell r="A98" t="str">
            <v>Psi Sword</v>
          </cell>
          <cell r="B98" t="str">
            <v>Psi Sword</v>
          </cell>
          <cell r="C98" t="str">
            <v>Psi</v>
          </cell>
          <cell r="D98" t="str">
            <v>Sword</v>
          </cell>
          <cell r="E98">
            <v>110</v>
          </cell>
          <cell r="F98" t="str">
            <v>6E</v>
          </cell>
          <cell r="G98">
            <v>50</v>
          </cell>
          <cell r="H98">
            <v>17000</v>
          </cell>
          <cell r="L98">
            <v>81</v>
          </cell>
          <cell r="M98">
            <v>0</v>
          </cell>
        </row>
        <row r="99">
          <cell r="A99" t="str">
            <v>Giant Helm</v>
          </cell>
          <cell r="B99" t="str">
            <v>Giant Helm</v>
          </cell>
          <cell r="C99" t="str">
            <v>Giant</v>
          </cell>
          <cell r="D99" t="str">
            <v>Helm</v>
          </cell>
          <cell r="E99">
            <v>115</v>
          </cell>
          <cell r="F99">
            <v>73</v>
          </cell>
          <cell r="G99">
            <v>-2</v>
          </cell>
          <cell r="H99">
            <v>17000</v>
          </cell>
          <cell r="I99">
            <v>13</v>
          </cell>
          <cell r="J99" t="str">
            <v>Str</v>
          </cell>
          <cell r="K99">
            <v>10</v>
          </cell>
          <cell r="L99">
            <v>81</v>
          </cell>
          <cell r="M99" t="str">
            <v>Def +18</v>
          </cell>
        </row>
        <row r="100">
          <cell r="A100" t="str">
            <v>Ninja Glove</v>
          </cell>
          <cell r="B100" t="str">
            <v>Ninja Glove</v>
          </cell>
          <cell r="C100" t="str">
            <v>Ninja</v>
          </cell>
          <cell r="D100" t="str">
            <v>Glove</v>
          </cell>
          <cell r="E100">
            <v>62</v>
          </cell>
          <cell r="F100" t="str">
            <v>3E</v>
          </cell>
          <cell r="G100">
            <v>-2</v>
          </cell>
          <cell r="H100">
            <v>18000</v>
          </cell>
          <cell r="I100">
            <v>10</v>
          </cell>
          <cell r="L100">
            <v>117</v>
          </cell>
          <cell r="M100" t="str">
            <v>Def +26</v>
          </cell>
        </row>
        <row r="101">
          <cell r="A101" t="str">
            <v>Coral Sword</v>
          </cell>
          <cell r="B101" t="str">
            <v>Coral Sword</v>
          </cell>
          <cell r="C101" t="str">
            <v>Coral</v>
          </cell>
          <cell r="D101" t="str">
            <v>Sword</v>
          </cell>
          <cell r="E101">
            <v>6</v>
          </cell>
          <cell r="F101" t="str">
            <v>06</v>
          </cell>
          <cell r="G101">
            <v>40</v>
          </cell>
          <cell r="H101">
            <v>26000</v>
          </cell>
          <cell r="L101">
            <v>99</v>
          </cell>
          <cell r="M101" t="str">
            <v>Str +22</v>
          </cell>
        </row>
        <row r="102">
          <cell r="A102" t="str">
            <v>Ogre Axe</v>
          </cell>
          <cell r="B102" t="str">
            <v>Ogre Axe</v>
          </cell>
          <cell r="C102" t="str">
            <v>Ogre</v>
          </cell>
          <cell r="D102" t="str">
            <v>Axe</v>
          </cell>
          <cell r="E102">
            <v>7</v>
          </cell>
          <cell r="F102" t="str">
            <v>07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Dragon Armor</v>
          </cell>
          <cell r="B103" t="str">
            <v>Dragon Armor</v>
          </cell>
          <cell r="C103" t="str">
            <v>Dragon</v>
          </cell>
          <cell r="D103" t="str">
            <v>Armor</v>
          </cell>
          <cell r="E103">
            <v>56</v>
          </cell>
          <cell r="F103">
            <v>38</v>
          </cell>
          <cell r="G103">
            <v>-2</v>
          </cell>
          <cell r="H103">
            <v>26000</v>
          </cell>
          <cell r="I103">
            <v>21</v>
          </cell>
          <cell r="L103">
            <v>81</v>
          </cell>
          <cell r="M103" t="str">
            <v>Def +18</v>
          </cell>
        </row>
        <row r="104">
          <cell r="A104" t="str">
            <v>Vulcan</v>
          </cell>
          <cell r="B104" t="str">
            <v>Vulcan</v>
          </cell>
          <cell r="C104" t="str">
            <v>Vulcan</v>
          </cell>
          <cell r="D104" t="str">
            <v>Cannon</v>
          </cell>
          <cell r="E104">
            <v>93</v>
          </cell>
          <cell r="F104" t="str">
            <v>5D</v>
          </cell>
          <cell r="G104">
            <v>30</v>
          </cell>
          <cell r="H104">
            <v>26000</v>
          </cell>
          <cell r="L104">
            <v>99</v>
          </cell>
          <cell r="M104">
            <v>0</v>
          </cell>
        </row>
        <row r="105">
          <cell r="A105" t="str">
            <v>Giant Armor</v>
          </cell>
          <cell r="B105" t="str">
            <v>Giant Armor</v>
          </cell>
          <cell r="C105" t="str">
            <v>Giant</v>
          </cell>
          <cell r="D105" t="str">
            <v>Armor</v>
          </cell>
          <cell r="E105">
            <v>98</v>
          </cell>
          <cell r="F105">
            <v>62</v>
          </cell>
          <cell r="G105">
            <v>-2</v>
          </cell>
          <cell r="H105">
            <v>26000</v>
          </cell>
          <cell r="I105">
            <v>20</v>
          </cell>
          <cell r="J105" t="str">
            <v>Str</v>
          </cell>
          <cell r="K105">
            <v>10</v>
          </cell>
          <cell r="L105">
            <v>81</v>
          </cell>
          <cell r="M105" t="str">
            <v>Def +18</v>
          </cell>
        </row>
        <row r="106">
          <cell r="A106" t="str">
            <v>Samurai Shield</v>
          </cell>
          <cell r="B106" t="str">
            <v>Samurai Shield</v>
          </cell>
          <cell r="C106" t="str">
            <v>Samurai</v>
          </cell>
          <cell r="D106" t="str">
            <v>Shield</v>
          </cell>
          <cell r="E106">
            <v>105</v>
          </cell>
          <cell r="F106">
            <v>69</v>
          </cell>
          <cell r="G106">
            <v>50</v>
          </cell>
          <cell r="H106">
            <v>26000</v>
          </cell>
          <cell r="L106">
            <v>99</v>
          </cell>
          <cell r="M106" t="str">
            <v>Def +22</v>
          </cell>
        </row>
        <row r="107">
          <cell r="A107" t="str">
            <v>Muramas</v>
          </cell>
          <cell r="B107" t="str">
            <v>Muramas</v>
          </cell>
          <cell r="C107" t="str">
            <v>Muramas</v>
          </cell>
          <cell r="D107" t="str">
            <v>Sword</v>
          </cell>
          <cell r="E107">
            <v>106</v>
          </cell>
          <cell r="F107" t="str">
            <v>6A</v>
          </cell>
          <cell r="G107">
            <v>40</v>
          </cell>
          <cell r="H107">
            <v>26000</v>
          </cell>
          <cell r="L107">
            <v>99</v>
          </cell>
          <cell r="M107" t="str">
            <v>Str +22</v>
          </cell>
        </row>
        <row r="108">
          <cell r="A108" t="str">
            <v>CatClaw</v>
          </cell>
          <cell r="B108" t="str">
            <v>CatClaw</v>
          </cell>
          <cell r="C108" t="str">
            <v>CatClaw</v>
          </cell>
          <cell r="D108" t="str">
            <v>Knife</v>
          </cell>
          <cell r="E108">
            <v>17</v>
          </cell>
          <cell r="F108">
            <v>11</v>
          </cell>
          <cell r="G108">
            <v>50</v>
          </cell>
          <cell r="H108">
            <v>26000</v>
          </cell>
          <cell r="L108">
            <v>99</v>
          </cell>
          <cell r="M108" t="str">
            <v>Agl +22</v>
          </cell>
        </row>
        <row r="109">
          <cell r="A109" t="str">
            <v>Dragon Sword</v>
          </cell>
          <cell r="B109" t="str">
            <v>Dragon Sword</v>
          </cell>
          <cell r="C109" t="str">
            <v>Dragon</v>
          </cell>
          <cell r="D109" t="str">
            <v>Sword</v>
          </cell>
          <cell r="E109">
            <v>8</v>
          </cell>
          <cell r="F109" t="str">
            <v>08</v>
          </cell>
          <cell r="G109">
            <v>40</v>
          </cell>
          <cell r="H109">
            <v>36000</v>
          </cell>
          <cell r="L109">
            <v>117</v>
          </cell>
          <cell r="M109" t="str">
            <v>Str +26</v>
          </cell>
        </row>
        <row r="110">
          <cell r="A110" t="str">
            <v>Defend Sword</v>
          </cell>
          <cell r="B110" t="str">
            <v>Defend Sword</v>
          </cell>
          <cell r="C110" t="str">
            <v>Defend</v>
          </cell>
          <cell r="D110" t="str">
            <v>Sword</v>
          </cell>
          <cell r="E110">
            <v>13</v>
          </cell>
          <cell r="F110" t="str">
            <v>0D</v>
          </cell>
          <cell r="G110">
            <v>40</v>
          </cell>
          <cell r="H110">
            <v>36000</v>
          </cell>
          <cell r="L110">
            <v>117</v>
          </cell>
          <cell r="M110" t="str">
            <v>Def +26</v>
          </cell>
        </row>
        <row r="111">
          <cell r="A111" t="str">
            <v>Rune Axe</v>
          </cell>
          <cell r="B111" t="str">
            <v>Rune Axe</v>
          </cell>
          <cell r="C111" t="str">
            <v>Rune</v>
          </cell>
          <cell r="D111" t="str">
            <v>Axe</v>
          </cell>
          <cell r="E111">
            <v>14</v>
          </cell>
          <cell r="F111" t="str">
            <v>0E</v>
          </cell>
          <cell r="G111">
            <v>40</v>
          </cell>
          <cell r="H111">
            <v>36000</v>
          </cell>
          <cell r="L111">
            <v>45</v>
          </cell>
          <cell r="M111">
            <v>0</v>
          </cell>
        </row>
        <row r="112">
          <cell r="A112" t="str">
            <v>Dragon Shield</v>
          </cell>
          <cell r="B112" t="str">
            <v>Dragon Shield</v>
          </cell>
          <cell r="C112" t="str">
            <v>Dragon</v>
          </cell>
          <cell r="D112" t="str">
            <v>Shield</v>
          </cell>
          <cell r="E112">
            <v>28</v>
          </cell>
          <cell r="F112" t="str">
            <v>1C</v>
          </cell>
          <cell r="G112">
            <v>30</v>
          </cell>
          <cell r="H112">
            <v>36000</v>
          </cell>
          <cell r="L112">
            <v>117</v>
          </cell>
          <cell r="M112" t="str">
            <v>Def +26</v>
          </cell>
        </row>
        <row r="113">
          <cell r="A113" t="str">
            <v>Samurai Bow</v>
          </cell>
          <cell r="B113" t="str">
            <v>Samurai Bow</v>
          </cell>
          <cell r="C113" t="str">
            <v>Samurai</v>
          </cell>
          <cell r="D113" t="str">
            <v>Bow</v>
          </cell>
          <cell r="E113">
            <v>35</v>
          </cell>
          <cell r="F113">
            <v>23</v>
          </cell>
          <cell r="G113">
            <v>30</v>
          </cell>
          <cell r="H113">
            <v>36000</v>
          </cell>
          <cell r="L113">
            <v>117</v>
          </cell>
          <cell r="M113" t="str">
            <v>Agl +26</v>
          </cell>
        </row>
        <row r="114">
          <cell r="A114" t="str">
            <v>Wizard Staff</v>
          </cell>
          <cell r="B114" t="str">
            <v>Wizard Staff</v>
          </cell>
          <cell r="C114" t="str">
            <v>Wizard</v>
          </cell>
          <cell r="D114" t="str">
            <v>Staff</v>
          </cell>
          <cell r="E114">
            <v>46</v>
          </cell>
          <cell r="F114" t="str">
            <v>2E</v>
          </cell>
          <cell r="G114">
            <v>10</v>
          </cell>
          <cell r="H114">
            <v>36000</v>
          </cell>
          <cell r="L114">
            <v>117</v>
          </cell>
          <cell r="M114">
            <v>0</v>
          </cell>
        </row>
        <row r="115">
          <cell r="A115" t="str">
            <v>Dragon Helm</v>
          </cell>
          <cell r="B115" t="str">
            <v>Dragon Helm</v>
          </cell>
          <cell r="C115" t="str">
            <v>Dragon</v>
          </cell>
          <cell r="D115" t="str">
            <v>Helm</v>
          </cell>
          <cell r="E115">
            <v>52</v>
          </cell>
          <cell r="F115">
            <v>34</v>
          </cell>
          <cell r="G115">
            <v>-2</v>
          </cell>
          <cell r="H115">
            <v>36000</v>
          </cell>
          <cell r="I115">
            <v>20</v>
          </cell>
          <cell r="L115">
            <v>117</v>
          </cell>
          <cell r="M115" t="str">
            <v>Def +26</v>
          </cell>
        </row>
        <row r="116">
          <cell r="A116" t="str">
            <v>Jyudo</v>
          </cell>
          <cell r="B116" t="str">
            <v>Jyudo</v>
          </cell>
          <cell r="C116" t="str">
            <v>Jyudo</v>
          </cell>
          <cell r="D116" t="str">
            <v>Art</v>
          </cell>
          <cell r="E116">
            <v>83</v>
          </cell>
          <cell r="F116">
            <v>53</v>
          </cell>
          <cell r="G116">
            <v>40</v>
          </cell>
          <cell r="H116">
            <v>36000</v>
          </cell>
          <cell r="L116">
            <v>117</v>
          </cell>
          <cell r="M116" t="str">
            <v>Agl +26</v>
          </cell>
        </row>
        <row r="117">
          <cell r="A117" t="str">
            <v>Tank</v>
          </cell>
          <cell r="B117" t="str">
            <v>Tank</v>
          </cell>
          <cell r="C117" t="str">
            <v>Tank</v>
          </cell>
          <cell r="D117" t="str">
            <v>Cannon</v>
          </cell>
          <cell r="E117">
            <v>94</v>
          </cell>
          <cell r="F117" t="str">
            <v>5E</v>
          </cell>
          <cell r="G117">
            <v>20</v>
          </cell>
          <cell r="H117">
            <v>36000</v>
          </cell>
          <cell r="L117">
            <v>117</v>
          </cell>
          <cell r="M117">
            <v>0</v>
          </cell>
        </row>
        <row r="118">
          <cell r="A118" t="str">
            <v>Missile</v>
          </cell>
          <cell r="B118" t="str">
            <v>Missile</v>
          </cell>
          <cell r="C118" t="str">
            <v>Missile</v>
          </cell>
          <cell r="D118" t="str">
            <v>Cannon</v>
          </cell>
          <cell r="E118">
            <v>96</v>
          </cell>
          <cell r="F118">
            <v>60</v>
          </cell>
          <cell r="G118">
            <v>10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Laser Gun</v>
          </cell>
          <cell r="B119" t="str">
            <v>Laser Gun</v>
          </cell>
          <cell r="C119" t="str">
            <v>Laser</v>
          </cell>
          <cell r="D119" t="str">
            <v>Gun</v>
          </cell>
          <cell r="E119">
            <v>111</v>
          </cell>
          <cell r="F119" t="str">
            <v>6F</v>
          </cell>
          <cell r="G119">
            <v>30</v>
          </cell>
          <cell r="H119">
            <v>36000</v>
          </cell>
          <cell r="L119">
            <v>117</v>
          </cell>
          <cell r="M119" t="str">
            <v>Agl +26</v>
          </cell>
        </row>
        <row r="120">
          <cell r="A120" t="str">
            <v>Battle Armor</v>
          </cell>
          <cell r="B120" t="str">
            <v>Battle Armor</v>
          </cell>
          <cell r="C120" t="str">
            <v>Battle</v>
          </cell>
          <cell r="D120" t="str">
            <v>Armor</v>
          </cell>
          <cell r="E120">
            <v>117</v>
          </cell>
          <cell r="F120">
            <v>75</v>
          </cell>
          <cell r="G120">
            <v>-2</v>
          </cell>
          <cell r="H120">
            <v>39000</v>
          </cell>
          <cell r="I120">
            <v>26</v>
          </cell>
          <cell r="J120" t="str">
            <v>Str</v>
          </cell>
          <cell r="K120">
            <v>5</v>
          </cell>
          <cell r="L120">
            <v>99</v>
          </cell>
          <cell r="M120" t="str">
            <v>Def +22</v>
          </cell>
        </row>
        <row r="121">
          <cell r="A121" t="str">
            <v>Sun Sword</v>
          </cell>
          <cell r="B121" t="str">
            <v>Sun Sword</v>
          </cell>
          <cell r="C121" t="str">
            <v>Sun</v>
          </cell>
          <cell r="D121" t="str">
            <v>Sword</v>
          </cell>
          <cell r="E121">
            <v>9</v>
          </cell>
          <cell r="F121" t="str">
            <v>09</v>
          </cell>
          <cell r="G121">
            <v>40</v>
          </cell>
          <cell r="H121">
            <v>50000</v>
          </cell>
          <cell r="L121">
            <v>144</v>
          </cell>
          <cell r="M121" t="str">
            <v>Str +32</v>
          </cell>
        </row>
        <row r="122">
          <cell r="A122" t="str">
            <v>Xcalibr</v>
          </cell>
          <cell r="B122" t="str">
            <v>Xcalibr</v>
          </cell>
          <cell r="C122" t="str">
            <v>Xcalibr</v>
          </cell>
          <cell r="D122" t="str">
            <v>Sword</v>
          </cell>
          <cell r="E122">
            <v>34</v>
          </cell>
          <cell r="F122">
            <v>22</v>
          </cell>
          <cell r="G122">
            <v>-2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Flare Book</v>
          </cell>
          <cell r="B123" t="str">
            <v>Flare Book</v>
          </cell>
          <cell r="C123" t="str">
            <v>Flare</v>
          </cell>
          <cell r="D123" t="str">
            <v>Book</v>
          </cell>
          <cell r="E123">
            <v>48</v>
          </cell>
          <cell r="F123">
            <v>30</v>
          </cell>
          <cell r="G123">
            <v>10</v>
          </cell>
          <cell r="H123">
            <v>50000</v>
          </cell>
          <cell r="L123">
            <v>144</v>
          </cell>
          <cell r="M123">
            <v>0</v>
          </cell>
        </row>
        <row r="124">
          <cell r="A124" t="str">
            <v>Karate</v>
          </cell>
          <cell r="B124" t="str">
            <v>Karate</v>
          </cell>
          <cell r="C124" t="str">
            <v>Karate</v>
          </cell>
          <cell r="D124" t="str">
            <v>Art</v>
          </cell>
          <cell r="E124">
            <v>84</v>
          </cell>
          <cell r="F124">
            <v>54</v>
          </cell>
          <cell r="G124">
            <v>40</v>
          </cell>
          <cell r="H124">
            <v>50000</v>
          </cell>
          <cell r="L124">
            <v>144</v>
          </cell>
          <cell r="M124" t="str">
            <v>Agl +32</v>
          </cell>
        </row>
        <row r="125">
          <cell r="A125" t="str">
            <v>Gungnir</v>
          </cell>
          <cell r="B125" t="str">
            <v>Gungnir</v>
          </cell>
          <cell r="C125" t="str">
            <v>Gungnir</v>
          </cell>
          <cell r="D125" t="str">
            <v>Spear</v>
          </cell>
          <cell r="E125">
            <v>107</v>
          </cell>
          <cell r="F125" t="str">
            <v>6B</v>
          </cell>
          <cell r="G125">
            <v>30</v>
          </cell>
          <cell r="H125">
            <v>50000</v>
          </cell>
          <cell r="L125">
            <v>144</v>
          </cell>
          <cell r="M125" t="str">
            <v>Str +32</v>
          </cell>
        </row>
        <row r="126">
          <cell r="A126" t="str">
            <v>Psi Gun</v>
          </cell>
          <cell r="B126" t="str">
            <v>Psi Gun</v>
          </cell>
          <cell r="C126" t="str">
            <v>Psi</v>
          </cell>
          <cell r="D126" t="str">
            <v>Gun</v>
          </cell>
          <cell r="E126">
            <v>114</v>
          </cell>
          <cell r="F126">
            <v>72</v>
          </cell>
          <cell r="G126">
            <v>30</v>
          </cell>
          <cell r="H126">
            <v>50000</v>
          </cell>
          <cell r="L126">
            <v>144</v>
          </cell>
          <cell r="M126" t="str">
            <v xml:space="preserve"> Mana +0</v>
          </cell>
        </row>
        <row r="127">
          <cell r="A127" t="str">
            <v>Hyper Cannon</v>
          </cell>
          <cell r="B127" t="str">
            <v>Hyper Cannon</v>
          </cell>
          <cell r="C127" t="str">
            <v>Hyper</v>
          </cell>
          <cell r="D127" t="str">
            <v>Cannon</v>
          </cell>
          <cell r="E127">
            <v>116</v>
          </cell>
          <cell r="F127">
            <v>74</v>
          </cell>
          <cell r="G127">
            <v>3</v>
          </cell>
          <cell r="H127">
            <v>50000</v>
          </cell>
          <cell r="L127">
            <v>144</v>
          </cell>
          <cell r="M127">
            <v>0</v>
          </cell>
        </row>
        <row r="128">
          <cell r="A128" t="str">
            <v>Glass Sword</v>
          </cell>
          <cell r="B128" t="str">
            <v>Glass Sword</v>
          </cell>
          <cell r="C128" t="str">
            <v>Glass</v>
          </cell>
          <cell r="D128" t="str">
            <v>Sword</v>
          </cell>
          <cell r="E128">
            <v>19</v>
          </cell>
          <cell r="F128">
            <v>13</v>
          </cell>
          <cell r="G128">
            <v>1</v>
          </cell>
          <cell r="H128">
            <v>50000</v>
          </cell>
          <cell r="L128">
            <v>144</v>
          </cell>
          <cell r="M128" t="str">
            <v>Str +32</v>
          </cell>
        </row>
        <row r="129">
          <cell r="A129" t="str">
            <v>Arthur Armor</v>
          </cell>
          <cell r="B129" t="str">
            <v>Arthur Armor</v>
          </cell>
          <cell r="C129" t="str">
            <v>Arthur</v>
          </cell>
          <cell r="D129" t="str">
            <v>Armor</v>
          </cell>
          <cell r="E129">
            <v>57</v>
          </cell>
          <cell r="F129">
            <v>39</v>
          </cell>
          <cell r="G129">
            <v>-2</v>
          </cell>
          <cell r="H129">
            <v>54000</v>
          </cell>
          <cell r="I129">
            <v>31</v>
          </cell>
          <cell r="L129">
            <v>117</v>
          </cell>
          <cell r="M129" t="str">
            <v>Def +26</v>
          </cell>
        </row>
        <row r="130">
          <cell r="A130" t="str">
            <v>Nail</v>
          </cell>
          <cell r="B130" t="str">
            <v>Nail</v>
          </cell>
          <cell r="C130" t="str">
            <v>Nail</v>
          </cell>
          <cell r="E130">
            <v>128</v>
          </cell>
          <cell r="F130">
            <v>80</v>
          </cell>
          <cell r="G130">
            <v>30</v>
          </cell>
          <cell r="L130">
            <v>9</v>
          </cell>
          <cell r="M130">
            <v>0</v>
          </cell>
        </row>
        <row r="131">
          <cell r="A131" t="str">
            <v>Tusk</v>
          </cell>
          <cell r="B131" t="str">
            <v>Tusk</v>
          </cell>
          <cell r="C131" t="str">
            <v>Tusk</v>
          </cell>
          <cell r="E131">
            <v>129</v>
          </cell>
          <cell r="F131">
            <v>81</v>
          </cell>
          <cell r="G131">
            <v>15</v>
          </cell>
          <cell r="L131">
            <v>9</v>
          </cell>
          <cell r="M131">
            <v>0</v>
          </cell>
        </row>
        <row r="132">
          <cell r="A132" t="str">
            <v>Tongue</v>
          </cell>
          <cell r="B132" t="str">
            <v>Tongue</v>
          </cell>
          <cell r="C132" t="str">
            <v>Tongue</v>
          </cell>
          <cell r="E132">
            <v>130</v>
          </cell>
          <cell r="F132">
            <v>82</v>
          </cell>
          <cell r="G132">
            <v>30</v>
          </cell>
          <cell r="L132">
            <v>9</v>
          </cell>
          <cell r="M132">
            <v>0</v>
          </cell>
        </row>
        <row r="133">
          <cell r="A133" t="str">
            <v>Stab</v>
          </cell>
          <cell r="B133" t="str">
            <v>Stab</v>
          </cell>
          <cell r="C133" t="str">
            <v>Stab</v>
          </cell>
          <cell r="E133">
            <v>131</v>
          </cell>
          <cell r="F133">
            <v>83</v>
          </cell>
          <cell r="G133">
            <v>30</v>
          </cell>
          <cell r="L133">
            <v>9</v>
          </cell>
          <cell r="M133">
            <v>0</v>
          </cell>
        </row>
        <row r="134">
          <cell r="A134" t="str">
            <v>Branch</v>
          </cell>
          <cell r="B134" t="str">
            <v>Branch</v>
          </cell>
          <cell r="C134" t="str">
            <v>Branch</v>
          </cell>
          <cell r="E134">
            <v>132</v>
          </cell>
          <cell r="F134">
            <v>84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Bash</v>
          </cell>
          <cell r="B135" t="str">
            <v>Bash</v>
          </cell>
          <cell r="C135" t="str">
            <v>Bash</v>
          </cell>
          <cell r="E135">
            <v>133</v>
          </cell>
          <cell r="F135">
            <v>85</v>
          </cell>
          <cell r="G135">
            <v>15</v>
          </cell>
          <cell r="L135">
            <v>9</v>
          </cell>
          <cell r="M135">
            <v>0</v>
          </cell>
        </row>
        <row r="136">
          <cell r="A136" t="str">
            <v>Punch</v>
          </cell>
          <cell r="B136" t="str">
            <v>Punch</v>
          </cell>
          <cell r="C136" t="str">
            <v>Punch</v>
          </cell>
          <cell r="E136">
            <v>134</v>
          </cell>
          <cell r="F136">
            <v>86</v>
          </cell>
          <cell r="G136">
            <v>30</v>
          </cell>
          <cell r="L136">
            <v>9</v>
          </cell>
          <cell r="M136">
            <v>0</v>
          </cell>
        </row>
        <row r="137">
          <cell r="A137" t="str">
            <v>Kick</v>
          </cell>
          <cell r="B137" t="str">
            <v>Kick</v>
          </cell>
          <cell r="C137" t="str">
            <v>Kick</v>
          </cell>
          <cell r="E137">
            <v>135</v>
          </cell>
          <cell r="F137">
            <v>87</v>
          </cell>
          <cell r="G137">
            <v>15</v>
          </cell>
          <cell r="L137">
            <v>9</v>
          </cell>
          <cell r="M137">
            <v>0</v>
          </cell>
        </row>
        <row r="138">
          <cell r="A138" t="str">
            <v>Horn</v>
          </cell>
          <cell r="B138" t="str">
            <v>Horn</v>
          </cell>
          <cell r="C138" t="str">
            <v>Horn</v>
          </cell>
          <cell r="E138">
            <v>136</v>
          </cell>
          <cell r="F138">
            <v>88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Thorn</v>
          </cell>
          <cell r="B139" t="str">
            <v>Thorn</v>
          </cell>
          <cell r="C139" t="str">
            <v>Thorn</v>
          </cell>
          <cell r="E139">
            <v>137</v>
          </cell>
          <cell r="F139">
            <v>89</v>
          </cell>
          <cell r="G139">
            <v>30</v>
          </cell>
          <cell r="L139">
            <v>9</v>
          </cell>
          <cell r="M139">
            <v>0</v>
          </cell>
        </row>
        <row r="140">
          <cell r="A140" t="str">
            <v>Sword</v>
          </cell>
          <cell r="B140" t="str">
            <v>Sword</v>
          </cell>
          <cell r="C140" t="str">
            <v>Sword</v>
          </cell>
          <cell r="E140">
            <v>138</v>
          </cell>
          <cell r="F140" t="str">
            <v>8A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Head</v>
          </cell>
          <cell r="B141" t="str">
            <v>Head</v>
          </cell>
          <cell r="C141" t="str">
            <v>Head</v>
          </cell>
          <cell r="E141">
            <v>139</v>
          </cell>
          <cell r="F141" t="str">
            <v>8B</v>
          </cell>
          <cell r="G141">
            <v>15</v>
          </cell>
          <cell r="L141">
            <v>9</v>
          </cell>
          <cell r="M141">
            <v>0</v>
          </cell>
        </row>
        <row r="142">
          <cell r="A142" t="str">
            <v>Beak</v>
          </cell>
          <cell r="B142" t="str">
            <v>Beak</v>
          </cell>
          <cell r="C142" t="str">
            <v>Beak</v>
          </cell>
          <cell r="E142">
            <v>140</v>
          </cell>
          <cell r="F142" t="str">
            <v>8C</v>
          </cell>
          <cell r="G142">
            <v>30</v>
          </cell>
          <cell r="L142">
            <v>9</v>
          </cell>
          <cell r="M142">
            <v>0</v>
          </cell>
        </row>
        <row r="143">
          <cell r="A143" t="str">
            <v>Tail</v>
          </cell>
          <cell r="B143" t="str">
            <v>Tail</v>
          </cell>
          <cell r="C143" t="str">
            <v>Tail</v>
          </cell>
          <cell r="E143">
            <v>141</v>
          </cell>
          <cell r="F143" t="str">
            <v>8D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Pincer</v>
          </cell>
          <cell r="B144" t="str">
            <v>Pincer</v>
          </cell>
          <cell r="C144" t="str">
            <v>Pincer</v>
          </cell>
          <cell r="E144">
            <v>142</v>
          </cell>
          <cell r="F144" t="str">
            <v>8E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Fin</v>
          </cell>
          <cell r="B145" t="str">
            <v>Fin</v>
          </cell>
          <cell r="C145" t="str">
            <v>Fin</v>
          </cell>
          <cell r="E145">
            <v>143</v>
          </cell>
          <cell r="F145" t="str">
            <v>8F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Tentacle</v>
          </cell>
          <cell r="B146" t="str">
            <v>Tentacle</v>
          </cell>
          <cell r="C146" t="str">
            <v>Tentacle</v>
          </cell>
          <cell r="E146">
            <v>144</v>
          </cell>
          <cell r="F146">
            <v>90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W-Pincer</v>
          </cell>
          <cell r="B147" t="str">
            <v>W-Pincer</v>
          </cell>
          <cell r="C147" t="str">
            <v>W-Pincer</v>
          </cell>
          <cell r="E147">
            <v>145</v>
          </cell>
          <cell r="F147">
            <v>91</v>
          </cell>
          <cell r="G147">
            <v>15</v>
          </cell>
          <cell r="L147">
            <v>9</v>
          </cell>
          <cell r="M147">
            <v>0</v>
          </cell>
        </row>
        <row r="148">
          <cell r="A148" t="str">
            <v>W-Attack</v>
          </cell>
          <cell r="B148" t="str">
            <v>W-Attack</v>
          </cell>
          <cell r="C148" t="str">
            <v>W-Attack</v>
          </cell>
          <cell r="E148">
            <v>146</v>
          </cell>
          <cell r="F148">
            <v>92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4-Heads</v>
          </cell>
          <cell r="B149" t="str">
            <v>4-Heads</v>
          </cell>
          <cell r="C149" t="str">
            <v>4-Heads</v>
          </cell>
          <cell r="E149">
            <v>147</v>
          </cell>
          <cell r="F149">
            <v>93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8-Legs</v>
          </cell>
          <cell r="B150" t="str">
            <v>8-Legs</v>
          </cell>
          <cell r="C150" t="str">
            <v>8-Legs</v>
          </cell>
          <cell r="E150">
            <v>148</v>
          </cell>
          <cell r="F150">
            <v>94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Touch</v>
          </cell>
          <cell r="B151" t="str">
            <v>Touch</v>
          </cell>
          <cell r="C151" t="str">
            <v>Touch</v>
          </cell>
          <cell r="E151">
            <v>149</v>
          </cell>
          <cell r="F151">
            <v>95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Saw</v>
          </cell>
          <cell r="B152" t="str">
            <v>Saw</v>
          </cell>
          <cell r="C152" t="str">
            <v>Saw</v>
          </cell>
          <cell r="E152">
            <v>150</v>
          </cell>
          <cell r="F152">
            <v>96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Dissolve</v>
          </cell>
          <cell r="B153" t="str">
            <v>Dissolve</v>
          </cell>
          <cell r="C153" t="str">
            <v>Dissolve</v>
          </cell>
          <cell r="E153">
            <v>151</v>
          </cell>
          <cell r="F153">
            <v>97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Absorb</v>
          </cell>
          <cell r="B154" t="str">
            <v>Absorb</v>
          </cell>
          <cell r="C154" t="str">
            <v>Absorb</v>
          </cell>
          <cell r="E154">
            <v>152</v>
          </cell>
          <cell r="F154">
            <v>98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Cure</v>
          </cell>
          <cell r="B155" t="str">
            <v>Cure</v>
          </cell>
          <cell r="C155" t="str">
            <v>Cure</v>
          </cell>
          <cell r="E155">
            <v>153</v>
          </cell>
          <cell r="F155">
            <v>99</v>
          </cell>
          <cell r="G155">
            <v>15</v>
          </cell>
          <cell r="L155">
            <v>9</v>
          </cell>
          <cell r="M155" t="str">
            <v xml:space="preserve"> Mana +0</v>
          </cell>
        </row>
        <row r="156">
          <cell r="A156" t="str">
            <v>Defense</v>
          </cell>
          <cell r="B156" t="str">
            <v>Defense</v>
          </cell>
          <cell r="C156" t="str">
            <v>Defense</v>
          </cell>
          <cell r="E156">
            <v>154</v>
          </cell>
          <cell r="F156" t="str">
            <v>9A</v>
          </cell>
          <cell r="G156">
            <v>30</v>
          </cell>
          <cell r="L156">
            <v>9</v>
          </cell>
          <cell r="M156" t="str">
            <v>Def +2</v>
          </cell>
        </row>
        <row r="157">
          <cell r="A157" t="str">
            <v>Shell</v>
          </cell>
          <cell r="B157" t="str">
            <v>Shell</v>
          </cell>
          <cell r="C157" t="str">
            <v>Shell</v>
          </cell>
          <cell r="E157">
            <v>155</v>
          </cell>
          <cell r="F157" t="str">
            <v>9B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Mirror</v>
          </cell>
          <cell r="B158" t="str">
            <v>Mirror</v>
          </cell>
          <cell r="C158" t="str">
            <v>Mirror</v>
          </cell>
          <cell r="E158">
            <v>157</v>
          </cell>
          <cell r="F158" t="str">
            <v>9D</v>
          </cell>
          <cell r="G158">
            <v>15</v>
          </cell>
          <cell r="L158">
            <v>9</v>
          </cell>
          <cell r="M158" t="str">
            <v xml:space="preserve"> Mana +0</v>
          </cell>
        </row>
        <row r="159">
          <cell r="A159" t="str">
            <v>Backlash</v>
          </cell>
          <cell r="B159" t="str">
            <v>Backlash</v>
          </cell>
          <cell r="C159" t="str">
            <v>Backlash</v>
          </cell>
          <cell r="E159">
            <v>158</v>
          </cell>
          <cell r="F159" t="str">
            <v>9E</v>
          </cell>
          <cell r="G159">
            <v>30</v>
          </cell>
          <cell r="L159">
            <v>9</v>
          </cell>
          <cell r="M159">
            <v>0</v>
          </cell>
        </row>
        <row r="160">
          <cell r="A160" t="str">
            <v>Burning</v>
          </cell>
          <cell r="B160" t="str">
            <v>Burning</v>
          </cell>
          <cell r="C160" t="str">
            <v>Burning</v>
          </cell>
          <cell r="E160">
            <v>159</v>
          </cell>
          <cell r="F160" t="str">
            <v>9F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2-Swords</v>
          </cell>
          <cell r="B161" t="str">
            <v>2-Swords</v>
          </cell>
          <cell r="C161" t="str">
            <v>2-Swords</v>
          </cell>
          <cell r="E161">
            <v>160</v>
          </cell>
          <cell r="F161" t="str">
            <v>A0</v>
          </cell>
          <cell r="G161">
            <v>15</v>
          </cell>
          <cell r="L161">
            <v>9</v>
          </cell>
          <cell r="M161">
            <v>0</v>
          </cell>
        </row>
        <row r="162">
          <cell r="A162" t="str">
            <v>2-Tusks</v>
          </cell>
          <cell r="B162" t="str">
            <v>2-Tusks</v>
          </cell>
          <cell r="C162" t="str">
            <v>2-Tusks</v>
          </cell>
          <cell r="E162">
            <v>161</v>
          </cell>
          <cell r="F162" t="str">
            <v>A1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3-Heads</v>
          </cell>
          <cell r="B163" t="str">
            <v>3-Heads</v>
          </cell>
          <cell r="C163" t="str">
            <v>3-Heads</v>
          </cell>
          <cell r="E163">
            <v>162</v>
          </cell>
          <cell r="F163" t="str">
            <v>A2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3-Horns</v>
          </cell>
          <cell r="B164" t="str">
            <v>3-Horns</v>
          </cell>
          <cell r="C164" t="str">
            <v>3-Horns</v>
          </cell>
          <cell r="E164">
            <v>163</v>
          </cell>
          <cell r="F164" t="str">
            <v>A3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6-Arms</v>
          </cell>
          <cell r="B165" t="str">
            <v>6-Arms</v>
          </cell>
          <cell r="C165" t="str">
            <v>6-Arms</v>
          </cell>
          <cell r="E165">
            <v>164</v>
          </cell>
          <cell r="F165" t="str">
            <v>A4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Critical</v>
          </cell>
          <cell r="B166" t="str">
            <v>Critical</v>
          </cell>
          <cell r="C166" t="str">
            <v>Critical</v>
          </cell>
          <cell r="E166">
            <v>165</v>
          </cell>
          <cell r="F166" t="str">
            <v>A5</v>
          </cell>
          <cell r="G166">
            <v>10</v>
          </cell>
          <cell r="L166">
            <v>9</v>
          </cell>
          <cell r="M166">
            <v>0</v>
          </cell>
        </row>
        <row r="167">
          <cell r="A167" t="str">
            <v>Axe</v>
          </cell>
          <cell r="B167" t="str">
            <v>Axe</v>
          </cell>
          <cell r="C167" t="str">
            <v>Axe</v>
          </cell>
          <cell r="E167">
            <v>166</v>
          </cell>
          <cell r="F167" t="str">
            <v>A6</v>
          </cell>
          <cell r="G167">
            <v>20</v>
          </cell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Tie Up</v>
          </cell>
          <cell r="B174" t="str">
            <v>Tie Up</v>
          </cell>
          <cell r="C174" t="str">
            <v>Tie Up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P-Skin</v>
          </cell>
          <cell r="B177" t="str">
            <v>P-Skin</v>
          </cell>
          <cell r="C177" t="str">
            <v>P-Skin</v>
          </cell>
          <cell r="E177">
            <v>177</v>
          </cell>
          <cell r="F177" t="str">
            <v>B1</v>
          </cell>
          <cell r="G177">
            <v>30</v>
          </cell>
          <cell r="L177">
            <v>9</v>
          </cell>
          <cell r="M177">
            <v>0</v>
          </cell>
        </row>
        <row r="178">
          <cell r="A178" t="str">
            <v>ParaSkin</v>
          </cell>
          <cell r="B178" t="str">
            <v>ParaSkin</v>
          </cell>
          <cell r="C178" t="str">
            <v>ParaSkin</v>
          </cell>
          <cell r="E178">
            <v>178</v>
          </cell>
          <cell r="F178" t="str">
            <v>B2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Petrify</v>
          </cell>
          <cell r="B179" t="str">
            <v>Petrify</v>
          </cell>
          <cell r="C179" t="str">
            <v>Petrify</v>
          </cell>
          <cell r="E179">
            <v>179</v>
          </cell>
          <cell r="F179" t="str">
            <v>B3</v>
          </cell>
          <cell r="G179">
            <v>20</v>
          </cell>
          <cell r="L179">
            <v>9</v>
          </cell>
          <cell r="M179">
            <v>0</v>
          </cell>
        </row>
        <row r="180">
          <cell r="A180" t="str">
            <v>StonSkin</v>
          </cell>
          <cell r="B180" t="str">
            <v>StonSkin</v>
          </cell>
          <cell r="C180" t="str">
            <v>StonSkin</v>
          </cell>
          <cell r="E180">
            <v>180</v>
          </cell>
          <cell r="F180" t="str">
            <v>B4</v>
          </cell>
          <cell r="G180">
            <v>30</v>
          </cell>
          <cell r="L180">
            <v>9</v>
          </cell>
          <cell r="M180">
            <v>0</v>
          </cell>
        </row>
        <row r="181">
          <cell r="A181" t="str">
            <v>Thunder</v>
          </cell>
          <cell r="B181" t="str">
            <v>Thunder</v>
          </cell>
          <cell r="C181" t="str">
            <v>Thunder</v>
          </cell>
          <cell r="E181">
            <v>181</v>
          </cell>
          <cell r="F181" t="str">
            <v>B5</v>
          </cell>
          <cell r="G181">
            <v>15</v>
          </cell>
          <cell r="L181">
            <v>9</v>
          </cell>
          <cell r="M181" t="str">
            <v xml:space="preserve"> Mana +0</v>
          </cell>
        </row>
        <row r="182">
          <cell r="A182" t="str">
            <v>Ice</v>
          </cell>
          <cell r="B182" t="str">
            <v>Ice</v>
          </cell>
          <cell r="C182" t="str">
            <v>Ice</v>
          </cell>
          <cell r="E182">
            <v>182</v>
          </cell>
          <cell r="F182" t="str">
            <v>B6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Fire</v>
          </cell>
          <cell r="B183" t="str">
            <v>Fire</v>
          </cell>
          <cell r="C183" t="str">
            <v>Fire</v>
          </cell>
          <cell r="E183">
            <v>183</v>
          </cell>
          <cell r="F183" t="str">
            <v>B7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Flame</v>
          </cell>
          <cell r="B184" t="str">
            <v>Flame</v>
          </cell>
          <cell r="C184" t="str">
            <v>Flame</v>
          </cell>
          <cell r="E184">
            <v>184</v>
          </cell>
          <cell r="F184" t="str">
            <v>B8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Gas</v>
          </cell>
          <cell r="B185" t="str">
            <v>Gas</v>
          </cell>
          <cell r="C185" t="str">
            <v>Gas</v>
          </cell>
          <cell r="E185">
            <v>185</v>
          </cell>
          <cell r="F185" t="str">
            <v>B9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Blizzard</v>
          </cell>
          <cell r="B186" t="str">
            <v>Blizzard</v>
          </cell>
          <cell r="C186" t="str">
            <v>Blizzard</v>
          </cell>
          <cell r="E186">
            <v>186</v>
          </cell>
          <cell r="F186" t="str">
            <v>BA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Lightning</v>
          </cell>
          <cell r="B187" t="str">
            <v>Lightning</v>
          </cell>
          <cell r="C187" t="str">
            <v>Lightning</v>
          </cell>
          <cell r="E187">
            <v>187</v>
          </cell>
          <cell r="F187" t="str">
            <v>BB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Beam</v>
          </cell>
          <cell r="B188" t="str">
            <v>Beam</v>
          </cell>
          <cell r="C188" t="str">
            <v>Beam</v>
          </cell>
          <cell r="E188">
            <v>188</v>
          </cell>
          <cell r="F188" t="str">
            <v>BC</v>
          </cell>
          <cell r="G188">
            <v>15</v>
          </cell>
          <cell r="L188">
            <v>9</v>
          </cell>
          <cell r="M188">
            <v>0</v>
          </cell>
        </row>
        <row r="189">
          <cell r="A189" t="str">
            <v>P-Blast</v>
          </cell>
          <cell r="B189" t="str">
            <v>P-Blast</v>
          </cell>
          <cell r="C189" t="str">
            <v>P-Blast</v>
          </cell>
          <cell r="E189">
            <v>189</v>
          </cell>
          <cell r="F189" t="str">
            <v>BD</v>
          </cell>
          <cell r="G189">
            <v>15</v>
          </cell>
          <cell r="L189">
            <v>9</v>
          </cell>
          <cell r="M189" t="str">
            <v xml:space="preserve"> Mana +0</v>
          </cell>
        </row>
        <row r="190">
          <cell r="A190" t="str">
            <v>Dispel</v>
          </cell>
          <cell r="B190" t="str">
            <v>Dispel</v>
          </cell>
          <cell r="C190" t="str">
            <v>Dispel</v>
          </cell>
          <cell r="E190">
            <v>190</v>
          </cell>
          <cell r="F190" t="str">
            <v>BE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D-Beam</v>
          </cell>
          <cell r="B191" t="str">
            <v>D-Beam</v>
          </cell>
          <cell r="C191" t="str">
            <v>D-Beam</v>
          </cell>
          <cell r="E191">
            <v>191</v>
          </cell>
          <cell r="F191" t="str">
            <v>BF</v>
          </cell>
          <cell r="G191">
            <v>15</v>
          </cell>
          <cell r="L191">
            <v>9</v>
          </cell>
          <cell r="M191">
            <v>0</v>
          </cell>
        </row>
        <row r="192">
          <cell r="A192" t="str">
            <v>Squirt</v>
          </cell>
          <cell r="B192" t="str">
            <v>Squirt</v>
          </cell>
          <cell r="C192" t="str">
            <v>Squirt</v>
          </cell>
          <cell r="E192">
            <v>192</v>
          </cell>
          <cell r="F192" t="str">
            <v>C0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SunBurst</v>
          </cell>
          <cell r="B193" t="str">
            <v>SunBurst</v>
          </cell>
          <cell r="C193" t="str">
            <v>SunBurst</v>
          </cell>
          <cell r="E193">
            <v>193</v>
          </cell>
          <cell r="F193" t="str">
            <v>C1</v>
          </cell>
          <cell r="G193">
            <v>10</v>
          </cell>
          <cell r="L193">
            <v>9</v>
          </cell>
          <cell r="M193">
            <v>0</v>
          </cell>
        </row>
        <row r="194">
          <cell r="A194" t="str">
            <v>SleepGas</v>
          </cell>
          <cell r="B194" t="str">
            <v>SleepGas</v>
          </cell>
          <cell r="C194" t="str">
            <v>SleepGas</v>
          </cell>
          <cell r="E194">
            <v>194</v>
          </cell>
          <cell r="F194" t="str">
            <v>C2</v>
          </cell>
          <cell r="G194">
            <v>15</v>
          </cell>
          <cell r="L194">
            <v>9</v>
          </cell>
          <cell r="M194">
            <v>0</v>
          </cell>
        </row>
        <row r="195">
          <cell r="A195" t="str">
            <v>Sleep</v>
          </cell>
          <cell r="B195" t="str">
            <v>Sleep</v>
          </cell>
          <cell r="C195" t="str">
            <v>Sleep</v>
          </cell>
          <cell r="E195">
            <v>195</v>
          </cell>
          <cell r="F195" t="str">
            <v>C3</v>
          </cell>
          <cell r="G195">
            <v>15</v>
          </cell>
          <cell r="L195">
            <v>9</v>
          </cell>
          <cell r="M195" t="str">
            <v xml:space="preserve"> Mana +0</v>
          </cell>
        </row>
        <row r="196">
          <cell r="A196" t="str">
            <v>StonGaze</v>
          </cell>
          <cell r="B196" t="str">
            <v>StonGaze</v>
          </cell>
          <cell r="C196" t="str">
            <v>StonGaze</v>
          </cell>
          <cell r="E196">
            <v>196</v>
          </cell>
          <cell r="F196" t="str">
            <v>C4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Stone</v>
          </cell>
          <cell r="B197" t="str">
            <v>Stone</v>
          </cell>
          <cell r="C197" t="str">
            <v>Stone</v>
          </cell>
          <cell r="E197">
            <v>197</v>
          </cell>
          <cell r="F197" t="str">
            <v>C5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StoneGas</v>
          </cell>
          <cell r="B198" t="str">
            <v>StoneGas</v>
          </cell>
          <cell r="C198" t="str">
            <v>StoneGas</v>
          </cell>
          <cell r="E198">
            <v>198</v>
          </cell>
          <cell r="F198" t="str">
            <v>C6</v>
          </cell>
          <cell r="G198">
            <v>15</v>
          </cell>
          <cell r="L198">
            <v>9</v>
          </cell>
          <cell r="M198">
            <v>0</v>
          </cell>
        </row>
        <row r="199">
          <cell r="A199" t="str">
            <v>FatalGas</v>
          </cell>
          <cell r="B199" t="str">
            <v>FatalGas</v>
          </cell>
          <cell r="C199" t="str">
            <v>FatalGas</v>
          </cell>
          <cell r="E199">
            <v>199</v>
          </cell>
          <cell r="F199" t="str">
            <v>C7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DeathGaze</v>
          </cell>
          <cell r="B200" t="str">
            <v>DeathGaze</v>
          </cell>
          <cell r="C200" t="str">
            <v>DeathGaze</v>
          </cell>
          <cell r="E200">
            <v>200</v>
          </cell>
          <cell r="F200" t="str">
            <v>C8</v>
          </cell>
          <cell r="G200">
            <v>15</v>
          </cell>
          <cell r="L200">
            <v>9</v>
          </cell>
          <cell r="M200" t="str">
            <v xml:space="preserve"> Mana +0</v>
          </cell>
        </row>
        <row r="201">
          <cell r="A201" t="str">
            <v>Slay</v>
          </cell>
          <cell r="B201" t="str">
            <v>Slay</v>
          </cell>
          <cell r="C201" t="str">
            <v>Slay</v>
          </cell>
          <cell r="E201">
            <v>201</v>
          </cell>
          <cell r="F201" t="str">
            <v>C9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Blind</v>
          </cell>
          <cell r="B202" t="str">
            <v>Blind</v>
          </cell>
          <cell r="C202" t="str">
            <v>Blind</v>
          </cell>
          <cell r="E202">
            <v>202</v>
          </cell>
          <cell r="F202" t="str">
            <v>CA</v>
          </cell>
          <cell r="G202">
            <v>15</v>
          </cell>
          <cell r="L202">
            <v>9</v>
          </cell>
          <cell r="M202">
            <v>0</v>
          </cell>
        </row>
        <row r="203">
          <cell r="A203" t="str">
            <v>Flash</v>
          </cell>
          <cell r="B203" t="str">
            <v>Flash</v>
          </cell>
          <cell r="C203" t="str">
            <v>Flash</v>
          </cell>
          <cell r="E203">
            <v>203</v>
          </cell>
          <cell r="F203" t="str">
            <v>CB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Ink</v>
          </cell>
          <cell r="B204" t="str">
            <v>Ink</v>
          </cell>
          <cell r="C204" t="str">
            <v>Ink</v>
          </cell>
          <cell r="E204">
            <v>204</v>
          </cell>
          <cell r="F204" t="str">
            <v>CC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PoisonGas</v>
          </cell>
          <cell r="B205" t="str">
            <v>PoisonGas</v>
          </cell>
          <cell r="C205" t="str">
            <v>PoisonGas</v>
          </cell>
          <cell r="E205">
            <v>205</v>
          </cell>
          <cell r="F205" t="str">
            <v>CD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EvilEye</v>
          </cell>
          <cell r="B206" t="str">
            <v>EvilEye</v>
          </cell>
          <cell r="C206" t="str">
            <v>EvilEye</v>
          </cell>
          <cell r="E206">
            <v>206</v>
          </cell>
          <cell r="F206" t="str">
            <v>CE</v>
          </cell>
          <cell r="G206">
            <v>15</v>
          </cell>
          <cell r="L206">
            <v>9</v>
          </cell>
          <cell r="M206" t="str">
            <v xml:space="preserve"> Mana +0</v>
          </cell>
        </row>
        <row r="207">
          <cell r="A207" t="str">
            <v>Stunner</v>
          </cell>
          <cell r="B207" t="str">
            <v>Stunner</v>
          </cell>
          <cell r="C207" t="str">
            <v>Stunner</v>
          </cell>
          <cell r="E207">
            <v>207</v>
          </cell>
          <cell r="F207" t="str">
            <v>CF</v>
          </cell>
          <cell r="G207">
            <v>15</v>
          </cell>
          <cell r="L207">
            <v>9</v>
          </cell>
          <cell r="M207">
            <v>0</v>
          </cell>
        </row>
        <row r="208">
          <cell r="A208" t="str">
            <v>Gaze</v>
          </cell>
          <cell r="B208" t="str">
            <v>Gaze</v>
          </cell>
          <cell r="C208" t="str">
            <v>Gaze</v>
          </cell>
          <cell r="E208">
            <v>208</v>
          </cell>
          <cell r="F208" t="str">
            <v>D0</v>
          </cell>
          <cell r="G208">
            <v>15</v>
          </cell>
          <cell r="L208">
            <v>9</v>
          </cell>
          <cell r="M208" t="str">
            <v xml:space="preserve"> Mana +0</v>
          </cell>
        </row>
        <row r="209">
          <cell r="A209" t="str">
            <v>Charm</v>
          </cell>
          <cell r="B209" t="str">
            <v>Charm</v>
          </cell>
          <cell r="C209" t="str">
            <v>Charm</v>
          </cell>
          <cell r="E209">
            <v>209</v>
          </cell>
          <cell r="F209" t="str">
            <v>D1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Hypnos</v>
          </cell>
          <cell r="B210" t="str">
            <v>Hypnos</v>
          </cell>
          <cell r="C210" t="str">
            <v>Hypnos</v>
          </cell>
          <cell r="E210">
            <v>210</v>
          </cell>
          <cell r="F210" t="str">
            <v>D2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Sand</v>
          </cell>
          <cell r="B211" t="str">
            <v>Sand</v>
          </cell>
          <cell r="C211" t="str">
            <v>Sand</v>
          </cell>
          <cell r="E211">
            <v>211</v>
          </cell>
          <cell r="F211" t="str">
            <v>D3</v>
          </cell>
          <cell r="G211">
            <v>15</v>
          </cell>
          <cell r="L211">
            <v>9</v>
          </cell>
          <cell r="M211">
            <v>0</v>
          </cell>
        </row>
        <row r="212">
          <cell r="A212" t="str">
            <v>Cobweb</v>
          </cell>
          <cell r="B212" t="str">
            <v>Cobweb</v>
          </cell>
          <cell r="C212" t="str">
            <v>Cobweb</v>
          </cell>
          <cell r="E212">
            <v>212</v>
          </cell>
          <cell r="F212" t="str">
            <v>D4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Blitz</v>
          </cell>
          <cell r="B213" t="str">
            <v>Blitz</v>
          </cell>
          <cell r="C213" t="str">
            <v>Blitz</v>
          </cell>
          <cell r="E213">
            <v>213</v>
          </cell>
          <cell r="F213" t="str">
            <v>D5</v>
          </cell>
          <cell r="G213">
            <v>15</v>
          </cell>
          <cell r="L213">
            <v>9</v>
          </cell>
          <cell r="M213" t="str">
            <v xml:space="preserve"> Mana +0</v>
          </cell>
        </row>
        <row r="214">
          <cell r="A214" t="str">
            <v>Drain</v>
          </cell>
          <cell r="B214" t="str">
            <v>Drain</v>
          </cell>
          <cell r="C214" t="str">
            <v>Drain</v>
          </cell>
          <cell r="E214">
            <v>214</v>
          </cell>
          <cell r="F214" t="str">
            <v>D6</v>
          </cell>
          <cell r="G214">
            <v>15</v>
          </cell>
          <cell r="L214">
            <v>9</v>
          </cell>
          <cell r="M214">
            <v>0</v>
          </cell>
        </row>
        <row r="215">
          <cell r="A215" t="str">
            <v>Stench</v>
          </cell>
          <cell r="B215" t="str">
            <v>Stench</v>
          </cell>
          <cell r="C215" t="str">
            <v>Stench</v>
          </cell>
          <cell r="E215">
            <v>215</v>
          </cell>
          <cell r="F215" t="str">
            <v>D7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Haste</v>
          </cell>
          <cell r="B216" t="str">
            <v>Haste</v>
          </cell>
          <cell r="C216" t="str">
            <v>Haste</v>
          </cell>
          <cell r="E216">
            <v>216</v>
          </cell>
          <cell r="F216" t="str">
            <v>D8</v>
          </cell>
          <cell r="G216">
            <v>15</v>
          </cell>
          <cell r="L216">
            <v>9</v>
          </cell>
          <cell r="M216" t="str">
            <v xml:space="preserve"> Mana +0</v>
          </cell>
        </row>
        <row r="217">
          <cell r="A217" t="str">
            <v>Tornado</v>
          </cell>
          <cell r="B217" t="str">
            <v>Tornado</v>
          </cell>
          <cell r="C217" t="str">
            <v>Tornado</v>
          </cell>
          <cell r="E217">
            <v>217</v>
          </cell>
          <cell r="F217" t="str">
            <v>D9</v>
          </cell>
          <cell r="G217">
            <v>5</v>
          </cell>
          <cell r="L217">
            <v>9</v>
          </cell>
          <cell r="M217" t="str">
            <v xml:space="preserve"> Mana +0</v>
          </cell>
        </row>
        <row r="218">
          <cell r="A218" t="str">
            <v>Quake</v>
          </cell>
          <cell r="B218" t="str">
            <v>Quake</v>
          </cell>
          <cell r="C218" t="str">
            <v>Quake</v>
          </cell>
          <cell r="E218">
            <v>218</v>
          </cell>
          <cell r="F218" t="str">
            <v>DA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Whirl</v>
          </cell>
          <cell r="B219" t="str">
            <v>Whirl</v>
          </cell>
          <cell r="C219" t="str">
            <v>Whirl</v>
          </cell>
          <cell r="E219">
            <v>219</v>
          </cell>
          <cell r="F219" t="str">
            <v>DB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Flare</v>
          </cell>
          <cell r="B220" t="str">
            <v>Flare</v>
          </cell>
          <cell r="C220" t="str">
            <v>Flare</v>
          </cell>
          <cell r="E220">
            <v>220</v>
          </cell>
          <cell r="F220" t="str">
            <v>DC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Steal</v>
          </cell>
          <cell r="B221" t="str">
            <v>Steal</v>
          </cell>
          <cell r="C221" t="str">
            <v>Steal</v>
          </cell>
          <cell r="E221">
            <v>221</v>
          </cell>
          <cell r="F221" t="str">
            <v>DD</v>
          </cell>
          <cell r="G221">
            <v>10</v>
          </cell>
          <cell r="L221">
            <v>9</v>
          </cell>
          <cell r="M221" t="str">
            <v>Agl +2</v>
          </cell>
        </row>
        <row r="222">
          <cell r="A222" t="str">
            <v>Explode</v>
          </cell>
          <cell r="B222" t="str">
            <v>Explode</v>
          </cell>
          <cell r="C222" t="str">
            <v>Explode</v>
          </cell>
          <cell r="E222">
            <v>222</v>
          </cell>
          <cell r="F222" t="str">
            <v>DE</v>
          </cell>
          <cell r="G222">
            <v>1</v>
          </cell>
          <cell r="L222">
            <v>9</v>
          </cell>
          <cell r="M222">
            <v>0</v>
          </cell>
        </row>
        <row r="223">
          <cell r="A223" t="str">
            <v>Acid</v>
          </cell>
          <cell r="B223" t="str">
            <v>Acid</v>
          </cell>
          <cell r="C223" t="str">
            <v>Acid</v>
          </cell>
          <cell r="E223">
            <v>223</v>
          </cell>
          <cell r="F223" t="str">
            <v>DF</v>
          </cell>
          <cell r="G223">
            <v>5</v>
          </cell>
          <cell r="L223">
            <v>9</v>
          </cell>
          <cell r="M223">
            <v>0</v>
          </cell>
        </row>
        <row r="224">
          <cell r="A224" t="str">
            <v>Riddle</v>
          </cell>
          <cell r="B224" t="str">
            <v>Riddle</v>
          </cell>
          <cell r="C224" t="str">
            <v>Riddle</v>
          </cell>
          <cell r="E224">
            <v>224</v>
          </cell>
          <cell r="F224" t="str">
            <v>E0</v>
          </cell>
          <cell r="G224">
            <v>5</v>
          </cell>
          <cell r="L224">
            <v>9</v>
          </cell>
          <cell r="M224" t="str">
            <v xml:space="preserve"> Mana +0</v>
          </cell>
        </row>
        <row r="225">
          <cell r="A225" t="str">
            <v>CursSong</v>
          </cell>
          <cell r="B225" t="str">
            <v>CursSong</v>
          </cell>
          <cell r="C225" t="str">
            <v>CursSong</v>
          </cell>
          <cell r="E225">
            <v>225</v>
          </cell>
          <cell r="F225" t="str">
            <v>E1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MadSong</v>
          </cell>
          <cell r="B226" t="str">
            <v>MadSong</v>
          </cell>
          <cell r="C226" t="str">
            <v>MadSong</v>
          </cell>
          <cell r="E226">
            <v>226</v>
          </cell>
          <cell r="F226" t="str">
            <v>E2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Surprise</v>
          </cell>
          <cell r="B227" t="str">
            <v>Surprise</v>
          </cell>
          <cell r="C227" t="str">
            <v>Surprise</v>
          </cell>
          <cell r="E227">
            <v>227</v>
          </cell>
          <cell r="F227" t="str">
            <v>E3</v>
          </cell>
          <cell r="G227">
            <v>-2</v>
          </cell>
          <cell r="L227">
            <v>9</v>
          </cell>
          <cell r="M227">
            <v>0</v>
          </cell>
        </row>
        <row r="228">
          <cell r="A228" t="str">
            <v>Warning</v>
          </cell>
          <cell r="B228" t="str">
            <v>Warning</v>
          </cell>
          <cell r="C228" t="str">
            <v>Warning</v>
          </cell>
          <cell r="E228">
            <v>228</v>
          </cell>
          <cell r="F228" t="str">
            <v>E4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Multiply</v>
          </cell>
          <cell r="B229" t="str">
            <v>Multiply</v>
          </cell>
          <cell r="C229" t="str">
            <v>Multiply</v>
          </cell>
          <cell r="E229">
            <v>229</v>
          </cell>
          <cell r="F229" t="str">
            <v>E5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O-Quake</v>
          </cell>
          <cell r="B230" t="str">
            <v>O-Quake</v>
          </cell>
          <cell r="C230" t="str">
            <v>Quake</v>
          </cell>
          <cell r="D230" t="str">
            <v>O</v>
          </cell>
          <cell r="E230">
            <v>230</v>
          </cell>
          <cell r="F230" t="str">
            <v>E6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O-Change</v>
          </cell>
          <cell r="B231" t="str">
            <v>O-Change</v>
          </cell>
          <cell r="C231" t="str">
            <v>Change</v>
          </cell>
          <cell r="D231" t="str">
            <v>O</v>
          </cell>
          <cell r="E231">
            <v>231</v>
          </cell>
          <cell r="F231" t="str">
            <v>E7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O-Fire</v>
          </cell>
          <cell r="B232" t="str">
            <v>O-Fire</v>
          </cell>
          <cell r="C232" t="str">
            <v>Fire</v>
          </cell>
          <cell r="D232" t="str">
            <v>O</v>
          </cell>
          <cell r="E232">
            <v>232</v>
          </cell>
          <cell r="F232" t="str">
            <v>E8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O-Poison</v>
          </cell>
          <cell r="B233" t="str">
            <v>O-Poison</v>
          </cell>
          <cell r="C233" t="str">
            <v>Poison</v>
          </cell>
          <cell r="D233" t="str">
            <v>O</v>
          </cell>
          <cell r="E233">
            <v>233</v>
          </cell>
          <cell r="F233" t="str">
            <v>E9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O-Damage</v>
          </cell>
          <cell r="B234" t="str">
            <v>O-Damage</v>
          </cell>
          <cell r="C234" t="str">
            <v>Damage</v>
          </cell>
          <cell r="D234" t="str">
            <v>O</v>
          </cell>
          <cell r="E234">
            <v>234</v>
          </cell>
          <cell r="F234" t="str">
            <v>EA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O-Weapon</v>
          </cell>
          <cell r="B235" t="str">
            <v>O-Weapon</v>
          </cell>
          <cell r="C235" t="str">
            <v>Weapon</v>
          </cell>
          <cell r="D235" t="str">
            <v>O</v>
          </cell>
          <cell r="E235">
            <v>235</v>
          </cell>
          <cell r="F235" t="str">
            <v>EB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O-Pa/Po</v>
          </cell>
          <cell r="B236" t="str">
            <v>O-Pa/Po</v>
          </cell>
          <cell r="C236" t="str">
            <v>Pa/Po</v>
          </cell>
          <cell r="D236" t="str">
            <v>O</v>
          </cell>
          <cell r="E236">
            <v>236</v>
          </cell>
          <cell r="F236" t="str">
            <v>EC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O-Para</v>
          </cell>
          <cell r="B237" t="str">
            <v>O-Para</v>
          </cell>
          <cell r="C237" t="str">
            <v>Para</v>
          </cell>
          <cell r="D237" t="str">
            <v>O</v>
          </cell>
          <cell r="E237">
            <v>237</v>
          </cell>
          <cell r="F237" t="str">
            <v>ED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O-Ice</v>
          </cell>
          <cell r="B238" t="str">
            <v>O-Ice</v>
          </cell>
          <cell r="C238" t="str">
            <v>Ice</v>
          </cell>
          <cell r="D238" t="str">
            <v>O</v>
          </cell>
          <cell r="E238">
            <v>238</v>
          </cell>
          <cell r="F238" t="str">
            <v>EE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O-Stone</v>
          </cell>
          <cell r="B239" t="str">
            <v>O-Stone</v>
          </cell>
          <cell r="C239" t="str">
            <v>Stone</v>
          </cell>
          <cell r="D239" t="str">
            <v>O</v>
          </cell>
          <cell r="E239">
            <v>239</v>
          </cell>
          <cell r="F239" t="str">
            <v>EF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X-Fire</v>
          </cell>
          <cell r="B240" t="str">
            <v>X-Fire</v>
          </cell>
          <cell r="C240" t="str">
            <v>Fire</v>
          </cell>
          <cell r="D240" t="str">
            <v>X</v>
          </cell>
          <cell r="E240">
            <v>240</v>
          </cell>
          <cell r="F240" t="str">
            <v>F0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X-Ice</v>
          </cell>
          <cell r="B241" t="str">
            <v>X-Ice</v>
          </cell>
          <cell r="C241" t="str">
            <v>Ice</v>
          </cell>
          <cell r="D241" t="str">
            <v>X</v>
          </cell>
          <cell r="E241">
            <v>241</v>
          </cell>
          <cell r="F241" t="str">
            <v>F1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X-Thunder</v>
          </cell>
          <cell r="B242" t="str">
            <v>X-Thunder</v>
          </cell>
          <cell r="C242" t="str">
            <v>Thunder</v>
          </cell>
          <cell r="D242" t="str">
            <v>X</v>
          </cell>
          <cell r="E242">
            <v>242</v>
          </cell>
          <cell r="F242" t="str">
            <v>F2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Teleport</v>
          </cell>
          <cell r="B243" t="str">
            <v>Teleport</v>
          </cell>
          <cell r="C243" t="str">
            <v>Teleport</v>
          </cell>
          <cell r="E243">
            <v>243</v>
          </cell>
          <cell r="F243" t="str">
            <v>F3</v>
          </cell>
          <cell r="G243">
            <v>30</v>
          </cell>
          <cell r="L243">
            <v>9</v>
          </cell>
          <cell r="M243">
            <v>0</v>
          </cell>
        </row>
        <row r="244">
          <cell r="A244" t="str">
            <v>Remedy</v>
          </cell>
          <cell r="B244" t="str">
            <v>Remedy</v>
          </cell>
          <cell r="C244" t="str">
            <v>Remedy</v>
          </cell>
          <cell r="E244">
            <v>244</v>
          </cell>
          <cell r="F244" t="str">
            <v>F4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O-All</v>
          </cell>
          <cell r="B245" t="str">
            <v>O-All</v>
          </cell>
          <cell r="C245" t="str">
            <v>All</v>
          </cell>
          <cell r="D245" t="str">
            <v>O</v>
          </cell>
          <cell r="E245">
            <v>245</v>
          </cell>
          <cell r="F245" t="str">
            <v>F5</v>
          </cell>
          <cell r="G245">
            <v>-2</v>
          </cell>
          <cell r="L245">
            <v>9</v>
          </cell>
          <cell r="M245">
            <v>0</v>
          </cell>
        </row>
        <row r="246">
          <cell r="A246" t="str">
            <v>PoisonBurst</v>
          </cell>
          <cell r="B246" t="str">
            <v>PoisonBurst</v>
          </cell>
          <cell r="C246" t="str">
            <v>PoisonBurst</v>
          </cell>
          <cell r="E246">
            <v>246</v>
          </cell>
          <cell r="F246" t="str">
            <v>F6</v>
          </cell>
          <cell r="G246">
            <v>15</v>
          </cell>
          <cell r="L246">
            <v>9</v>
          </cell>
          <cell r="M246">
            <v>0</v>
          </cell>
        </row>
        <row r="247">
          <cell r="A247" t="str">
            <v>FlareApollo</v>
          </cell>
          <cell r="B247" t="str">
            <v>FlareApollo</v>
          </cell>
          <cell r="C247" t="str">
            <v>Flare</v>
          </cell>
          <cell r="D247" t="str">
            <v>Apollo</v>
          </cell>
          <cell r="E247">
            <v>250</v>
          </cell>
          <cell r="F247" t="str">
            <v>FA</v>
          </cell>
          <cell r="G247">
            <v>-2</v>
          </cell>
          <cell r="L247">
            <v>9</v>
          </cell>
          <cell r="M247">
            <v>0</v>
          </cell>
        </row>
        <row r="248">
          <cell r="A248" t="str">
            <v>Smasher</v>
          </cell>
          <cell r="B248" t="str">
            <v>Smasher</v>
          </cell>
          <cell r="C248" t="str">
            <v>Smasher</v>
          </cell>
          <cell r="E248">
            <v>253</v>
          </cell>
          <cell r="F248" t="str">
            <v>FD</v>
          </cell>
          <cell r="G248">
            <v>30</v>
          </cell>
          <cell r="L248">
            <v>9</v>
          </cell>
          <cell r="M248">
            <v>0</v>
          </cell>
        </row>
        <row r="249">
          <cell r="A249" t="str">
            <v>Recover</v>
          </cell>
          <cell r="B249" t="str">
            <v>Recover</v>
          </cell>
          <cell r="C249" t="str">
            <v>Recover</v>
          </cell>
          <cell r="E249">
            <v>254</v>
          </cell>
          <cell r="F249" t="str">
            <v>FE</v>
          </cell>
          <cell r="G249">
            <v>-2</v>
          </cell>
          <cell r="L249">
            <v>9</v>
          </cell>
          <cell r="M249">
            <v>0</v>
          </cell>
        </row>
        <row r="250">
          <cell r="A250" t="str">
            <v>Power Magi</v>
          </cell>
          <cell r="B250" t="str">
            <v>Power Magi</v>
          </cell>
          <cell r="C250" t="str">
            <v>Power</v>
          </cell>
          <cell r="D250" t="str">
            <v>Magi</v>
          </cell>
          <cell r="E250">
            <v>256</v>
          </cell>
          <cell r="F250">
            <v>100</v>
          </cell>
          <cell r="G250">
            <v>-2</v>
          </cell>
          <cell r="L250">
            <v>0</v>
          </cell>
          <cell r="M250" t="str">
            <v>Str +22</v>
          </cell>
        </row>
        <row r="251">
          <cell r="A251" t="str">
            <v>Speed Magi</v>
          </cell>
          <cell r="B251" t="str">
            <v>Speed Magi</v>
          </cell>
          <cell r="C251" t="str">
            <v>Speed</v>
          </cell>
          <cell r="D251" t="str">
            <v>Magi</v>
          </cell>
          <cell r="E251">
            <v>257</v>
          </cell>
          <cell r="F251" t="str">
            <v>101</v>
          </cell>
          <cell r="G251">
            <v>-2</v>
          </cell>
          <cell r="L251">
            <v>0</v>
          </cell>
          <cell r="M251" t="str">
            <v>Agl +22</v>
          </cell>
        </row>
        <row r="252">
          <cell r="A252" t="str">
            <v>Mana Magi</v>
          </cell>
          <cell r="B252" t="str">
            <v>Mana Magi</v>
          </cell>
          <cell r="C252" t="str">
            <v>Mana</v>
          </cell>
          <cell r="D252" t="str">
            <v>Magi</v>
          </cell>
          <cell r="E252">
            <v>258</v>
          </cell>
          <cell r="F252" t="str">
            <v>102</v>
          </cell>
          <cell r="G252">
            <v>-2</v>
          </cell>
          <cell r="L252">
            <v>0</v>
          </cell>
          <cell r="M252">
            <v>0</v>
          </cell>
        </row>
        <row r="253">
          <cell r="A253" t="str">
            <v>Defense Magi</v>
          </cell>
          <cell r="B253" t="str">
            <v>Defense Magi</v>
          </cell>
          <cell r="C253" t="str">
            <v>Defense</v>
          </cell>
          <cell r="D253" t="str">
            <v>Magi</v>
          </cell>
          <cell r="E253">
            <v>259</v>
          </cell>
          <cell r="F253" t="str">
            <v>103</v>
          </cell>
          <cell r="G253">
            <v>-2</v>
          </cell>
          <cell r="L253">
            <v>0</v>
          </cell>
          <cell r="M253" t="str">
            <v>Def +22</v>
          </cell>
        </row>
        <row r="254">
          <cell r="A254" t="str">
            <v>Fire Magi</v>
          </cell>
          <cell r="B254" t="str">
            <v>Fire Magi</v>
          </cell>
          <cell r="C254" t="str">
            <v>Fire</v>
          </cell>
          <cell r="D254" t="str">
            <v>Magi</v>
          </cell>
          <cell r="E254">
            <v>260</v>
          </cell>
          <cell r="F254" t="str">
            <v>104</v>
          </cell>
          <cell r="G254">
            <v>-2</v>
          </cell>
          <cell r="L254">
            <v>0</v>
          </cell>
          <cell r="M254">
            <v>0</v>
          </cell>
        </row>
        <row r="255">
          <cell r="A255" t="str">
            <v>Ice Magi</v>
          </cell>
          <cell r="B255" t="str">
            <v>Ice Magi</v>
          </cell>
          <cell r="C255" t="str">
            <v>Ice</v>
          </cell>
          <cell r="D255" t="str">
            <v>Magi</v>
          </cell>
          <cell r="E255">
            <v>261</v>
          </cell>
          <cell r="F255" t="str">
            <v>105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Thunder Magi</v>
          </cell>
          <cell r="B256" t="str">
            <v>Thunder Magi</v>
          </cell>
          <cell r="C256" t="str">
            <v>Thunder</v>
          </cell>
          <cell r="D256" t="str">
            <v>Magi</v>
          </cell>
          <cell r="E256">
            <v>262</v>
          </cell>
          <cell r="F256" t="str">
            <v>106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Poison Magi</v>
          </cell>
          <cell r="B257" t="str">
            <v>Poison Magi</v>
          </cell>
          <cell r="C257" t="str">
            <v>Poison</v>
          </cell>
          <cell r="D257" t="str">
            <v>Magi</v>
          </cell>
          <cell r="E257">
            <v>263</v>
          </cell>
          <cell r="F257" t="str">
            <v>107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O-Dragon</v>
          </cell>
          <cell r="B258" t="str">
            <v>O-Dragon</v>
          </cell>
          <cell r="C258" t="str">
            <v>Dragon</v>
          </cell>
          <cell r="D258" t="str">
            <v>O</v>
          </cell>
          <cell r="G258">
            <v>-2</v>
          </cell>
        </row>
        <row r="259">
          <cell r="A259" t="str">
            <v>Tremor</v>
          </cell>
          <cell r="B259" t="str">
            <v>Tremor</v>
          </cell>
          <cell r="G259">
            <v>-2</v>
          </cell>
          <cell r="L259">
            <v>0</v>
          </cell>
        </row>
        <row r="260">
          <cell r="A260" t="str">
            <v>kW B-Exp</v>
          </cell>
          <cell r="B260" t="str">
            <v>kW B-Exp</v>
          </cell>
          <cell r="G260">
            <v>-2</v>
          </cell>
          <cell r="L260">
            <v>18</v>
          </cell>
        </row>
        <row r="261">
          <cell r="A261" t="str">
            <v>Mini Tank</v>
          </cell>
          <cell r="B261" t="str">
            <v>Mini Tank</v>
          </cell>
          <cell r="C261" t="str">
            <v>Mini Tank</v>
          </cell>
          <cell r="D261" t="str">
            <v>Cannon</v>
          </cell>
          <cell r="G261">
            <v>20</v>
          </cell>
          <cell r="L261">
            <v>45</v>
          </cell>
        </row>
        <row r="262">
          <cell r="A262" t="str">
            <v>Spark Book</v>
          </cell>
          <cell r="B262" t="str">
            <v>Spark Book</v>
          </cell>
          <cell r="C262" t="str">
            <v>Spark</v>
          </cell>
          <cell r="D262" t="str">
            <v>Book</v>
          </cell>
          <cell r="G262">
            <v>30</v>
          </cell>
          <cell r="L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G263">
            <v>15</v>
          </cell>
          <cell r="L263">
            <v>0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T18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P7" sqref="P7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17" bestFit="1" customWidth="1"/>
    <col min="4" max="4" width="16.85546875" style="1" customWidth="1"/>
    <col min="5" max="5" width="9.5703125" style="1" bestFit="1" customWidth="1"/>
    <col min="6" max="6" width="9.5703125" style="1" customWidth="1"/>
    <col min="7" max="7" width="9.140625" style="3"/>
    <col min="8" max="8" width="9.140625" style="6"/>
    <col min="9" max="9" width="9.140625" style="15"/>
    <col min="10" max="10" width="9.140625" style="1"/>
    <col min="11" max="11" width="9.140625" style="3"/>
    <col min="12" max="12" width="9.140625" style="6"/>
    <col min="13" max="13" width="9.140625" style="15"/>
    <col min="14" max="14" width="9.140625" style="1"/>
    <col min="15" max="15" width="9.140625" style="3"/>
    <col min="16" max="16" width="14.85546875" style="6" bestFit="1" customWidth="1"/>
    <col min="17" max="18" width="7.7109375" style="17" customWidth="1"/>
    <col min="19" max="19" width="14.85546875" style="6" bestFit="1" customWidth="1"/>
    <col min="20" max="21" width="7.7109375" style="17" customWidth="1"/>
    <col min="22" max="22" width="13.7109375" style="6" bestFit="1" customWidth="1"/>
    <col min="23" max="24" width="7.7109375" style="17" customWidth="1"/>
    <col min="25" max="25" width="12.42578125" style="6" bestFit="1" customWidth="1"/>
    <col min="26" max="27" width="7.7109375" style="17" customWidth="1"/>
    <col min="28" max="28" width="13.42578125" style="6" bestFit="1" customWidth="1"/>
    <col min="29" max="30" width="7.7109375" style="17" customWidth="1"/>
    <col min="31" max="31" width="12.7109375" style="6" bestFit="1" customWidth="1"/>
    <col min="32" max="33" width="7.7109375" style="17" customWidth="1"/>
    <col min="34" max="34" width="12.28515625" style="6" bestFit="1" customWidth="1"/>
    <col min="35" max="36" width="7.7109375" style="17" customWidth="1"/>
    <col min="37" max="37" width="9.140625" style="6"/>
    <col min="38" max="39" width="7.7109375" style="17" customWidth="1"/>
    <col min="40" max="40" width="20.28515625" style="6" customWidth="1"/>
    <col min="41" max="42" width="9.28515625" style="17" customWidth="1"/>
    <col min="43" max="43" width="20.28515625" style="1" customWidth="1"/>
    <col min="44" max="44" width="23.42578125" style="1" customWidth="1"/>
    <col min="45" max="45" width="9.140625" style="1"/>
    <col min="46" max="46" width="12.5703125" style="1" customWidth="1"/>
    <col min="47" max="16384" width="9.140625" style="1"/>
  </cols>
  <sheetData>
    <row r="1" spans="1:46" s="35" customFormat="1" ht="30" x14ac:dyDescent="0.25">
      <c r="A1" s="17" t="s">
        <v>19</v>
      </c>
      <c r="B1" s="28" t="s">
        <v>42</v>
      </c>
      <c r="C1" s="42" t="s">
        <v>75</v>
      </c>
      <c r="D1" s="28" t="s">
        <v>41</v>
      </c>
      <c r="E1" s="28" t="s">
        <v>40</v>
      </c>
      <c r="F1" s="42" t="s">
        <v>73</v>
      </c>
      <c r="G1" s="29" t="s">
        <v>39</v>
      </c>
      <c r="H1" s="30" t="s">
        <v>46</v>
      </c>
      <c r="I1" s="31" t="s">
        <v>38</v>
      </c>
      <c r="J1" s="32" t="s">
        <v>47</v>
      </c>
      <c r="K1" s="29" t="s">
        <v>37</v>
      </c>
      <c r="L1" s="30" t="s">
        <v>48</v>
      </c>
      <c r="M1" s="31" t="s">
        <v>36</v>
      </c>
      <c r="N1" s="32" t="s">
        <v>49</v>
      </c>
      <c r="O1" s="29" t="s">
        <v>35</v>
      </c>
      <c r="P1" s="33" t="s">
        <v>34</v>
      </c>
      <c r="Q1" s="16" t="s">
        <v>52</v>
      </c>
      <c r="R1" s="41" t="s">
        <v>65</v>
      </c>
      <c r="S1" s="33" t="s">
        <v>33</v>
      </c>
      <c r="T1" s="16" t="s">
        <v>54</v>
      </c>
      <c r="U1" s="41" t="s">
        <v>66</v>
      </c>
      <c r="V1" s="33" t="s">
        <v>32</v>
      </c>
      <c r="W1" s="16" t="s">
        <v>55</v>
      </c>
      <c r="X1" s="41" t="s">
        <v>67</v>
      </c>
      <c r="Y1" s="33" t="s">
        <v>31</v>
      </c>
      <c r="Z1" s="16" t="s">
        <v>56</v>
      </c>
      <c r="AA1" s="41" t="s">
        <v>68</v>
      </c>
      <c r="AB1" s="33" t="s">
        <v>30</v>
      </c>
      <c r="AC1" s="16" t="s">
        <v>57</v>
      </c>
      <c r="AD1" s="41" t="s">
        <v>69</v>
      </c>
      <c r="AE1" s="33" t="s">
        <v>29</v>
      </c>
      <c r="AF1" s="16" t="s">
        <v>58</v>
      </c>
      <c r="AG1" s="41" t="s">
        <v>70</v>
      </c>
      <c r="AH1" s="33" t="s">
        <v>28</v>
      </c>
      <c r="AI1" s="16" t="s">
        <v>59</v>
      </c>
      <c r="AJ1" s="41" t="s">
        <v>71</v>
      </c>
      <c r="AK1" s="33" t="s">
        <v>27</v>
      </c>
      <c r="AL1" s="16" t="s">
        <v>60</v>
      </c>
      <c r="AM1" s="41" t="s">
        <v>72</v>
      </c>
      <c r="AN1" s="30" t="s">
        <v>50</v>
      </c>
      <c r="AO1" s="16" t="s">
        <v>53</v>
      </c>
      <c r="AP1" s="42" t="s">
        <v>74</v>
      </c>
      <c r="AQ1" s="32" t="s">
        <v>51</v>
      </c>
      <c r="AR1" s="34" t="s">
        <v>45</v>
      </c>
      <c r="AS1" s="44" t="s">
        <v>76</v>
      </c>
      <c r="AT1" s="44" t="s">
        <v>77</v>
      </c>
    </row>
    <row r="2" spans="1:46" x14ac:dyDescent="0.25">
      <c r="A2" s="1" t="str">
        <f t="shared" ref="A2:A18" si="0">B2</f>
        <v>Jaelyn</v>
      </c>
      <c r="B2" s="47" t="s">
        <v>78</v>
      </c>
      <c r="C2" s="43" t="s">
        <v>160</v>
      </c>
      <c r="D2" s="47" t="s">
        <v>79</v>
      </c>
      <c r="E2" s="47" t="s">
        <v>64</v>
      </c>
      <c r="F2" s="40">
        <v>27</v>
      </c>
      <c r="G2" s="3">
        <v>87</v>
      </c>
      <c r="H2" s="6">
        <v>3</v>
      </c>
      <c r="I2" s="15">
        <f>H2</f>
        <v>3</v>
      </c>
      <c r="J2" s="14">
        <v>0</v>
      </c>
      <c r="K2" s="3">
        <f>J2+_xlfn.IFNA(VLOOKUP($P2,[1]Weapon!$A$1:$M$300,9,FALSE),0)+_xlfn.IFNA(VLOOKUP($S2,[1]Weapon!$A$1:$M$300,9,FALSE),0)+_xlfn.IFNA(VLOOKUP($V2,[1]Weapon!$A$1:$M$300,9,FALSE),0)+_xlfn.IFNA(VLOOKUP($Y2,[1]Weapon!$A$1:$M$300,9,FALSE),0)+_xlfn.IFNA(VLOOKUP($AB2,[1]Weapon!$A$1:$M$300,9,FALSE),0)+_xlfn.IFNA(VLOOKUP($AE2,[1]Weapon!$A$1:$M$300,9,FALSE),0)+_xlfn.IFNA(VLOOKUP($AH2,[1]Weapon!$A$1:$M$300,9,FALSE),0)+_xlfn.IFNA(VLOOKUP($AK2,[1]Weapon!$A$1:$M$300,9,FALSE),0)</f>
        <v>8</v>
      </c>
      <c r="L2" s="6">
        <v>6</v>
      </c>
      <c r="M2" s="15">
        <f>L2</f>
        <v>6</v>
      </c>
      <c r="N2" s="14">
        <v>12</v>
      </c>
      <c r="O2" s="3">
        <f>N2</f>
        <v>12</v>
      </c>
      <c r="P2" s="49" t="s">
        <v>120</v>
      </c>
      <c r="Q2" s="17">
        <v>13</v>
      </c>
      <c r="R2" s="17">
        <f>_xlfn.IFNA(IF($E2="Robot",VLOOKUP(P2,[1]Weapon!$B$1:$G$299,6,FALSE)/2,VLOOKUP(P2,[1]Weapon!$B$1:$G$299,6,FALSE)),0)</f>
        <v>15</v>
      </c>
      <c r="S2" s="49" t="s">
        <v>121</v>
      </c>
      <c r="T2" s="17">
        <v>-1</v>
      </c>
      <c r="U2" s="17">
        <f>_xlfn.IFNA(IF($E2="Robot",VLOOKUP(S2,[1]Weapon!$B$1:$G$299,6,FALSE)/2,VLOOKUP(S2,[1]Weapon!$B$1:$G$299,6,FALSE)),0)</f>
        <v>-2</v>
      </c>
      <c r="V2" s="49" t="s">
        <v>141</v>
      </c>
      <c r="W2" s="17">
        <v>15</v>
      </c>
      <c r="X2" s="17">
        <f>_xlfn.IFNA(IF($E2="Robot",VLOOKUP(V2,[1]Weapon!$B$1:$G$299,6,FALSE)/2,VLOOKUP(V2,[1]Weapon!$B$1:$G$299,6,FALSE)),0)</f>
        <v>15</v>
      </c>
      <c r="Y2" s="50" t="s">
        <v>194</v>
      </c>
      <c r="Z2" s="27">
        <v>15</v>
      </c>
      <c r="AA2" s="17">
        <f>_xlfn.IFNA(IF($E2="Robot",VLOOKUP(Y2,[1]Weapon!$B$1:$G$299,6,FALSE)/2,VLOOKUP(Y2,[1]Weapon!$B$1:$G$299,6,FALSE)),0)</f>
        <v>15</v>
      </c>
      <c r="AB2" s="49" t="s">
        <v>115</v>
      </c>
      <c r="AC2" s="17">
        <v>50</v>
      </c>
      <c r="AD2" s="17">
        <f>_xlfn.IFNA(IF($E2="Robot",VLOOKUP(AB2,[1]Weapon!$B$1:$G$299,6,FALSE)/2,VLOOKUP(AB2,[1]Weapon!$B$1:$G$299,6,FALSE)),0)</f>
        <v>50</v>
      </c>
      <c r="AE2" s="49" t="s">
        <v>123</v>
      </c>
      <c r="AF2" s="17">
        <v>-1</v>
      </c>
      <c r="AG2" s="17">
        <f>_xlfn.IFNA(IF($E2="Robot",VLOOKUP(AE2,[1]Weapon!$B$1:$G$299,6,FALSE)/2,VLOOKUP(AE2,[1]Weapon!$B$1:$G$299,6,FALSE)),0)</f>
        <v>-2</v>
      </c>
      <c r="AH2" s="49" t="s">
        <v>113</v>
      </c>
      <c r="AI2" s="17">
        <v>-1</v>
      </c>
      <c r="AJ2" s="17">
        <f>_xlfn.IFNA(IF($E2="Robot",VLOOKUP(AH2,[1]Weapon!$B$1:$G$299,6,FALSE)/2,VLOOKUP(AH2,[1]Weapon!$B$1:$G$299,6,FALSE)),0)</f>
        <v>-2</v>
      </c>
      <c r="AK2" s="6" t="s">
        <v>160</v>
      </c>
      <c r="AL2" s="17">
        <v>-1</v>
      </c>
      <c r="AM2" s="17">
        <f>_xlfn.IFNA(IF($E2="Robot",VLOOKUP(AK2,[1]Weapon!$B$1:$G$299,6,FALSE)/2,VLOOKUP(AK2,[1]Weapon!$B$1:$G$299,6,FALSE)),0)</f>
        <v>0</v>
      </c>
      <c r="AN2" s="6" t="s">
        <v>160</v>
      </c>
      <c r="AO2" s="17">
        <v>0</v>
      </c>
      <c r="AP2" s="17">
        <f>_xlfn.IFNA(IF($E2="Robot",VLOOKUP(AN2,[1]Weapon!$B$1:$G$299,6,FALSE)/2,VLOOKUP(AN2,[1]Weapon!$B$1:$G$299,6,FALSE)),0)</f>
        <v>0</v>
      </c>
      <c r="AQ2" s="4" t="s">
        <v>160</v>
      </c>
      <c r="AR2" s="4" t="s">
        <v>160</v>
      </c>
      <c r="AS2" s="1">
        <v>36</v>
      </c>
      <c r="AT2" s="1" t="s">
        <v>160</v>
      </c>
    </row>
    <row r="3" spans="1:46" x14ac:dyDescent="0.25">
      <c r="A3" s="1" t="str">
        <f t="shared" si="0"/>
        <v>Rando</v>
      </c>
      <c r="B3" s="47" t="s">
        <v>80</v>
      </c>
      <c r="C3" s="43" t="s">
        <v>160</v>
      </c>
      <c r="D3" s="47" t="s">
        <v>81</v>
      </c>
      <c r="E3" s="47" t="s">
        <v>82</v>
      </c>
      <c r="F3" s="40">
        <v>39</v>
      </c>
      <c r="G3" s="3">
        <f>IF(ISBLANK(VLOOKUP($E3,[1]Monster!$A$2:$X$256,10,FALSE)),"",VLOOKUP($E3,[1]Monster!$A$2:$X$256,10,FALSE))</f>
        <v>81</v>
      </c>
      <c r="H3" s="6">
        <v>4</v>
      </c>
      <c r="I3" s="15">
        <f t="shared" ref="I3:I17" si="1">H3</f>
        <v>4</v>
      </c>
      <c r="J3" s="14">
        <v>10</v>
      </c>
      <c r="K3" s="3">
        <f>J3+_xlfn.IFNA(VLOOKUP($P3,[1]Weapon!$A$1:$M$300,9,FALSE),0)+_xlfn.IFNA(VLOOKUP($S3,[1]Weapon!$A$1:$M$300,9,FALSE),0)+_xlfn.IFNA(VLOOKUP($V3,[1]Weapon!$A$1:$M$300,9,FALSE),0)+_xlfn.IFNA(VLOOKUP($Y3,[1]Weapon!$A$1:$M$300,9,FALSE),0)+_xlfn.IFNA(VLOOKUP($AB3,[1]Weapon!$A$1:$M$300,9,FALSE),0)+_xlfn.IFNA(VLOOKUP($AE3,[1]Weapon!$A$1:$M$300,9,FALSE),0)+_xlfn.IFNA(VLOOKUP($AH3,[1]Weapon!$A$1:$M$300,9,FALSE),0)+_xlfn.IFNA(VLOOKUP($AK3,[1]Weapon!$A$1:$M$300,9,FALSE),0)</f>
        <v>10</v>
      </c>
      <c r="L3" s="6">
        <v>10</v>
      </c>
      <c r="M3" s="15">
        <f t="shared" ref="M3:M14" si="2">L3</f>
        <v>10</v>
      </c>
      <c r="N3" s="14">
        <v>8</v>
      </c>
      <c r="O3" s="3">
        <f t="shared" ref="O3:O17" si="3">N3</f>
        <v>8</v>
      </c>
      <c r="P3" s="6" t="s">
        <v>159</v>
      </c>
      <c r="Q3" s="17">
        <v>13</v>
      </c>
      <c r="R3" s="17">
        <f>_xlfn.IFNA(IF($E3="Robot",VLOOKUP(P3,[1]Weapon!$B$1:$G$299,6,FALSE)/2,VLOOKUP(P3,[1]Weapon!$B$1:$G$299,6,FALSE)),0)</f>
        <v>30</v>
      </c>
      <c r="S3" s="6" t="s">
        <v>161</v>
      </c>
      <c r="T3" s="17">
        <v>-1</v>
      </c>
      <c r="U3" s="17">
        <f>_xlfn.IFNA(IF($E3="Robot",VLOOKUP(S3,[1]Weapon!$B$1:$G$299,6,FALSE)/2,VLOOKUP(S3,[1]Weapon!$B$1:$G$299,6,FALSE)),0)</f>
        <v>-2</v>
      </c>
      <c r="V3" s="6" t="s">
        <v>160</v>
      </c>
      <c r="W3" s="36">
        <v>-1</v>
      </c>
      <c r="X3" s="17">
        <f>_xlfn.IFNA(IF($E3="Robot",VLOOKUP(V3,[1]Weapon!$B$1:$G$299,6,FALSE)/2,VLOOKUP(V3,[1]Weapon!$B$1:$G$299,6,FALSE)),0)</f>
        <v>0</v>
      </c>
      <c r="Y3" s="6" t="s">
        <v>160</v>
      </c>
      <c r="Z3" s="17">
        <v>-1</v>
      </c>
      <c r="AA3" s="17">
        <f>_xlfn.IFNA(IF($E3="Robot",VLOOKUP(Y3,[1]Weapon!$B$1:$G$299,6,FALSE)/2,VLOOKUP(Y3,[1]Weapon!$B$1:$G$299,6,FALSE)),0)</f>
        <v>0</v>
      </c>
      <c r="AB3" s="6" t="s">
        <v>160</v>
      </c>
      <c r="AC3" s="17">
        <v>-1</v>
      </c>
      <c r="AD3" s="17">
        <f>_xlfn.IFNA(IF($E3="Robot",VLOOKUP(AB3,[1]Weapon!$B$1:$G$299,6,FALSE)/2,VLOOKUP(AB3,[1]Weapon!$B$1:$G$299,6,FALSE)),0)</f>
        <v>0</v>
      </c>
      <c r="AE3" s="6" t="s">
        <v>160</v>
      </c>
      <c r="AF3" s="17">
        <v>-1</v>
      </c>
      <c r="AG3" s="17">
        <f>_xlfn.IFNA(IF($E3="Robot",VLOOKUP(AE3,[1]Weapon!$B$1:$G$299,6,FALSE)/2,VLOOKUP(AE3,[1]Weapon!$B$1:$G$299,6,FALSE)),0)</f>
        <v>0</v>
      </c>
      <c r="AH3" s="6" t="s">
        <v>160</v>
      </c>
      <c r="AI3" s="17">
        <v>-1</v>
      </c>
      <c r="AJ3" s="17">
        <f>_xlfn.IFNA(IF($E3="Robot",VLOOKUP(AH3,[1]Weapon!$B$1:$G$299,6,FALSE)/2,VLOOKUP(AH3,[1]Weapon!$B$1:$G$299,6,FALSE)),0)</f>
        <v>0</v>
      </c>
      <c r="AK3" s="6" t="s">
        <v>160</v>
      </c>
      <c r="AL3" s="17">
        <v>-1</v>
      </c>
      <c r="AM3" s="17">
        <f>_xlfn.IFNA(IF($E3="Robot",VLOOKUP(AK3,[1]Weapon!$B$1:$G$299,6,FALSE)/2,VLOOKUP(AK3,[1]Weapon!$B$1:$G$299,6,FALSE)),0)</f>
        <v>0</v>
      </c>
      <c r="AN3" s="9" t="s">
        <v>160</v>
      </c>
      <c r="AO3" s="22">
        <v>0</v>
      </c>
      <c r="AP3" s="17">
        <f>_xlfn.IFNA(IF($E3="Robot",VLOOKUP(AN3,[1]Weapon!$B$1:$G$299,6,FALSE)/2,VLOOKUP(AN3,[1]Weapon!$B$1:$G$299,6,FALSE)),0)</f>
        <v>0</v>
      </c>
      <c r="AQ3" s="4" t="s">
        <v>160</v>
      </c>
      <c r="AR3" s="1" t="s">
        <v>160</v>
      </c>
      <c r="AS3" s="1">
        <v>50</v>
      </c>
      <c r="AT3" s="1" t="s">
        <v>160</v>
      </c>
    </row>
    <row r="4" spans="1:46" x14ac:dyDescent="0.25">
      <c r="A4" s="1" t="str">
        <f t="shared" si="0"/>
        <v>XScorpion</v>
      </c>
      <c r="B4" s="47" t="s">
        <v>85</v>
      </c>
      <c r="C4" s="43" t="s">
        <v>160</v>
      </c>
      <c r="D4" s="47" t="s">
        <v>85</v>
      </c>
      <c r="E4" s="47" t="s">
        <v>83</v>
      </c>
      <c r="F4" s="14">
        <v>117</v>
      </c>
      <c r="G4" s="3">
        <f>IF(ISBLANK(VLOOKUP($E4,[1]Monster!$A$2:$X$256,10,FALSE)),"",VLOOKUP($E4,[1]Monster!$A$2:$X$256,10,FALSE))</f>
        <v>117</v>
      </c>
      <c r="H4" s="6">
        <v>12</v>
      </c>
      <c r="I4" s="15">
        <f t="shared" si="1"/>
        <v>12</v>
      </c>
      <c r="J4" s="14">
        <v>4</v>
      </c>
      <c r="K4" s="3">
        <f>J4+_xlfn.IFNA(VLOOKUP($P4,[1]Weapon!$A$1:$M$300,9,FALSE),0)+_xlfn.IFNA(VLOOKUP($S4,[1]Weapon!$A$1:$M$300,9,FALSE),0)+_xlfn.IFNA(VLOOKUP($V4,[1]Weapon!$A$1:$M$300,9,FALSE),0)+_xlfn.IFNA(VLOOKUP($Y4,[1]Weapon!$A$1:$M$300,9,FALSE),0)+_xlfn.IFNA(VLOOKUP($AB4,[1]Weapon!$A$1:$M$300,9,FALSE),0)+_xlfn.IFNA(VLOOKUP($AE4,[1]Weapon!$A$1:$M$300,9,FALSE),0)+_xlfn.IFNA(VLOOKUP($AH4,[1]Weapon!$A$1:$M$300,9,FALSE),0)+_xlfn.IFNA(VLOOKUP($AK4,[1]Weapon!$A$1:$M$300,9,FALSE),0)</f>
        <v>4</v>
      </c>
      <c r="L4" s="6">
        <v>4</v>
      </c>
      <c r="M4" s="15">
        <f t="shared" si="2"/>
        <v>4</v>
      </c>
      <c r="N4" s="14">
        <v>8</v>
      </c>
      <c r="O4" s="3">
        <f t="shared" si="3"/>
        <v>8</v>
      </c>
      <c r="P4" s="6" t="s">
        <v>3</v>
      </c>
      <c r="Q4" s="17">
        <v>30</v>
      </c>
      <c r="R4" s="17">
        <f>_xlfn.IFNA(IF($E4="Robot",VLOOKUP(P4,[1]Weapon!$B$1:$G$299,6,FALSE)/2,VLOOKUP(P4,[1]Weapon!$B$1:$G$299,6,FALSE)),0)</f>
        <v>30</v>
      </c>
      <c r="S4" s="6" t="s">
        <v>149</v>
      </c>
      <c r="T4" s="17">
        <v>12</v>
      </c>
      <c r="U4" s="17">
        <f>_xlfn.IFNA(IF($E4="Robot",VLOOKUP(S4,[1]Weapon!$B$1:$G$299,6,FALSE)/2,VLOOKUP(S4,[1]Weapon!$B$1:$G$299,6,FALSE)),0)</f>
        <v>15</v>
      </c>
      <c r="V4" s="6" t="s">
        <v>162</v>
      </c>
      <c r="W4" s="36">
        <v>-1</v>
      </c>
      <c r="X4" s="17">
        <f>_xlfn.IFNA(IF($E4="Robot",VLOOKUP(V4,[1]Weapon!$B$1:$G$299,6,FALSE)/2,VLOOKUP(V4,[1]Weapon!$B$1:$G$299,6,FALSE)),0)</f>
        <v>-2</v>
      </c>
      <c r="Y4" s="6" t="s">
        <v>160</v>
      </c>
      <c r="Z4" s="17">
        <v>-1</v>
      </c>
      <c r="AA4" s="17">
        <f>_xlfn.IFNA(IF($E4="Robot",VLOOKUP(Y4,[1]Weapon!$B$1:$G$299,6,FALSE)/2,VLOOKUP(Y4,[1]Weapon!$B$1:$G$299,6,FALSE)),0)</f>
        <v>0</v>
      </c>
      <c r="AB4" s="6" t="s">
        <v>160</v>
      </c>
      <c r="AC4" s="17">
        <v>-1</v>
      </c>
      <c r="AD4" s="17">
        <f>_xlfn.IFNA(IF($E4="Robot",VLOOKUP(AB4,[1]Weapon!$B$1:$G$299,6,FALSE)/2,VLOOKUP(AB4,[1]Weapon!$B$1:$G$299,6,FALSE)),0)</f>
        <v>0</v>
      </c>
      <c r="AE4" s="6" t="s">
        <v>160</v>
      </c>
      <c r="AF4" s="17">
        <v>-1</v>
      </c>
      <c r="AG4" s="17">
        <f>_xlfn.IFNA(IF($E4="Robot",VLOOKUP(AE4,[1]Weapon!$B$1:$G$299,6,FALSE)/2,VLOOKUP(AE4,[1]Weapon!$B$1:$G$299,6,FALSE)),0)</f>
        <v>0</v>
      </c>
      <c r="AH4" s="6" t="s">
        <v>160</v>
      </c>
      <c r="AI4" s="17">
        <v>-1</v>
      </c>
      <c r="AJ4" s="17">
        <f>_xlfn.IFNA(IF($E4="Robot",VLOOKUP(AH4,[1]Weapon!$B$1:$G$299,6,FALSE)/2,VLOOKUP(AH4,[1]Weapon!$B$1:$G$299,6,FALSE)),0)</f>
        <v>0</v>
      </c>
      <c r="AK4" s="6" t="s">
        <v>160</v>
      </c>
      <c r="AL4" s="17">
        <v>-1</v>
      </c>
      <c r="AM4" s="17">
        <f>_xlfn.IFNA(IF($E4="Robot",VLOOKUP(AK4,[1]Weapon!$B$1:$G$299,6,FALSE)/2,VLOOKUP(AK4,[1]Weapon!$B$1:$G$299,6,FALSE)),0)</f>
        <v>0</v>
      </c>
      <c r="AN4" s="6" t="s">
        <v>160</v>
      </c>
      <c r="AO4" s="17">
        <v>0</v>
      </c>
      <c r="AP4" s="17">
        <f>_xlfn.IFNA(IF($E4="Robot",VLOOKUP(AN4,[1]Weapon!$B$1:$G$299,6,FALSE)/2,VLOOKUP(AN4,[1]Weapon!$B$1:$G$299,6,FALSE)),0)</f>
        <v>0</v>
      </c>
      <c r="AQ4" s="1" t="s">
        <v>160</v>
      </c>
      <c r="AR4" s="1" t="s">
        <v>160</v>
      </c>
      <c r="AS4" s="1">
        <v>50</v>
      </c>
      <c r="AT4" s="1" t="s">
        <v>160</v>
      </c>
    </row>
    <row r="5" spans="1:46" x14ac:dyDescent="0.25">
      <c r="A5" s="1" t="str">
        <f t="shared" si="0"/>
        <v>Bubble</v>
      </c>
      <c r="B5" s="47" t="s">
        <v>84</v>
      </c>
      <c r="C5" s="43" t="s">
        <v>160</v>
      </c>
      <c r="D5" s="47" t="s">
        <v>86</v>
      </c>
      <c r="E5" s="47" t="s">
        <v>63</v>
      </c>
      <c r="F5" s="1">
        <v>91</v>
      </c>
      <c r="G5" s="3">
        <v>91</v>
      </c>
      <c r="H5" s="6">
        <v>12</v>
      </c>
      <c r="I5" s="15">
        <f t="shared" si="1"/>
        <v>12</v>
      </c>
      <c r="J5" s="14">
        <v>0</v>
      </c>
      <c r="K5" s="3">
        <f>J5+_xlfn.IFNA(VLOOKUP($P5,[1]Weapon!$A$1:$M$300,9,FALSE),0)+_xlfn.IFNA(VLOOKUP($S5,[1]Weapon!$A$1:$M$300,9,FALSE),0)+_xlfn.IFNA(VLOOKUP($V5,[1]Weapon!$A$1:$M$300,9,FALSE),0)+_xlfn.IFNA(VLOOKUP($Y5,[1]Weapon!$A$1:$M$300,9,FALSE),0)+_xlfn.IFNA(VLOOKUP($AB5,[1]Weapon!$A$1:$M$300,9,FALSE),0)+_xlfn.IFNA(VLOOKUP($AE5,[1]Weapon!$A$1:$M$300,9,FALSE),0)+_xlfn.IFNA(VLOOKUP($AH5,[1]Weapon!$A$1:$M$300,9,FALSE),0)+_xlfn.IFNA(VLOOKUP($AK5,[1]Weapon!$A$1:$M$300,9,FALSE),0)</f>
        <v>6</v>
      </c>
      <c r="L5" s="6">
        <v>6</v>
      </c>
      <c r="M5" s="15">
        <f t="shared" si="2"/>
        <v>6</v>
      </c>
      <c r="N5" s="14">
        <v>3</v>
      </c>
      <c r="O5" s="3">
        <f t="shared" si="3"/>
        <v>3</v>
      </c>
      <c r="P5" s="49" t="s">
        <v>43</v>
      </c>
      <c r="Q5" s="18">
        <v>50</v>
      </c>
      <c r="R5" s="17">
        <f>_xlfn.IFNA(IF($E5="Robot",VLOOKUP(P5,[1]Weapon!$B$1:$G$299,6,FALSE)/2,VLOOKUP(P5,[1]Weapon!$B$1:$G$299,6,FALSE)),0)</f>
        <v>50</v>
      </c>
      <c r="S5" s="49" t="s">
        <v>125</v>
      </c>
      <c r="T5" s="17">
        <v>39</v>
      </c>
      <c r="U5" s="17">
        <f>_xlfn.IFNA(IF($E5="Robot",VLOOKUP(S5,[1]Weapon!$B$1:$G$299,6,FALSE)/2,VLOOKUP(S5,[1]Weapon!$B$1:$G$299,6,FALSE)),0)</f>
        <v>40</v>
      </c>
      <c r="V5" s="49" t="s">
        <v>124</v>
      </c>
      <c r="W5" s="37">
        <v>9</v>
      </c>
      <c r="X5" s="17">
        <f>_xlfn.IFNA(IF($E5="Robot",VLOOKUP(V5,[1]Weapon!$B$1:$G$299,6,FALSE)/2,VLOOKUP(V5,[1]Weapon!$B$1:$G$299,6,FALSE)),0)</f>
        <v>40</v>
      </c>
      <c r="Y5" s="49" t="s">
        <v>122</v>
      </c>
      <c r="Z5" s="17">
        <v>-1</v>
      </c>
      <c r="AA5" s="17">
        <f>_xlfn.IFNA(IF($E5="Robot",VLOOKUP(Y5,[1]Weapon!$B$1:$G$299,6,FALSE)/2,VLOOKUP(Y5,[1]Weapon!$B$1:$G$299,6,FALSE)),0)</f>
        <v>-2</v>
      </c>
      <c r="AB5" s="49" t="s">
        <v>114</v>
      </c>
      <c r="AC5" s="17">
        <v>-1</v>
      </c>
      <c r="AD5" s="17">
        <f>_xlfn.IFNA(IF($E5="Robot",VLOOKUP(AB5,[1]Weapon!$B$1:$G$299,6,FALSE)/2,VLOOKUP(AB5,[1]Weapon!$B$1:$G$299,6,FALSE)),0)</f>
        <v>-2</v>
      </c>
      <c r="AE5" s="49" t="s">
        <v>113</v>
      </c>
      <c r="AF5" s="17">
        <v>-1</v>
      </c>
      <c r="AG5" s="17">
        <f>_xlfn.IFNA(IF($E5="Robot",VLOOKUP(AE5,[1]Weapon!$B$1:$G$299,6,FALSE)/2,VLOOKUP(AE5,[1]Weapon!$B$1:$G$299,6,FALSE)),0)</f>
        <v>-2</v>
      </c>
      <c r="AH5" s="6" t="s">
        <v>160</v>
      </c>
      <c r="AI5" s="17">
        <v>-1</v>
      </c>
      <c r="AJ5" s="17">
        <f>_xlfn.IFNA(IF($E5="Robot",VLOOKUP(AH5,[1]Weapon!$B$1:$G$299,6,FALSE)/2,VLOOKUP(AH5,[1]Weapon!$B$1:$G$299,6,FALSE)),0)</f>
        <v>0</v>
      </c>
      <c r="AK5" s="6" t="s">
        <v>160</v>
      </c>
      <c r="AL5" s="17">
        <v>-1</v>
      </c>
      <c r="AM5" s="17">
        <f>_xlfn.IFNA(IF($E5="Robot",VLOOKUP(AK5,[1]Weapon!$B$1:$G$299,6,FALSE)/2,VLOOKUP(AK5,[1]Weapon!$B$1:$G$299,6,FALSE)),0)</f>
        <v>0</v>
      </c>
      <c r="AN5" s="6" t="s">
        <v>160</v>
      </c>
      <c r="AO5" s="17">
        <v>0</v>
      </c>
      <c r="AP5" s="17">
        <f>_xlfn.IFNA(IF($E5="Robot",VLOOKUP(AN5,[1]Weapon!$B$1:$G$299,6,FALSE)/2,VLOOKUP(AN5,[1]Weapon!$B$1:$G$299,6,FALSE)),0)</f>
        <v>0</v>
      </c>
      <c r="AQ5" s="1" t="s">
        <v>160</v>
      </c>
      <c r="AR5" s="1" t="s">
        <v>160</v>
      </c>
      <c r="AS5" s="1">
        <v>50</v>
      </c>
      <c r="AT5" s="1" t="s">
        <v>160</v>
      </c>
    </row>
    <row r="6" spans="1:46" x14ac:dyDescent="0.25">
      <c r="A6" s="1" t="str">
        <f t="shared" si="0"/>
        <v>Trog</v>
      </c>
      <c r="B6" s="48" t="s">
        <v>108</v>
      </c>
      <c r="C6" s="43" t="s">
        <v>160</v>
      </c>
      <c r="D6" s="47" t="s">
        <v>87</v>
      </c>
      <c r="E6" s="48" t="s">
        <v>63</v>
      </c>
      <c r="F6" s="40">
        <v>90</v>
      </c>
      <c r="G6" s="3">
        <v>90</v>
      </c>
      <c r="H6" s="6">
        <v>8</v>
      </c>
      <c r="I6" s="15">
        <f t="shared" si="1"/>
        <v>8</v>
      </c>
      <c r="J6" s="14">
        <v>0</v>
      </c>
      <c r="K6" s="3">
        <f>J6+_xlfn.IFNA(VLOOKUP($P6,[1]Weapon!$A$1:$M$300,9,FALSE),0)+_xlfn.IFNA(VLOOKUP($S6,[1]Weapon!$A$1:$M$300,9,FALSE),0)+_xlfn.IFNA(VLOOKUP($V6,[1]Weapon!$A$1:$M$300,9,FALSE),0)+_xlfn.IFNA(VLOOKUP($Y6,[1]Weapon!$A$1:$M$300,9,FALSE),0)+_xlfn.IFNA(VLOOKUP($AB6,[1]Weapon!$A$1:$M$300,9,FALSE),0)+_xlfn.IFNA(VLOOKUP($AE6,[1]Weapon!$A$1:$M$300,9,FALSE),0)+_xlfn.IFNA(VLOOKUP($AH6,[1]Weapon!$A$1:$M$300,9,FALSE),0)+_xlfn.IFNA(VLOOKUP($AK6,[1]Weapon!$A$1:$M$300,9,FALSE),0)</f>
        <v>7</v>
      </c>
      <c r="L6" s="6">
        <v>9</v>
      </c>
      <c r="M6" s="15">
        <f t="shared" si="2"/>
        <v>9</v>
      </c>
      <c r="N6" s="14">
        <v>6</v>
      </c>
      <c r="O6" s="3">
        <f t="shared" si="3"/>
        <v>6</v>
      </c>
      <c r="P6" s="49" t="s">
        <v>126</v>
      </c>
      <c r="Q6" s="17">
        <v>49</v>
      </c>
      <c r="R6" s="17">
        <f>_xlfn.IFNA(IF($E6="Robot",VLOOKUP(P6,[1]Weapon!$B$1:$G$299,6,FALSE)/2,VLOOKUP(P6,[1]Weapon!$B$1:$G$299,6,FALSE)),0)</f>
        <v>60</v>
      </c>
      <c r="S6" s="49" t="s">
        <v>127</v>
      </c>
      <c r="T6" s="25">
        <v>49</v>
      </c>
      <c r="U6" s="17">
        <f>_xlfn.IFNA(IF($E6="Robot",VLOOKUP(S6,[1]Weapon!$B$1:$G$299,6,FALSE)/2,VLOOKUP(S6,[1]Weapon!$B$1:$G$299,6,FALSE)),0)</f>
        <v>50</v>
      </c>
      <c r="V6" s="49" t="s">
        <v>122</v>
      </c>
      <c r="W6" s="38">
        <v>-1</v>
      </c>
      <c r="X6" s="17">
        <f>_xlfn.IFNA(IF($E6="Robot",VLOOKUP(V6,[1]Weapon!$B$1:$G$299,6,FALSE)/2,VLOOKUP(V6,[1]Weapon!$B$1:$G$299,6,FALSE)),0)</f>
        <v>-2</v>
      </c>
      <c r="Y6" s="49" t="s">
        <v>131</v>
      </c>
      <c r="Z6" s="38">
        <v>-1</v>
      </c>
      <c r="AA6" s="17">
        <f>_xlfn.IFNA(IF($E6="Robot",VLOOKUP(Y6,[1]Weapon!$B$1:$G$299,6,FALSE)/2,VLOOKUP(Y6,[1]Weapon!$B$1:$G$299,6,FALSE)),0)</f>
        <v>-2</v>
      </c>
      <c r="AB6" s="12" t="s">
        <v>160</v>
      </c>
      <c r="AC6" s="39">
        <v>-1</v>
      </c>
      <c r="AD6" s="17">
        <f>_xlfn.IFNA(IF($E6="Robot",VLOOKUP(AB6,[1]Weapon!$B$1:$G$299,6,FALSE)/2,VLOOKUP(AB6,[1]Weapon!$B$1:$G$299,6,FALSE)),0)</f>
        <v>0</v>
      </c>
      <c r="AE6" s="10" t="s">
        <v>160</v>
      </c>
      <c r="AF6" s="24">
        <v>-1</v>
      </c>
      <c r="AG6" s="17">
        <f>_xlfn.IFNA(IF($E6="Robot",VLOOKUP(AE6,[1]Weapon!$B$1:$G$299,6,FALSE)/2,VLOOKUP(AE6,[1]Weapon!$B$1:$G$299,6,FALSE)),0)</f>
        <v>0</v>
      </c>
      <c r="AH6" s="6" t="s">
        <v>160</v>
      </c>
      <c r="AI6" s="17">
        <v>-1</v>
      </c>
      <c r="AJ6" s="17">
        <f>_xlfn.IFNA(IF($E6="Robot",VLOOKUP(AH6,[1]Weapon!$B$1:$G$299,6,FALSE)/2,VLOOKUP(AH6,[1]Weapon!$B$1:$G$299,6,FALSE)),0)</f>
        <v>0</v>
      </c>
      <c r="AK6" s="6" t="s">
        <v>160</v>
      </c>
      <c r="AL6" s="17">
        <v>-1</v>
      </c>
      <c r="AM6" s="17">
        <f>_xlfn.IFNA(IF($E6="Robot",VLOOKUP(AK6,[1]Weapon!$B$1:$G$299,6,FALSE)/2,VLOOKUP(AK6,[1]Weapon!$B$1:$G$299,6,FALSE)),0)</f>
        <v>0</v>
      </c>
      <c r="AN6" s="9" t="s">
        <v>160</v>
      </c>
      <c r="AO6" s="22">
        <v>0</v>
      </c>
      <c r="AP6" s="17">
        <f>_xlfn.IFNA(IF($E6="Robot",VLOOKUP(AN6,[1]Weapon!$B$1:$G$299,6,FALSE)/2,VLOOKUP(AN6,[1]Weapon!$B$1:$G$299,6,FALSE)),0)</f>
        <v>0</v>
      </c>
      <c r="AQ6" s="4" t="s">
        <v>160</v>
      </c>
      <c r="AR6" s="1" t="s">
        <v>160</v>
      </c>
      <c r="AS6" s="1">
        <v>36</v>
      </c>
      <c r="AT6" s="1" t="s">
        <v>160</v>
      </c>
    </row>
    <row r="7" spans="1:46" x14ac:dyDescent="0.25">
      <c r="A7" s="1" t="str">
        <f t="shared" si="0"/>
        <v>Sandy</v>
      </c>
      <c r="B7" s="47" t="s">
        <v>88</v>
      </c>
      <c r="C7" s="43" t="s">
        <v>160</v>
      </c>
      <c r="D7" s="47" t="s">
        <v>89</v>
      </c>
      <c r="E7" s="47" t="s">
        <v>63</v>
      </c>
      <c r="F7" s="2">
        <v>84</v>
      </c>
      <c r="G7" s="3">
        <v>84</v>
      </c>
      <c r="H7" s="6">
        <v>4</v>
      </c>
      <c r="I7" s="15">
        <f t="shared" si="1"/>
        <v>4</v>
      </c>
      <c r="J7" s="14">
        <v>0</v>
      </c>
      <c r="K7" s="3">
        <f>J7+_xlfn.IFNA(VLOOKUP($P7,[1]Weapon!$A$1:$M$300,9,FALSE),0)+_xlfn.IFNA(VLOOKUP($S7,[1]Weapon!$A$1:$M$300,9,FALSE),0)+_xlfn.IFNA(VLOOKUP($V7,[1]Weapon!$A$1:$M$300,9,FALSE),0)+_xlfn.IFNA(VLOOKUP($Y7,[1]Weapon!$A$1:$M$300,9,FALSE),0)+_xlfn.IFNA(VLOOKUP($AB7,[1]Weapon!$A$1:$M$300,9,FALSE),0)+_xlfn.IFNA(VLOOKUP($AE7,[1]Weapon!$A$1:$M$300,9,FALSE),0)+_xlfn.IFNA(VLOOKUP($AH7,[1]Weapon!$A$1:$M$300,9,FALSE),0)+_xlfn.IFNA(VLOOKUP($AK7,[1]Weapon!$A$1:$M$300,9,FALSE),0)</f>
        <v>5</v>
      </c>
      <c r="L7" s="6">
        <v>8</v>
      </c>
      <c r="M7" s="15">
        <f t="shared" si="2"/>
        <v>8</v>
      </c>
      <c r="N7" s="14">
        <v>10</v>
      </c>
      <c r="O7" s="3">
        <f t="shared" si="3"/>
        <v>10</v>
      </c>
      <c r="P7" s="49" t="s">
        <v>128</v>
      </c>
      <c r="Q7" s="17">
        <v>12</v>
      </c>
      <c r="R7" s="17">
        <f>_xlfn.IFNA(IF($E7="Robot",VLOOKUP(P7,[1]Weapon!$B$1:$G$299,6,FALSE)/2,VLOOKUP(P7,[1]Weapon!$B$1:$G$299,6,FALSE)),0)</f>
        <v>30</v>
      </c>
      <c r="S7" s="49" t="s">
        <v>129</v>
      </c>
      <c r="T7" s="17">
        <v>30</v>
      </c>
      <c r="U7" s="17">
        <f>_xlfn.IFNA(IF($E7="Robot",VLOOKUP(S7,[1]Weapon!$B$1:$G$299,6,FALSE)/2,VLOOKUP(S7,[1]Weapon!$B$1:$G$299,6,FALSE)),0)</f>
        <v>30</v>
      </c>
      <c r="V7" s="49" t="s">
        <v>130</v>
      </c>
      <c r="W7" s="38">
        <v>28</v>
      </c>
      <c r="X7" s="17">
        <f>_xlfn.IFNA(IF($E7="Robot",VLOOKUP(V7,[1]Weapon!$B$1:$G$299,6,FALSE)/2,VLOOKUP(V7,[1]Weapon!$B$1:$G$299,6,FALSE)),0)</f>
        <v>30</v>
      </c>
      <c r="Y7" s="49" t="s">
        <v>122</v>
      </c>
      <c r="Z7" s="17">
        <v>-1</v>
      </c>
      <c r="AA7" s="17">
        <f>_xlfn.IFNA(IF($E7="Robot",VLOOKUP(Y7,[1]Weapon!$B$1:$G$299,6,FALSE)/2,VLOOKUP(Y7,[1]Weapon!$B$1:$G$299,6,FALSE)),0)</f>
        <v>-2</v>
      </c>
      <c r="AB7" s="49" t="s">
        <v>114</v>
      </c>
      <c r="AC7" s="17">
        <v>-1</v>
      </c>
      <c r="AD7" s="17">
        <f>_xlfn.IFNA(IF($E7="Robot",VLOOKUP(AB7,[1]Weapon!$B$1:$G$299,6,FALSE)/2,VLOOKUP(AB7,[1]Weapon!$B$1:$G$299,6,FALSE)),0)</f>
        <v>-2</v>
      </c>
      <c r="AE7" s="49" t="s">
        <v>115</v>
      </c>
      <c r="AF7" s="17">
        <v>50</v>
      </c>
      <c r="AG7" s="17">
        <f>_xlfn.IFNA(IF($E7="Robot",VLOOKUP(AE7,[1]Weapon!$B$1:$G$299,6,FALSE)/2,VLOOKUP(AE7,[1]Weapon!$B$1:$G$299,6,FALSE)),0)</f>
        <v>50</v>
      </c>
      <c r="AH7" s="6" t="s">
        <v>160</v>
      </c>
      <c r="AI7" s="17">
        <v>-1</v>
      </c>
      <c r="AJ7" s="17">
        <f>_xlfn.IFNA(IF($E7="Robot",VLOOKUP(AH7,[1]Weapon!$B$1:$G$299,6,FALSE)/2,VLOOKUP(AH7,[1]Weapon!$B$1:$G$299,6,FALSE)),0)</f>
        <v>0</v>
      </c>
      <c r="AK7" s="6" t="s">
        <v>160</v>
      </c>
      <c r="AL7" s="17">
        <v>-1</v>
      </c>
      <c r="AM7" s="17">
        <f>_xlfn.IFNA(IF($E7="Robot",VLOOKUP(AK7,[1]Weapon!$B$1:$G$299,6,FALSE)/2,VLOOKUP(AK7,[1]Weapon!$B$1:$G$299,6,FALSE)),0)</f>
        <v>0</v>
      </c>
      <c r="AN7" s="9" t="s">
        <v>160</v>
      </c>
      <c r="AO7" s="22">
        <v>0</v>
      </c>
      <c r="AP7" s="17">
        <f>_xlfn.IFNA(IF($E7="Robot",VLOOKUP(AN7,[1]Weapon!$B$1:$G$299,6,FALSE)/2,VLOOKUP(AN7,[1]Weapon!$B$1:$G$299,6,FALSE)),0)</f>
        <v>0</v>
      </c>
      <c r="AQ7" s="1" t="s">
        <v>160</v>
      </c>
      <c r="AR7" s="1" t="s">
        <v>160</v>
      </c>
      <c r="AS7" s="1">
        <v>58</v>
      </c>
      <c r="AT7" s="1" t="s">
        <v>160</v>
      </c>
    </row>
    <row r="8" spans="1:46" x14ac:dyDescent="0.25">
      <c r="A8" s="1" t="str">
        <f t="shared" si="0"/>
        <v>Astrid</v>
      </c>
      <c r="B8" s="47" t="s">
        <v>90</v>
      </c>
      <c r="C8" s="43" t="s">
        <v>160</v>
      </c>
      <c r="D8" s="47" t="s">
        <v>91</v>
      </c>
      <c r="E8" s="47" t="s">
        <v>64</v>
      </c>
      <c r="F8" s="40">
        <v>63</v>
      </c>
      <c r="G8" s="3">
        <v>94</v>
      </c>
      <c r="H8" s="6">
        <v>8</v>
      </c>
      <c r="I8" s="15">
        <f t="shared" si="1"/>
        <v>8</v>
      </c>
      <c r="J8" s="14">
        <v>0</v>
      </c>
      <c r="K8" s="3">
        <f>J8+_xlfn.IFNA(VLOOKUP($P8,[1]Weapon!$A$1:$M$300,9,FALSE),0)+_xlfn.IFNA(VLOOKUP($S8,[1]Weapon!$A$1:$M$300,9,FALSE),0)+_xlfn.IFNA(VLOOKUP($V8,[1]Weapon!$A$1:$M$300,9,FALSE),0)+_xlfn.IFNA(VLOOKUP($Y8,[1]Weapon!$A$1:$M$300,9,FALSE),0)+_xlfn.IFNA(VLOOKUP($AB8,[1]Weapon!$A$1:$M$300,9,FALSE),0)+_xlfn.IFNA(VLOOKUP($AE8,[1]Weapon!$A$1:$M$300,9,FALSE),0)+_xlfn.IFNA(VLOOKUP($AH8,[1]Weapon!$A$1:$M$300,9,FALSE),0)+_xlfn.IFNA(VLOOKUP($AK8,[1]Weapon!$A$1:$M$300,9,FALSE),0)</f>
        <v>7</v>
      </c>
      <c r="L8" s="6">
        <v>9</v>
      </c>
      <c r="M8" s="15">
        <f t="shared" si="2"/>
        <v>9</v>
      </c>
      <c r="N8" s="14">
        <v>7</v>
      </c>
      <c r="O8" s="3">
        <f t="shared" si="3"/>
        <v>7</v>
      </c>
      <c r="P8" s="49" t="s">
        <v>134</v>
      </c>
      <c r="Q8" s="19">
        <v>14</v>
      </c>
      <c r="R8" s="17">
        <f>_xlfn.IFNA(IF($E8="Robot",VLOOKUP(P8,[1]Weapon!$B$1:$G$299,6,FALSE)/2,VLOOKUP(P8,[1]Weapon!$B$1:$G$299,6,FALSE)),0)</f>
        <v>15</v>
      </c>
      <c r="S8" s="49" t="s">
        <v>133</v>
      </c>
      <c r="T8" s="26">
        <v>-1</v>
      </c>
      <c r="U8" s="17">
        <f>_xlfn.IFNA(IF($E8="Robot",VLOOKUP(S8,[1]Weapon!$B$1:$G$299,6,FALSE)/2,VLOOKUP(S8,[1]Weapon!$B$1:$G$299,6,FALSE)),0)</f>
        <v>-2</v>
      </c>
      <c r="V8" s="49" t="s">
        <v>135</v>
      </c>
      <c r="W8" s="27">
        <v>-1</v>
      </c>
      <c r="X8" s="17">
        <f>_xlfn.IFNA(IF($E8="Robot",VLOOKUP(V8,[1]Weapon!$B$1:$G$299,6,FALSE)/2,VLOOKUP(V8,[1]Weapon!$B$1:$G$299,6,FALSE)),0)</f>
        <v>-2</v>
      </c>
      <c r="Y8" s="11" t="s">
        <v>160</v>
      </c>
      <c r="Z8" s="27">
        <v>-1</v>
      </c>
      <c r="AA8" s="17">
        <f>_xlfn.IFNA(IF($E8="Robot",VLOOKUP(Y8,[1]Weapon!$B$1:$G$299,6,FALSE)/2,VLOOKUP(Y8,[1]Weapon!$B$1:$G$299,6,FALSE)),0)</f>
        <v>0</v>
      </c>
      <c r="AB8" s="49" t="s">
        <v>126</v>
      </c>
      <c r="AC8" s="17">
        <v>59</v>
      </c>
      <c r="AD8" s="17">
        <f>_xlfn.IFNA(IF($E8="Robot",VLOOKUP(AB8,[1]Weapon!$B$1:$G$299,6,FALSE)/2,VLOOKUP(AB8,[1]Weapon!$B$1:$G$299,6,FALSE)),0)</f>
        <v>60</v>
      </c>
      <c r="AE8" s="49" t="s">
        <v>123</v>
      </c>
      <c r="AF8" s="17">
        <v>-1</v>
      </c>
      <c r="AG8" s="17">
        <f>_xlfn.IFNA(IF($E8="Robot",VLOOKUP(AE8,[1]Weapon!$B$1:$G$299,6,FALSE)/2,VLOOKUP(AE8,[1]Weapon!$B$1:$G$299,6,FALSE)),0)</f>
        <v>-2</v>
      </c>
      <c r="AH8" s="6" t="s">
        <v>160</v>
      </c>
      <c r="AI8" s="17">
        <v>-1</v>
      </c>
      <c r="AJ8" s="17">
        <f>_xlfn.IFNA(IF($E8="Robot",VLOOKUP(AH8,[1]Weapon!$B$1:$G$299,6,FALSE)/2,VLOOKUP(AH8,[1]Weapon!$B$1:$G$299,6,FALSE)),0)</f>
        <v>0</v>
      </c>
      <c r="AK8" s="6" t="s">
        <v>160</v>
      </c>
      <c r="AL8" s="17">
        <v>-1</v>
      </c>
      <c r="AM8" s="17">
        <f>_xlfn.IFNA(IF($E8="Robot",VLOOKUP(AK8,[1]Weapon!$B$1:$G$299,6,FALSE)/2,VLOOKUP(AK8,[1]Weapon!$B$1:$G$299,6,FALSE)),0)</f>
        <v>0</v>
      </c>
      <c r="AN8" s="6" t="s">
        <v>160</v>
      </c>
      <c r="AO8" s="17">
        <v>0</v>
      </c>
      <c r="AP8" s="17">
        <f>_xlfn.IFNA(IF($E8="Robot",VLOOKUP(AN8,[1]Weapon!$B$1:$G$299,6,FALSE)/2,VLOOKUP(AN8,[1]Weapon!$B$1:$G$299,6,FALSE)),0)</f>
        <v>0</v>
      </c>
      <c r="AQ8" s="1" t="s">
        <v>160</v>
      </c>
      <c r="AR8" s="1" t="s">
        <v>160</v>
      </c>
      <c r="AS8" s="1">
        <v>58</v>
      </c>
      <c r="AT8" s="1" t="s">
        <v>160</v>
      </c>
    </row>
    <row r="9" spans="1:46" x14ac:dyDescent="0.25">
      <c r="A9" s="1" t="str">
        <f t="shared" si="0"/>
        <v>Obrez</v>
      </c>
      <c r="B9" s="47" t="s">
        <v>92</v>
      </c>
      <c r="C9" s="43" t="s">
        <v>160</v>
      </c>
      <c r="D9" s="47" t="s">
        <v>93</v>
      </c>
      <c r="E9" s="47" t="s">
        <v>26</v>
      </c>
      <c r="F9" s="40">
        <v>105</v>
      </c>
      <c r="G9" s="3">
        <f>24+_xlfn.IFNA(VLOOKUP($P9,[1]Weapon!$A$1:$M$300,12,FALSE),0)+_xlfn.IFNA(VLOOKUP($S9,[1]Weapon!$A$1:$M$300,12,FALSE),0)+_xlfn.IFNA(VLOOKUP($V9,[1]Weapon!$A$1:$M$300,12,FALSE),0)+_xlfn.IFNA(VLOOKUP($Y9,[1]Weapon!$A$1:$M$300,12,FALSE),0)+_xlfn.IFNA(VLOOKUP($AB9,[1]Weapon!$A$1:$M$300,12,FALSE),0)+_xlfn.IFNA(VLOOKUP($AE9,[1]Weapon!$A$1:$M$300,12,FALSE),0)+_xlfn.IFNA(VLOOKUP($AH9,[1]Weapon!$A$1:$M$300,12,FALSE),0)+_xlfn.IFNA(VLOOKUP($AK9,[1]Weapon!$A$1:$M$300,12,FALSE),0)</f>
        <v>105</v>
      </c>
      <c r="H9" s="6">
        <v>0</v>
      </c>
      <c r="I9" s="15">
        <f>H9+6</f>
        <v>6</v>
      </c>
      <c r="J9" s="14">
        <v>6</v>
      </c>
      <c r="K9" s="3">
        <f>J9+2</f>
        <v>8</v>
      </c>
      <c r="L9" s="6">
        <v>5</v>
      </c>
      <c r="M9" s="15">
        <f t="shared" si="2"/>
        <v>5</v>
      </c>
      <c r="N9" s="14">
        <v>0</v>
      </c>
      <c r="O9" s="3">
        <f t="shared" si="3"/>
        <v>0</v>
      </c>
      <c r="P9" s="7" t="s">
        <v>110</v>
      </c>
      <c r="Q9" s="20">
        <v>-1</v>
      </c>
      <c r="R9" s="17">
        <f>_xlfn.IFNA(IF($E9="Robot",VLOOKUP(P9,[1]Weapon!$B$1:$G$299,6,FALSE)/2,VLOOKUP(P9,[1]Weapon!$B$1:$G$299,6,FALSE)),0)</f>
        <v>-1</v>
      </c>
      <c r="S9" s="49" t="s">
        <v>118</v>
      </c>
      <c r="T9" s="27">
        <v>25</v>
      </c>
      <c r="U9" s="17">
        <f>_xlfn.IFNA(IF($E9="Robot",VLOOKUP(S9,[1]Weapon!$B$1:$G$299,6,FALSE)/2,VLOOKUP(S9,[1]Weapon!$B$1:$G$299,6,FALSE)),0)</f>
        <v>25</v>
      </c>
      <c r="V9" s="49" t="s">
        <v>119</v>
      </c>
      <c r="W9" s="17">
        <v>9</v>
      </c>
      <c r="X9" s="17">
        <f>_xlfn.IFNA(IF($E9="Robot",VLOOKUP(V9,[1]Weapon!$B$1:$G$299,6,FALSE)/2,VLOOKUP(V9,[1]Weapon!$B$1:$G$299,6,FALSE)),0)</f>
        <v>10</v>
      </c>
      <c r="Y9" s="49" t="s">
        <v>160</v>
      </c>
      <c r="Z9" s="17">
        <v>-1</v>
      </c>
      <c r="AA9" s="17">
        <f>_xlfn.IFNA(IF($E9="Robot",VLOOKUP(Y9,[1]Weapon!$B$1:$G$299,6,FALSE)/2,VLOOKUP(Y9,[1]Weapon!$B$1:$G$299,6,FALSE)),0)</f>
        <v>0</v>
      </c>
      <c r="AB9" s="6" t="s">
        <v>160</v>
      </c>
      <c r="AC9" s="17">
        <v>-1</v>
      </c>
      <c r="AD9" s="17">
        <f>_xlfn.IFNA(IF($E9="Robot",VLOOKUP(AB9,[1]Weapon!$B$1:$G$299,6,FALSE)/2,VLOOKUP(AB9,[1]Weapon!$B$1:$G$299,6,FALSE)),0)</f>
        <v>0</v>
      </c>
      <c r="AE9" s="6" t="s">
        <v>160</v>
      </c>
      <c r="AF9" s="17">
        <v>-1</v>
      </c>
      <c r="AG9" s="17">
        <f>_xlfn.IFNA(IF($E9="Robot",VLOOKUP(AE9,[1]Weapon!$B$1:$G$299,6,FALSE)/2,VLOOKUP(AE9,[1]Weapon!$B$1:$G$299,6,FALSE)),0)</f>
        <v>0</v>
      </c>
      <c r="AH9" s="6" t="s">
        <v>160</v>
      </c>
      <c r="AI9" s="17">
        <v>-1</v>
      </c>
      <c r="AJ9" s="17">
        <f>_xlfn.IFNA(IF($E9="Robot",VLOOKUP(AH9,[1]Weapon!$B$1:$G$299,6,FALSE)/2,VLOOKUP(AH9,[1]Weapon!$B$1:$G$299,6,FALSE)),0)</f>
        <v>0</v>
      </c>
      <c r="AK9" s="6" t="s">
        <v>160</v>
      </c>
      <c r="AL9" s="17">
        <v>-1</v>
      </c>
      <c r="AM9" s="17">
        <f>_xlfn.IFNA(IF($E9="Robot",VLOOKUP(AK9,[1]Weapon!$B$1:$G$299,6,FALSE)/2,VLOOKUP(AK9,[1]Weapon!$B$1:$G$299,6,FALSE)),0)</f>
        <v>0</v>
      </c>
      <c r="AN9" s="6" t="s">
        <v>160</v>
      </c>
      <c r="AO9" s="17">
        <v>0</v>
      </c>
      <c r="AP9" s="17">
        <f>_xlfn.IFNA(IF($E9="Robot",VLOOKUP(AN9,[1]Weapon!$B$1:$G$299,6,FALSE)/2,VLOOKUP(AN9,[1]Weapon!$B$1:$G$299,6,FALSE)),0)</f>
        <v>0</v>
      </c>
      <c r="AQ9" s="1" t="s">
        <v>160</v>
      </c>
      <c r="AR9" s="1" t="s">
        <v>160</v>
      </c>
      <c r="AS9" s="1">
        <v>58</v>
      </c>
      <c r="AT9" s="1" t="s">
        <v>160</v>
      </c>
    </row>
    <row r="10" spans="1:46" x14ac:dyDescent="0.25">
      <c r="A10" s="1" t="str">
        <f t="shared" si="0"/>
        <v>Elishar</v>
      </c>
      <c r="B10" s="47" t="s">
        <v>94</v>
      </c>
      <c r="C10" s="43" t="s">
        <v>160</v>
      </c>
      <c r="D10" s="47" t="s">
        <v>95</v>
      </c>
      <c r="E10" s="47" t="s">
        <v>26</v>
      </c>
      <c r="F10" s="40">
        <v>54</v>
      </c>
      <c r="G10" s="3">
        <f>24+_xlfn.IFNA(VLOOKUP($P10,[1]Weapon!$A$1:$M$300,12,FALSE),0)+_xlfn.IFNA(VLOOKUP($S10,[1]Weapon!$A$1:$M$300,12,FALSE),0)+_xlfn.IFNA(VLOOKUP($V10,[1]Weapon!$A$1:$M$300,12,FALSE),0)+_xlfn.IFNA(VLOOKUP($Y10,[1]Weapon!$A$1:$M$300,12,FALSE),0)+_xlfn.IFNA(VLOOKUP($AB10,[1]Weapon!$A$1:$M$300,12,FALSE),0)+_xlfn.IFNA(VLOOKUP($AE10,[1]Weapon!$A$1:$M$300,12,FALSE),0)+_xlfn.IFNA(VLOOKUP($AH10,[1]Weapon!$A$1:$M$300,12,FALSE),0)+_xlfn.IFNA(VLOOKUP($AK10,[1]Weapon!$A$1:$M$300,12,FALSE),0)</f>
        <v>87</v>
      </c>
      <c r="H10" s="6">
        <v>0</v>
      </c>
      <c r="I10" s="15">
        <f t="shared" si="1"/>
        <v>0</v>
      </c>
      <c r="J10" s="14">
        <v>6</v>
      </c>
      <c r="K10" s="3">
        <f>J10+4</f>
        <v>10</v>
      </c>
      <c r="L10" s="6">
        <v>5</v>
      </c>
      <c r="M10" s="15">
        <f>L10+4+2</f>
        <v>11</v>
      </c>
      <c r="N10" s="14">
        <v>0</v>
      </c>
      <c r="O10" s="3">
        <f t="shared" si="3"/>
        <v>0</v>
      </c>
      <c r="P10" s="8" t="s">
        <v>110</v>
      </c>
      <c r="Q10" s="21">
        <v>-1</v>
      </c>
      <c r="R10" s="17">
        <f>_xlfn.IFNA(IF($E10="Robot",VLOOKUP(P10,[1]Weapon!$B$1:$G$299,6,FALSE)/2,VLOOKUP(P10,[1]Weapon!$B$1:$G$299,6,FALSE)),0)</f>
        <v>-1</v>
      </c>
      <c r="S10" s="49" t="s">
        <v>116</v>
      </c>
      <c r="T10" s="17">
        <v>25</v>
      </c>
      <c r="U10" s="17">
        <f>_xlfn.IFNA(IF($E10="Robot",VLOOKUP(S10,[1]Weapon!$B$1:$G$299,6,FALSE)/2,VLOOKUP(S10,[1]Weapon!$B$1:$G$299,6,FALSE)),0)</f>
        <v>25</v>
      </c>
      <c r="V10" s="49" t="s">
        <v>115</v>
      </c>
      <c r="W10" s="17">
        <v>24</v>
      </c>
      <c r="X10" s="17">
        <f>_xlfn.IFNA(IF($E10="Robot",VLOOKUP(V10,[1]Weapon!$B$1:$G$299,6,FALSE)/2,VLOOKUP(V10,[1]Weapon!$B$1:$G$299,6,FALSE)),0)</f>
        <v>25</v>
      </c>
      <c r="Y10" s="49" t="s">
        <v>117</v>
      </c>
      <c r="Z10" s="17">
        <v>-1</v>
      </c>
      <c r="AA10" s="17">
        <f>_xlfn.IFNA(IF($E10="Robot",VLOOKUP(Y10,[1]Weapon!$B$1:$G$299,6,FALSE)/2,VLOOKUP(Y10,[1]Weapon!$B$1:$G$299,6,FALSE)),0)</f>
        <v>-1</v>
      </c>
      <c r="AB10" s="49" t="s">
        <v>160</v>
      </c>
      <c r="AC10" s="17">
        <v>-1</v>
      </c>
      <c r="AD10" s="17">
        <f>_xlfn.IFNA(IF($E10="Robot",VLOOKUP(AB10,[1]Weapon!$B$1:$G$299,6,FALSE)/2,VLOOKUP(AB10,[1]Weapon!$B$1:$G$299,6,FALSE)),0)</f>
        <v>0</v>
      </c>
      <c r="AE10" s="49" t="s">
        <v>160</v>
      </c>
      <c r="AF10" s="17">
        <v>-1</v>
      </c>
      <c r="AG10" s="17">
        <f>_xlfn.IFNA(IF($E10="Robot",VLOOKUP(AE10,[1]Weapon!$B$1:$G$299,6,FALSE)/2,VLOOKUP(AE10,[1]Weapon!$B$1:$G$299,6,FALSE)),0)</f>
        <v>0</v>
      </c>
      <c r="AH10" s="6" t="s">
        <v>160</v>
      </c>
      <c r="AI10" s="17">
        <v>-1</v>
      </c>
      <c r="AJ10" s="17">
        <f>_xlfn.IFNA(IF($E10="Robot",VLOOKUP(AH10,[1]Weapon!$B$1:$G$299,6,FALSE)/2,VLOOKUP(AH10,[1]Weapon!$B$1:$G$299,6,FALSE)),0)</f>
        <v>0</v>
      </c>
      <c r="AK10" s="6" t="s">
        <v>160</v>
      </c>
      <c r="AL10" s="17">
        <v>-1</v>
      </c>
      <c r="AM10" s="17">
        <f>_xlfn.IFNA(IF($E10="Robot",VLOOKUP(AK10,[1]Weapon!$B$1:$G$299,6,FALSE)/2,VLOOKUP(AK10,[1]Weapon!$B$1:$G$299,6,FALSE)),0)</f>
        <v>0</v>
      </c>
      <c r="AN10" s="6" t="s">
        <v>160</v>
      </c>
      <c r="AO10" s="17">
        <v>0</v>
      </c>
      <c r="AP10" s="17">
        <f>_xlfn.IFNA(IF($E10="Robot",VLOOKUP(AN10,[1]Weapon!$B$1:$G$299,6,FALSE)/2,VLOOKUP(AN10,[1]Weapon!$B$1:$G$299,6,FALSE)),0)</f>
        <v>0</v>
      </c>
      <c r="AQ10" s="1" t="s">
        <v>160</v>
      </c>
      <c r="AR10" s="1" t="s">
        <v>160</v>
      </c>
      <c r="AS10" s="1">
        <v>36</v>
      </c>
      <c r="AT10" s="1" t="s">
        <v>160</v>
      </c>
    </row>
    <row r="11" spans="1:46" x14ac:dyDescent="0.25">
      <c r="A11" s="1" t="str">
        <f t="shared" si="0"/>
        <v>Tapioca</v>
      </c>
      <c r="B11" s="47" t="s">
        <v>96</v>
      </c>
      <c r="C11" s="43" t="s">
        <v>160</v>
      </c>
      <c r="D11" s="47" t="s">
        <v>97</v>
      </c>
      <c r="E11" s="47" t="s">
        <v>98</v>
      </c>
      <c r="F11" s="40">
        <v>61</v>
      </c>
      <c r="G11" s="3">
        <f>IF(ISBLANK(VLOOKUP($E11,[1]Monster!$A$2:$X$256,10,FALSE)),"",VLOOKUP($E11,[1]Monster!$A$2:$X$256,10,FALSE))</f>
        <v>90</v>
      </c>
      <c r="H11" s="6">
        <v>8</v>
      </c>
      <c r="I11" s="15">
        <f t="shared" si="1"/>
        <v>8</v>
      </c>
      <c r="J11" s="14">
        <v>8</v>
      </c>
      <c r="K11" s="3">
        <f>J11+_xlfn.IFNA(VLOOKUP($P11,[1]Weapon!$A$1:$M$300,9,FALSE),0)+_xlfn.IFNA(VLOOKUP($S11,[1]Weapon!$A$1:$M$300,9,FALSE),0)+_xlfn.IFNA(VLOOKUP($V11,[1]Weapon!$A$1:$M$300,9,FALSE),0)+_xlfn.IFNA(VLOOKUP($Y11,[1]Weapon!$A$1:$M$300,9,FALSE),0)+_xlfn.IFNA(VLOOKUP($AB11,[1]Weapon!$A$1:$M$300,9,FALSE),0)+_xlfn.IFNA(VLOOKUP($AE11,[1]Weapon!$A$1:$M$300,9,FALSE),0)+_xlfn.IFNA(VLOOKUP($AH11,[1]Weapon!$A$1:$M$300,9,FALSE),0)+_xlfn.IFNA(VLOOKUP($AK11,[1]Weapon!$A$1:$M$300,9,FALSE),0)</f>
        <v>8</v>
      </c>
      <c r="L11" s="6">
        <v>5</v>
      </c>
      <c r="M11" s="15">
        <f t="shared" si="2"/>
        <v>5</v>
      </c>
      <c r="N11" s="14">
        <v>10</v>
      </c>
      <c r="O11" s="3">
        <f t="shared" si="3"/>
        <v>10</v>
      </c>
      <c r="P11" s="6" t="s">
        <v>151</v>
      </c>
      <c r="Q11" s="17">
        <v>14</v>
      </c>
      <c r="R11" s="17">
        <f>_xlfn.IFNA(IF($E11="Robot",VLOOKUP(P11,[1]Weapon!$B$1:$G$299,6,FALSE)/2,VLOOKUP(P11,[1]Weapon!$B$1:$G$299,6,FALSE)),0)</f>
        <v>15</v>
      </c>
      <c r="S11" s="6" t="s">
        <v>163</v>
      </c>
      <c r="T11" s="17">
        <v>20</v>
      </c>
      <c r="U11" s="17">
        <f>_xlfn.IFNA(IF($E11="Robot",VLOOKUP(S11,[1]Weapon!$B$1:$G$299,6,FALSE)/2,VLOOKUP(S11,[1]Weapon!$B$1:$G$299,6,FALSE)),0)</f>
        <v>20</v>
      </c>
      <c r="V11" s="6" t="s">
        <v>162</v>
      </c>
      <c r="W11" s="36">
        <v>-1</v>
      </c>
      <c r="X11" s="17">
        <f>_xlfn.IFNA(IF($E11="Robot",VLOOKUP(V11,[1]Weapon!$B$1:$G$299,6,FALSE)/2,VLOOKUP(V11,[1]Weapon!$B$1:$G$299,6,FALSE)),0)</f>
        <v>-2</v>
      </c>
      <c r="Y11" s="6" t="s">
        <v>160</v>
      </c>
      <c r="Z11" s="17">
        <v>-1</v>
      </c>
      <c r="AA11" s="17">
        <f>_xlfn.IFNA(IF($E11="Robot",VLOOKUP(Y11,[1]Weapon!$B$1:$G$299,6,FALSE)/2,VLOOKUP(Y11,[1]Weapon!$B$1:$G$299,6,FALSE)),0)</f>
        <v>0</v>
      </c>
      <c r="AB11" s="6" t="s">
        <v>160</v>
      </c>
      <c r="AC11" s="17">
        <v>-1</v>
      </c>
      <c r="AD11" s="17">
        <f>_xlfn.IFNA(IF($E11="Robot",VLOOKUP(AB11,[1]Weapon!$B$1:$G$299,6,FALSE)/2,VLOOKUP(AB11,[1]Weapon!$B$1:$G$299,6,FALSE)),0)</f>
        <v>0</v>
      </c>
      <c r="AE11" s="6" t="s">
        <v>160</v>
      </c>
      <c r="AF11" s="17">
        <v>-1</v>
      </c>
      <c r="AG11" s="17">
        <f>_xlfn.IFNA(IF($E11="Robot",VLOOKUP(AE11,[1]Weapon!$B$1:$G$299,6,FALSE)/2,VLOOKUP(AE11,[1]Weapon!$B$1:$G$299,6,FALSE)),0)</f>
        <v>0</v>
      </c>
      <c r="AH11" s="6" t="s">
        <v>160</v>
      </c>
      <c r="AI11" s="17">
        <v>-1</v>
      </c>
      <c r="AJ11" s="17">
        <f>_xlfn.IFNA(IF($E11="Robot",VLOOKUP(AH11,[1]Weapon!$B$1:$G$299,6,FALSE)/2,VLOOKUP(AH11,[1]Weapon!$B$1:$G$299,6,FALSE)),0)</f>
        <v>0</v>
      </c>
      <c r="AK11" s="6" t="s">
        <v>160</v>
      </c>
      <c r="AL11" s="17">
        <v>-1</v>
      </c>
      <c r="AM11" s="17">
        <f>_xlfn.IFNA(IF($E11="Robot",VLOOKUP(AK11,[1]Weapon!$B$1:$G$299,6,FALSE)/2,VLOOKUP(AK11,[1]Weapon!$B$1:$G$299,6,FALSE)),0)</f>
        <v>0</v>
      </c>
      <c r="AN11" s="6" t="s">
        <v>160</v>
      </c>
      <c r="AO11" s="17">
        <v>0</v>
      </c>
      <c r="AP11" s="17">
        <f>_xlfn.IFNA(IF($E11="Robot",VLOOKUP(AN11,[1]Weapon!$B$1:$G$299,6,FALSE)/2,VLOOKUP(AN11,[1]Weapon!$B$1:$G$299,6,FALSE)),0)</f>
        <v>0</v>
      </c>
      <c r="AQ11" s="1" t="s">
        <v>160</v>
      </c>
      <c r="AR11" s="1" t="s">
        <v>160</v>
      </c>
      <c r="AS11" s="1">
        <v>58</v>
      </c>
      <c r="AT11" s="1" t="s">
        <v>160</v>
      </c>
    </row>
    <row r="12" spans="1:46" x14ac:dyDescent="0.25">
      <c r="A12" s="1" t="str">
        <f t="shared" si="0"/>
        <v>Terrance</v>
      </c>
      <c r="B12" s="47" t="s">
        <v>103</v>
      </c>
      <c r="C12" s="43" t="s">
        <v>160</v>
      </c>
      <c r="D12" s="47" t="s">
        <v>104</v>
      </c>
      <c r="E12" s="47" t="s">
        <v>105</v>
      </c>
      <c r="F12" s="40">
        <v>99</v>
      </c>
      <c r="G12" s="3">
        <f>IF(ISBLANK(VLOOKUP($E12,[1]Monster!$A$2:$X$256,10,FALSE)),"",VLOOKUP($E12,[1]Monster!$A$2:$X$256,10,FALSE))</f>
        <v>99</v>
      </c>
      <c r="H12" s="6">
        <v>6</v>
      </c>
      <c r="I12" s="15">
        <f t="shared" si="1"/>
        <v>6</v>
      </c>
      <c r="J12" s="14">
        <v>6</v>
      </c>
      <c r="K12" s="3">
        <f>J12+_xlfn.IFNA(VLOOKUP($P12,[1]Weapon!$A$1:$M$300,9,FALSE),0)+_xlfn.IFNA(VLOOKUP($S12,[1]Weapon!$A$1:$M$300,9,FALSE),0)+_xlfn.IFNA(VLOOKUP($V12,[1]Weapon!$A$1:$M$300,9,FALSE),0)+_xlfn.IFNA(VLOOKUP($Y12,[1]Weapon!$A$1:$M$300,9,FALSE),0)+_xlfn.IFNA(VLOOKUP($AB12,[1]Weapon!$A$1:$M$300,9,FALSE),0)+_xlfn.IFNA(VLOOKUP($AE12,[1]Weapon!$A$1:$M$300,9,FALSE),0)+_xlfn.IFNA(VLOOKUP($AH12,[1]Weapon!$A$1:$M$300,9,FALSE),0)+_xlfn.IFNA(VLOOKUP($AK12,[1]Weapon!$A$1:$M$300,9,FALSE),0)</f>
        <v>6</v>
      </c>
      <c r="L12" s="6">
        <v>10</v>
      </c>
      <c r="M12" s="15">
        <f t="shared" si="2"/>
        <v>10</v>
      </c>
      <c r="N12" s="14">
        <v>8</v>
      </c>
      <c r="O12" s="3">
        <f t="shared" si="3"/>
        <v>8</v>
      </c>
      <c r="P12" s="6" t="s">
        <v>152</v>
      </c>
      <c r="Q12" s="17">
        <v>28</v>
      </c>
      <c r="R12" s="17">
        <f>_xlfn.IFNA(IF($E12="Robot",VLOOKUP(P12,[1]Weapon!$B$1:$G$299,6,FALSE)/2,VLOOKUP(P12,[1]Weapon!$B$1:$G$299,6,FALSE)),0)</f>
        <v>30</v>
      </c>
      <c r="S12" s="6" t="s">
        <v>164</v>
      </c>
      <c r="T12" s="17">
        <v>-1</v>
      </c>
      <c r="U12" s="17">
        <f>_xlfn.IFNA(IF($E12="Robot",VLOOKUP(S12,[1]Weapon!$B$1:$G$299,6,FALSE)/2,VLOOKUP(S12,[1]Weapon!$B$1:$G$299,6,FALSE)),0)</f>
        <v>-2</v>
      </c>
      <c r="V12" s="6" t="s">
        <v>165</v>
      </c>
      <c r="W12" s="36">
        <v>-1</v>
      </c>
      <c r="X12" s="17">
        <f>_xlfn.IFNA(IF($E12="Robot",VLOOKUP(V12,[1]Weapon!$B$1:$G$299,6,FALSE)/2,VLOOKUP(V12,[1]Weapon!$B$1:$G$299,6,FALSE)),0)</f>
        <v>-2</v>
      </c>
      <c r="Y12" s="6" t="s">
        <v>160</v>
      </c>
      <c r="Z12" s="17">
        <v>-1</v>
      </c>
      <c r="AA12" s="17">
        <f>_xlfn.IFNA(IF($E12="Robot",VLOOKUP(Y12,[1]Weapon!$B$1:$G$299,6,FALSE)/2,VLOOKUP(Y12,[1]Weapon!$B$1:$G$299,6,FALSE)),0)</f>
        <v>0</v>
      </c>
      <c r="AB12" s="6" t="s">
        <v>160</v>
      </c>
      <c r="AC12" s="17">
        <v>-1</v>
      </c>
      <c r="AD12" s="17">
        <f>_xlfn.IFNA(IF($E12="Robot",VLOOKUP(AB12,[1]Weapon!$B$1:$G$299,6,FALSE)/2,VLOOKUP(AB12,[1]Weapon!$B$1:$G$299,6,FALSE)),0)</f>
        <v>0</v>
      </c>
      <c r="AE12" s="6" t="s">
        <v>160</v>
      </c>
      <c r="AF12" s="17">
        <v>-1</v>
      </c>
      <c r="AG12" s="17">
        <f>_xlfn.IFNA(IF($E12="Robot",VLOOKUP(AE12,[1]Weapon!$B$1:$G$299,6,FALSE)/2,VLOOKUP(AE12,[1]Weapon!$B$1:$G$299,6,FALSE)),0)</f>
        <v>0</v>
      </c>
      <c r="AH12" s="6" t="s">
        <v>160</v>
      </c>
      <c r="AI12" s="17">
        <v>-1</v>
      </c>
      <c r="AJ12" s="17">
        <f>_xlfn.IFNA(IF($E12="Robot",VLOOKUP(AH12,[1]Weapon!$B$1:$G$299,6,FALSE)/2,VLOOKUP(AH12,[1]Weapon!$B$1:$G$299,6,FALSE)),0)</f>
        <v>0</v>
      </c>
      <c r="AK12" s="6" t="s">
        <v>160</v>
      </c>
      <c r="AL12" s="17">
        <v>-1</v>
      </c>
      <c r="AM12" s="17">
        <f>_xlfn.IFNA(IF($E12="Robot",VLOOKUP(AK12,[1]Weapon!$B$1:$G$299,6,FALSE)/2,VLOOKUP(AK12,[1]Weapon!$B$1:$G$299,6,FALSE)),0)</f>
        <v>0</v>
      </c>
      <c r="AN12" s="6" t="s">
        <v>160</v>
      </c>
      <c r="AO12" s="17">
        <v>0</v>
      </c>
      <c r="AP12" s="17">
        <f>_xlfn.IFNA(IF($E12="Robot",VLOOKUP(AN12,[1]Weapon!$B$1:$G$299,6,FALSE)/2,VLOOKUP(AN12,[1]Weapon!$B$1:$G$299,6,FALSE)),0)</f>
        <v>0</v>
      </c>
      <c r="AQ12" s="1" t="s">
        <v>160</v>
      </c>
      <c r="AR12" s="1" t="s">
        <v>160</v>
      </c>
      <c r="AS12" s="1">
        <v>50</v>
      </c>
      <c r="AT12" s="1" t="s">
        <v>160</v>
      </c>
    </row>
    <row r="13" spans="1:46" x14ac:dyDescent="0.25">
      <c r="A13" s="1" t="str">
        <f t="shared" si="0"/>
        <v>Tsumetai</v>
      </c>
      <c r="B13" s="47" t="s">
        <v>99</v>
      </c>
      <c r="C13" s="43" t="s">
        <v>160</v>
      </c>
      <c r="D13" s="47" t="s">
        <v>100</v>
      </c>
      <c r="E13" s="47" t="s">
        <v>64</v>
      </c>
      <c r="F13" s="40">
        <v>20</v>
      </c>
      <c r="G13" s="3">
        <v>69</v>
      </c>
      <c r="H13" s="6">
        <v>4</v>
      </c>
      <c r="I13" s="15">
        <f t="shared" si="1"/>
        <v>4</v>
      </c>
      <c r="J13" s="14">
        <v>0</v>
      </c>
      <c r="K13" s="3">
        <f>J13+_xlfn.IFNA(VLOOKUP($P13,[1]Weapon!$A$1:$M$300,9,FALSE),0)+_xlfn.IFNA(VLOOKUP($S13,[1]Weapon!$A$1:$M$300,9,FALSE),0)+_xlfn.IFNA(VLOOKUP($V13,[1]Weapon!$A$1:$M$300,9,FALSE),0)+_xlfn.IFNA(VLOOKUP($Y13,[1]Weapon!$A$1:$M$300,9,FALSE),0)+_xlfn.IFNA(VLOOKUP($AB13,[1]Weapon!$A$1:$M$300,9,FALSE),0)+_xlfn.IFNA(VLOOKUP($AE13,[1]Weapon!$A$1:$M$300,9,FALSE),0)+_xlfn.IFNA(VLOOKUP($AH13,[1]Weapon!$A$1:$M$300,9,FALSE),0)+_xlfn.IFNA(VLOOKUP($AK13,[1]Weapon!$A$1:$M$300,9,FALSE),0)</f>
        <v>7</v>
      </c>
      <c r="L13" s="6">
        <v>11</v>
      </c>
      <c r="M13" s="15">
        <f t="shared" si="2"/>
        <v>11</v>
      </c>
      <c r="N13" s="14">
        <v>8</v>
      </c>
      <c r="O13" s="3">
        <f t="shared" si="3"/>
        <v>8</v>
      </c>
      <c r="P13" s="49" t="s">
        <v>136</v>
      </c>
      <c r="Q13" s="23">
        <v>14</v>
      </c>
      <c r="R13" s="17">
        <f>_xlfn.IFNA(IF($E13="Robot",VLOOKUP(P13,[1]Weapon!$B$1:$G$299,6,FALSE)/2,VLOOKUP(P13,[1]Weapon!$B$1:$G$299,6,FALSE)),0)</f>
        <v>15</v>
      </c>
      <c r="S13" s="49" t="s">
        <v>137</v>
      </c>
      <c r="T13" s="23">
        <v>-1</v>
      </c>
      <c r="U13" s="17">
        <f>_xlfn.IFNA(IF($E13="Robot",VLOOKUP(S13,[1]Weapon!$B$1:$G$299,6,FALSE)/2,VLOOKUP(S13,[1]Weapon!$B$1:$G$299,6,FALSE)),0)</f>
        <v>-2</v>
      </c>
      <c r="V13" s="49" t="s">
        <v>139</v>
      </c>
      <c r="W13" s="27">
        <v>15</v>
      </c>
      <c r="X13" s="17">
        <f>_xlfn.IFNA(IF($E13="Robot",VLOOKUP(V13,[1]Weapon!$B$1:$G$299,6,FALSE)/2,VLOOKUP(V13,[1]Weapon!$B$1:$G$299,6,FALSE)),0)</f>
        <v>15</v>
      </c>
      <c r="Y13" s="11" t="s">
        <v>160</v>
      </c>
      <c r="Z13" s="27">
        <v>-1</v>
      </c>
      <c r="AA13" s="17">
        <f>_xlfn.IFNA(IF($E13="Robot",VLOOKUP(Y13,[1]Weapon!$B$1:$G$299,6,FALSE)/2,VLOOKUP(Y13,[1]Weapon!$B$1:$G$299,6,FALSE)),0)</f>
        <v>0</v>
      </c>
      <c r="AB13" s="49" t="s">
        <v>116</v>
      </c>
      <c r="AC13" s="17">
        <v>48</v>
      </c>
      <c r="AD13" s="17">
        <f>_xlfn.IFNA(IF($E13="Robot",VLOOKUP(AB13,[1]Weapon!$B$1:$G$299,6,FALSE)/2,VLOOKUP(AB13,[1]Weapon!$B$1:$G$299,6,FALSE)),0)</f>
        <v>50</v>
      </c>
      <c r="AE13" s="49" t="s">
        <v>122</v>
      </c>
      <c r="AF13" s="17">
        <v>-1</v>
      </c>
      <c r="AG13" s="17">
        <f>_xlfn.IFNA(IF($E13="Robot",VLOOKUP(AE13,[1]Weapon!$B$1:$G$299,6,FALSE)/2,VLOOKUP(AE13,[1]Weapon!$B$1:$G$299,6,FALSE)),0)</f>
        <v>-2</v>
      </c>
      <c r="AH13" s="49" t="s">
        <v>131</v>
      </c>
      <c r="AI13" s="17">
        <v>-1</v>
      </c>
      <c r="AJ13" s="17">
        <f>_xlfn.IFNA(IF($E13="Robot",VLOOKUP(AH13,[1]Weapon!$B$1:$G$299,6,FALSE)/2,VLOOKUP(AH13,[1]Weapon!$B$1:$G$299,6,FALSE)),0)</f>
        <v>-2</v>
      </c>
      <c r="AK13" s="6" t="s">
        <v>160</v>
      </c>
      <c r="AL13" s="17">
        <v>-1</v>
      </c>
      <c r="AM13" s="17">
        <f>_xlfn.IFNA(IF($E13="Robot",VLOOKUP(AK13,[1]Weapon!$B$1:$G$299,6,FALSE)/2,VLOOKUP(AK13,[1]Weapon!$B$1:$G$299,6,FALSE)),0)</f>
        <v>0</v>
      </c>
      <c r="AN13" s="6" t="s">
        <v>160</v>
      </c>
      <c r="AO13" s="17">
        <v>0</v>
      </c>
      <c r="AP13" s="17">
        <f>_xlfn.IFNA(IF($E13="Robot",VLOOKUP(AN13,[1]Weapon!$B$1:$G$299,6,FALSE)/2,VLOOKUP(AN13,[1]Weapon!$B$1:$G$299,6,FALSE)),0)</f>
        <v>0</v>
      </c>
      <c r="AQ13" s="1" t="s">
        <v>160</v>
      </c>
      <c r="AR13" s="1" t="s">
        <v>160</v>
      </c>
      <c r="AS13" s="1">
        <v>50</v>
      </c>
      <c r="AT13" s="1" t="s">
        <v>160</v>
      </c>
    </row>
    <row r="14" spans="1:46" x14ac:dyDescent="0.25">
      <c r="A14" s="1" t="str">
        <f t="shared" si="0"/>
        <v>Phil</v>
      </c>
      <c r="B14" s="47" t="s">
        <v>101</v>
      </c>
      <c r="C14" s="43" t="s">
        <v>160</v>
      </c>
      <c r="D14" s="47" t="s">
        <v>102</v>
      </c>
      <c r="E14" s="48" t="s">
        <v>64</v>
      </c>
      <c r="F14" s="5">
        <v>60</v>
      </c>
      <c r="G14" s="3">
        <v>87</v>
      </c>
      <c r="H14" s="6">
        <v>10</v>
      </c>
      <c r="I14" s="15">
        <f t="shared" si="1"/>
        <v>10</v>
      </c>
      <c r="J14" s="14">
        <v>1</v>
      </c>
      <c r="K14" s="3">
        <f>J14+_xlfn.IFNA(VLOOKUP($P14,[1]Weapon!$A$1:$M$300,9,FALSE),0)+_xlfn.IFNA(VLOOKUP($S14,[1]Weapon!$A$1:$M$300,9,FALSE),0)+_xlfn.IFNA(VLOOKUP($V14,[1]Weapon!$A$1:$M$300,9,FALSE),0)+_xlfn.IFNA(VLOOKUP($Y14,[1]Weapon!$A$1:$M$300,9,FALSE),0)+_xlfn.IFNA(VLOOKUP($AB14,[1]Weapon!$A$1:$M$300,9,FALSE),0)+_xlfn.IFNA(VLOOKUP($AE14,[1]Weapon!$A$1:$M$300,9,FALSE),0)+_xlfn.IFNA(VLOOKUP($AH14,[1]Weapon!$A$1:$M$300,9,FALSE),0)+_xlfn.IFNA(VLOOKUP($AK14,[1]Weapon!$A$1:$M$300,9,FALSE),0)</f>
        <v>8</v>
      </c>
      <c r="L14" s="6">
        <v>7</v>
      </c>
      <c r="M14" s="15">
        <f t="shared" si="2"/>
        <v>7</v>
      </c>
      <c r="N14" s="14">
        <v>7</v>
      </c>
      <c r="O14" s="3">
        <f t="shared" si="3"/>
        <v>7</v>
      </c>
      <c r="P14" s="49" t="s">
        <v>132</v>
      </c>
      <c r="Q14" s="17">
        <v>14</v>
      </c>
      <c r="R14" s="17">
        <f>_xlfn.IFNA(IF($E14="Robot",VLOOKUP(P14,[1]Weapon!$B$1:$G$299,6,FALSE)/2,VLOOKUP(P14,[1]Weapon!$B$1:$G$299,6,FALSE)),0)</f>
        <v>15</v>
      </c>
      <c r="S14" s="49" t="s">
        <v>138</v>
      </c>
      <c r="T14" s="17">
        <v>-1</v>
      </c>
      <c r="U14" s="17">
        <f>_xlfn.IFNA(IF($E14="Robot",VLOOKUP(S14,[1]Weapon!$B$1:$G$299,6,FALSE)/2,VLOOKUP(S14,[1]Weapon!$B$1:$G$299,6,FALSE)),0)</f>
        <v>-2</v>
      </c>
      <c r="V14" s="49" t="s">
        <v>140</v>
      </c>
      <c r="W14" s="17">
        <v>30</v>
      </c>
      <c r="X14" s="17">
        <f>_xlfn.IFNA(IF($E14="Robot",VLOOKUP(V14,[1]Weapon!$B$1:$G$299,6,FALSE)/2,VLOOKUP(V14,[1]Weapon!$B$1:$G$299,6,FALSE)),0)</f>
        <v>30</v>
      </c>
      <c r="Y14" s="6" t="s">
        <v>160</v>
      </c>
      <c r="Z14" s="17">
        <v>-1</v>
      </c>
      <c r="AA14" s="17">
        <f>_xlfn.IFNA(IF($E14="Robot",VLOOKUP(Y14,[1]Weapon!$B$1:$G$299,6,FALSE)/2,VLOOKUP(Y14,[1]Weapon!$B$1:$G$299,6,FALSE)),0)</f>
        <v>0</v>
      </c>
      <c r="AB14" s="49" t="s">
        <v>43</v>
      </c>
      <c r="AC14" s="17">
        <v>49</v>
      </c>
      <c r="AD14" s="17">
        <f>_xlfn.IFNA(IF($E14="Robot",VLOOKUP(AB14,[1]Weapon!$B$1:$G$299,6,FALSE)/2,VLOOKUP(AB14,[1]Weapon!$B$1:$G$299,6,FALSE)),0)</f>
        <v>50</v>
      </c>
      <c r="AE14" s="49" t="s">
        <v>122</v>
      </c>
      <c r="AF14" s="17">
        <v>-1</v>
      </c>
      <c r="AG14" s="17">
        <f>_xlfn.IFNA(IF($E14="Robot",VLOOKUP(AE14,[1]Weapon!$B$1:$G$299,6,FALSE)/2,VLOOKUP(AE14,[1]Weapon!$B$1:$G$299,6,FALSE)),0)</f>
        <v>-2</v>
      </c>
      <c r="AH14" s="49" t="s">
        <v>131</v>
      </c>
      <c r="AI14" s="17">
        <v>-1</v>
      </c>
      <c r="AJ14" s="17">
        <f>_xlfn.IFNA(IF($E14="Robot",VLOOKUP(AH14,[1]Weapon!$B$1:$G$299,6,FALSE)/2,VLOOKUP(AH14,[1]Weapon!$B$1:$G$299,6,FALSE)),0)</f>
        <v>-2</v>
      </c>
      <c r="AK14" s="6" t="s">
        <v>160</v>
      </c>
      <c r="AL14" s="17">
        <v>-1</v>
      </c>
      <c r="AM14" s="17">
        <f>_xlfn.IFNA(IF($E14="Robot",VLOOKUP(AK14,[1]Weapon!$B$1:$G$299,6,FALSE)/2,VLOOKUP(AK14,[1]Weapon!$B$1:$G$299,6,FALSE)),0)</f>
        <v>0</v>
      </c>
      <c r="AN14" s="6" t="s">
        <v>160</v>
      </c>
      <c r="AO14" s="17">
        <v>0</v>
      </c>
      <c r="AP14" s="17">
        <f>_xlfn.IFNA(IF($E14="Robot",VLOOKUP(AN14,[1]Weapon!$B$1:$G$299,6,FALSE)/2,VLOOKUP(AN14,[1]Weapon!$B$1:$G$299,6,FALSE)),0)</f>
        <v>0</v>
      </c>
      <c r="AQ14" s="1" t="s">
        <v>160</v>
      </c>
      <c r="AR14" s="1" t="s">
        <v>160</v>
      </c>
      <c r="AS14" s="1">
        <v>50</v>
      </c>
      <c r="AT14" s="1" t="s">
        <v>160</v>
      </c>
    </row>
    <row r="15" spans="1:46" x14ac:dyDescent="0.25">
      <c r="A15" s="1" t="str">
        <f t="shared" si="0"/>
        <v>BYTE</v>
      </c>
      <c r="B15" s="48" t="s">
        <v>106</v>
      </c>
      <c r="C15" s="43" t="s">
        <v>160</v>
      </c>
      <c r="D15" s="48" t="s">
        <v>107</v>
      </c>
      <c r="E15" s="48" t="s">
        <v>26</v>
      </c>
      <c r="F15" s="13">
        <v>39</v>
      </c>
      <c r="G15" s="3">
        <f>24+_xlfn.IFNA(VLOOKUP($P15,[1]Weapon!$A$1:$M$300,12,FALSE),0)+_xlfn.IFNA(VLOOKUP($S15,[1]Weapon!$A$1:$M$300,12,FALSE),0)+_xlfn.IFNA(VLOOKUP($V15,[1]Weapon!$A$1:$M$300,12,FALSE),0)+_xlfn.IFNA(VLOOKUP($Y15,[1]Weapon!$A$1:$M$300,12,FALSE),0)+_xlfn.IFNA(VLOOKUP($AB15,[1]Weapon!$A$1:$M$300,12,FALSE),0)+_xlfn.IFNA(VLOOKUP($AE15,[1]Weapon!$A$1:$M$300,12,FALSE),0)+_xlfn.IFNA(VLOOKUP($AH15,[1]Weapon!$A$1:$M$300,12,FALSE),0)+_xlfn.IFNA(VLOOKUP($AK15,[1]Weapon!$A$1:$M$300,12,FALSE),0)</f>
        <v>105</v>
      </c>
      <c r="H15" s="6">
        <v>10</v>
      </c>
      <c r="I15" s="15">
        <f t="shared" si="1"/>
        <v>10</v>
      </c>
      <c r="J15" s="14">
        <v>6</v>
      </c>
      <c r="K15" s="3">
        <f>J15+2</f>
        <v>8</v>
      </c>
      <c r="L15" s="6">
        <v>5</v>
      </c>
      <c r="M15" s="15">
        <f>L15+5</f>
        <v>10</v>
      </c>
      <c r="N15" s="14">
        <v>0</v>
      </c>
      <c r="O15" s="3">
        <f t="shared" si="3"/>
        <v>0</v>
      </c>
      <c r="P15" s="49" t="s">
        <v>110</v>
      </c>
      <c r="Q15" s="17">
        <v>-1</v>
      </c>
      <c r="R15" s="17">
        <f>_xlfn.IFNA(IF($E15="Robot",VLOOKUP(P15,[1]Weapon!$B$1:$G$299,6,FALSE)/2,VLOOKUP(P15,[1]Weapon!$B$1:$G$299,6,FALSE)),0)</f>
        <v>-1</v>
      </c>
      <c r="S15" s="49" t="s">
        <v>109</v>
      </c>
      <c r="T15" s="17">
        <v>12</v>
      </c>
      <c r="U15" s="17">
        <f>_xlfn.IFNA(IF($E15="Robot",VLOOKUP(S15,[1]Weapon!$B$1:$G$299,6,FALSE)/2,VLOOKUP(S15,[1]Weapon!$B$1:$G$299,6,FALSE)),0)</f>
        <v>15</v>
      </c>
      <c r="V15" s="49" t="s">
        <v>111</v>
      </c>
      <c r="W15" s="17">
        <v>-1</v>
      </c>
      <c r="X15" s="17">
        <f>_xlfn.IFNA(IF($E15="Robot",VLOOKUP(V15,[1]Weapon!$B$1:$G$299,6,FALSE)/2,VLOOKUP(V15,[1]Weapon!$B$1:$G$299,6,FALSE)),0)</f>
        <v>-1</v>
      </c>
      <c r="Y15" s="49" t="s">
        <v>112</v>
      </c>
      <c r="Z15" s="17">
        <v>25</v>
      </c>
      <c r="AA15" s="17">
        <f>_xlfn.IFNA(IF($E15="Robot",VLOOKUP(Y15,[1]Weapon!$B$1:$G$299,6,FALSE)/2,VLOOKUP(Y15,[1]Weapon!$B$1:$G$299,6,FALSE)),0)</f>
        <v>25</v>
      </c>
      <c r="AB15" s="49" t="s">
        <v>160</v>
      </c>
      <c r="AC15" s="17">
        <v>-1</v>
      </c>
      <c r="AD15" s="17">
        <f>_xlfn.IFNA(IF($E15="Robot",VLOOKUP(AB15,[1]Weapon!$B$1:$G$299,6,FALSE)/2,VLOOKUP(AB15,[1]Weapon!$B$1:$G$299,6,FALSE)),0)</f>
        <v>0</v>
      </c>
      <c r="AE15" s="49" t="s">
        <v>160</v>
      </c>
      <c r="AF15" s="17">
        <v>-1</v>
      </c>
      <c r="AG15" s="17">
        <f>_xlfn.IFNA(IF($E15="Robot",VLOOKUP(AE15,[1]Weapon!$B$1:$G$299,6,FALSE)/2,VLOOKUP(AE15,[1]Weapon!$B$1:$G$299,6,FALSE)),0)</f>
        <v>0</v>
      </c>
      <c r="AH15" s="6" t="s">
        <v>160</v>
      </c>
      <c r="AI15" s="17">
        <v>-1</v>
      </c>
      <c r="AJ15" s="17">
        <f>_xlfn.IFNA(IF($E15="Robot",VLOOKUP(AH15,[1]Weapon!$B$1:$G$299,6,FALSE)/2,VLOOKUP(AH15,[1]Weapon!$B$1:$G$299,6,FALSE)),0)</f>
        <v>0</v>
      </c>
      <c r="AK15" s="6" t="s">
        <v>160</v>
      </c>
      <c r="AL15" s="17">
        <v>-1</v>
      </c>
      <c r="AM15" s="17">
        <f>_xlfn.IFNA(IF($E15="Robot",VLOOKUP(AK15,[1]Weapon!$B$1:$G$299,6,FALSE)/2,VLOOKUP(AK15,[1]Weapon!$B$1:$G$299,6,FALSE)),0)</f>
        <v>0</v>
      </c>
      <c r="AN15" s="6" t="s">
        <v>160</v>
      </c>
      <c r="AO15" s="17">
        <v>0</v>
      </c>
      <c r="AP15" s="17">
        <f>_xlfn.IFNA(IF($E15="Robot",VLOOKUP(AN15,[1]Weapon!$B$1:$G$299,6,FALSE)/2,VLOOKUP(AN15,[1]Weapon!$B$1:$G$299,6,FALSE)),0)</f>
        <v>0</v>
      </c>
      <c r="AQ15" s="1" t="s">
        <v>160</v>
      </c>
      <c r="AR15" s="1" t="s">
        <v>160</v>
      </c>
      <c r="AS15" s="1">
        <v>50</v>
      </c>
      <c r="AT15" s="1" t="s">
        <v>160</v>
      </c>
    </row>
    <row r="16" spans="1:46" x14ac:dyDescent="0.25">
      <c r="A16" s="1" t="str">
        <f t="shared" si="0"/>
        <v>Ursula</v>
      </c>
      <c r="B16" s="48" t="s">
        <v>142</v>
      </c>
      <c r="C16" s="43" t="s">
        <v>160</v>
      </c>
      <c r="D16" s="48" t="s">
        <v>143</v>
      </c>
      <c r="E16" s="48" t="s">
        <v>63</v>
      </c>
      <c r="F16" s="40">
        <v>1</v>
      </c>
      <c r="G16" s="3">
        <v>78</v>
      </c>
      <c r="H16" s="6">
        <v>5</v>
      </c>
      <c r="I16" s="15">
        <f t="shared" si="1"/>
        <v>5</v>
      </c>
      <c r="J16" s="14">
        <v>0</v>
      </c>
      <c r="K16" s="3">
        <f>J16+_xlfn.IFNA(VLOOKUP($P16,[1]Weapon!$A$1:$M$300,9,FALSE),0)+_xlfn.IFNA(VLOOKUP($S16,[1]Weapon!$A$1:$M$300,9,FALSE),0)+_xlfn.IFNA(VLOOKUP($V16,[1]Weapon!$A$1:$M$300,9,FALSE),0)+_xlfn.IFNA(VLOOKUP($Y16,[1]Weapon!$A$1:$M$300,9,FALSE),0)+_xlfn.IFNA(VLOOKUP($AB16,[1]Weapon!$A$1:$M$300,9,FALSE),0)+_xlfn.IFNA(VLOOKUP($AE16,[1]Weapon!$A$1:$M$300,9,FALSE),0)+_xlfn.IFNA(VLOOKUP($AH16,[1]Weapon!$A$1:$M$300,9,FALSE),0)+_xlfn.IFNA(VLOOKUP($AK16,[1]Weapon!$A$1:$M$300,9,FALSE),0)</f>
        <v>7</v>
      </c>
      <c r="L16" s="6">
        <v>11</v>
      </c>
      <c r="M16" s="15">
        <f t="shared" ref="M16:M17" si="4">L16</f>
        <v>11</v>
      </c>
      <c r="N16" s="14">
        <v>4</v>
      </c>
      <c r="O16" s="3">
        <f t="shared" si="3"/>
        <v>4</v>
      </c>
      <c r="P16" s="49" t="s">
        <v>116</v>
      </c>
      <c r="Q16" s="17">
        <v>50</v>
      </c>
      <c r="R16" s="17">
        <f>_xlfn.IFNA(IF($E16="Robot",VLOOKUP(P16,[1]Weapon!$B$1:$G$299,6,FALSE)/2,VLOOKUP(P16,[1]Weapon!$B$1:$G$299,6,FALSE)),0)</f>
        <v>50</v>
      </c>
      <c r="S16" s="49" t="s">
        <v>144</v>
      </c>
      <c r="T16" s="17">
        <v>13</v>
      </c>
      <c r="U16" s="17">
        <f>_xlfn.IFNA(IF($E16="Robot",VLOOKUP(S16,[1]Weapon!$B$1:$G$299,6,FALSE)/2,VLOOKUP(S16,[1]Weapon!$B$1:$G$299,6,FALSE)),0)</f>
        <v>30</v>
      </c>
      <c r="V16" s="49" t="s">
        <v>131</v>
      </c>
      <c r="W16" s="17">
        <v>-1</v>
      </c>
      <c r="X16" s="17">
        <f>_xlfn.IFNA(IF($E16="Robot",VLOOKUP(V16,[1]Weapon!$B$1:$G$299,6,FALSE)/2,VLOOKUP(V16,[1]Weapon!$B$1:$G$299,6,FALSE)),0)</f>
        <v>-2</v>
      </c>
      <c r="Y16" s="49" t="s">
        <v>122</v>
      </c>
      <c r="Z16" s="17">
        <v>-1</v>
      </c>
      <c r="AA16" s="17">
        <f>_xlfn.IFNA(IF($E16="Robot",VLOOKUP(Y16,[1]Weapon!$B$1:$G$299,6,FALSE)/2,VLOOKUP(Y16,[1]Weapon!$B$1:$G$299,6,FALSE)),0)</f>
        <v>-2</v>
      </c>
      <c r="AB16" s="6" t="s">
        <v>160</v>
      </c>
      <c r="AC16" s="17">
        <v>-1</v>
      </c>
      <c r="AD16" s="17">
        <f>_xlfn.IFNA(IF($E16="Robot",VLOOKUP(AB16,[1]Weapon!$B$1:$G$299,6,FALSE)/2,VLOOKUP(AB16,[1]Weapon!$B$1:$G$299,6,FALSE)),0)</f>
        <v>0</v>
      </c>
      <c r="AE16" s="6" t="s">
        <v>160</v>
      </c>
      <c r="AF16" s="17">
        <v>-1</v>
      </c>
      <c r="AG16" s="17">
        <f>_xlfn.IFNA(IF($E16="Robot",VLOOKUP(AE16,[1]Weapon!$B$1:$G$299,6,FALSE)/2,VLOOKUP(AE16,[1]Weapon!$B$1:$G$299,6,FALSE)),0)</f>
        <v>0</v>
      </c>
      <c r="AH16" s="6" t="s">
        <v>160</v>
      </c>
      <c r="AI16" s="17">
        <v>-1</v>
      </c>
      <c r="AJ16" s="17">
        <f>_xlfn.IFNA(IF($E16="Robot",VLOOKUP(AH16,[1]Weapon!$B$1:$G$299,6,FALSE)/2,VLOOKUP(AH16,[1]Weapon!$B$1:$G$299,6,FALSE)),0)</f>
        <v>0</v>
      </c>
      <c r="AK16" s="6" t="s">
        <v>160</v>
      </c>
      <c r="AL16" s="17">
        <v>-1</v>
      </c>
      <c r="AM16" s="17">
        <f>_xlfn.IFNA(IF($E16="Robot",VLOOKUP(AK16,[1]Weapon!$B$1:$G$299,6,FALSE)/2,VLOOKUP(AK16,[1]Weapon!$B$1:$G$299,6,FALSE)),0)</f>
        <v>0</v>
      </c>
      <c r="AN16" s="6" t="s">
        <v>160</v>
      </c>
      <c r="AO16" s="17">
        <v>0</v>
      </c>
      <c r="AP16" s="17">
        <f>_xlfn.IFNA(IF($E16="Robot",VLOOKUP(AN16,[1]Weapon!$B$1:$G$299,6,FALSE)/2,VLOOKUP(AN16,[1]Weapon!$B$1:$G$299,6,FALSE)),0)</f>
        <v>0</v>
      </c>
      <c r="AQ16" s="1" t="s">
        <v>160</v>
      </c>
      <c r="AR16" s="1" t="s">
        <v>160</v>
      </c>
      <c r="AS16" s="1">
        <v>36</v>
      </c>
      <c r="AT16" s="1" t="s">
        <v>160</v>
      </c>
    </row>
    <row r="17" spans="1:46" x14ac:dyDescent="0.25">
      <c r="A17" s="1" t="str">
        <f t="shared" si="0"/>
        <v>Squard</v>
      </c>
      <c r="B17" s="48" t="s">
        <v>147</v>
      </c>
      <c r="C17" s="51" t="s">
        <v>160</v>
      </c>
      <c r="D17" s="48" t="s">
        <v>145</v>
      </c>
      <c r="E17" s="48" t="s">
        <v>146</v>
      </c>
      <c r="F17" s="40">
        <v>99</v>
      </c>
      <c r="G17" s="3">
        <f>IF(ISBLANK(VLOOKUP($E17,[1]Monster!$A$2:$X$256,10,FALSE)),"",VLOOKUP($E17,[1]Monster!$A$2:$X$256,10,FALSE))</f>
        <v>99</v>
      </c>
      <c r="H17" s="6">
        <v>10</v>
      </c>
      <c r="I17" s="15">
        <f t="shared" si="1"/>
        <v>10</v>
      </c>
      <c r="J17" s="14">
        <v>6</v>
      </c>
      <c r="K17" s="3">
        <f>J17+_xlfn.IFNA(VLOOKUP($P17,[1]Weapon!$A$1:$M$300,9,FALSE),0)+_xlfn.IFNA(VLOOKUP($S17,[1]Weapon!$A$1:$M$300,9,FALSE),0)+_xlfn.IFNA(VLOOKUP($V17,[1]Weapon!$A$1:$M$300,9,FALSE),0)+_xlfn.IFNA(VLOOKUP($Y17,[1]Weapon!$A$1:$M$300,9,FALSE),0)+_xlfn.IFNA(VLOOKUP($AB17,[1]Weapon!$A$1:$M$300,9,FALSE),0)+_xlfn.IFNA(VLOOKUP($AE17,[1]Weapon!$A$1:$M$300,9,FALSE),0)+_xlfn.IFNA(VLOOKUP($AH17,[1]Weapon!$A$1:$M$300,9,FALSE),0)+_xlfn.IFNA(VLOOKUP($AK17,[1]Weapon!$A$1:$M$300,9,FALSE),0)</f>
        <v>6</v>
      </c>
      <c r="L17" s="6">
        <v>8</v>
      </c>
      <c r="M17" s="15">
        <f t="shared" si="4"/>
        <v>8</v>
      </c>
      <c r="N17" s="14">
        <v>6</v>
      </c>
      <c r="O17" s="3">
        <f t="shared" si="3"/>
        <v>6</v>
      </c>
      <c r="P17" s="6" t="s">
        <v>3</v>
      </c>
      <c r="Q17" s="17">
        <v>28</v>
      </c>
      <c r="R17" s="17">
        <f>_xlfn.IFNA(IF($E17="Robot",VLOOKUP(P17,[1]Weapon!$B$1:$G$299,6,FALSE)/2,VLOOKUP(P17,[1]Weapon!$B$1:$G$299,6,FALSE)),0)</f>
        <v>30</v>
      </c>
      <c r="S17" s="6" t="s">
        <v>133</v>
      </c>
      <c r="T17" s="17">
        <v>-1</v>
      </c>
      <c r="U17" s="17">
        <f>_xlfn.IFNA(IF($E17="Robot",VLOOKUP(S17,[1]Weapon!$B$1:$G$299,6,FALSE)/2,VLOOKUP(S17,[1]Weapon!$B$1:$G$299,6,FALSE)),0)</f>
        <v>-2</v>
      </c>
      <c r="V17" s="6" t="s">
        <v>166</v>
      </c>
      <c r="W17" s="36">
        <v>-1</v>
      </c>
      <c r="X17" s="17">
        <f>_xlfn.IFNA(IF($E17="Robot",VLOOKUP(V17,[1]Weapon!$B$1:$G$299,6,FALSE)/2,VLOOKUP(V17,[1]Weapon!$B$1:$G$299,6,FALSE)),0)</f>
        <v>-2</v>
      </c>
      <c r="Y17" s="6" t="s">
        <v>160</v>
      </c>
      <c r="Z17" s="17">
        <v>-1</v>
      </c>
      <c r="AA17" s="17">
        <f>_xlfn.IFNA(IF($E17="Robot",VLOOKUP(Y17,[1]Weapon!$B$1:$G$299,6,FALSE)/2,VLOOKUP(Y17,[1]Weapon!$B$1:$G$299,6,FALSE)),0)</f>
        <v>0</v>
      </c>
      <c r="AB17" s="6" t="s">
        <v>160</v>
      </c>
      <c r="AC17" s="17">
        <v>-1</v>
      </c>
      <c r="AD17" s="17">
        <f>_xlfn.IFNA(IF($E17="Robot",VLOOKUP(AB17,[1]Weapon!$B$1:$G$299,6,FALSE)/2,VLOOKUP(AB17,[1]Weapon!$B$1:$G$299,6,FALSE)),0)</f>
        <v>0</v>
      </c>
      <c r="AE17" s="6" t="s">
        <v>160</v>
      </c>
      <c r="AF17" s="17">
        <v>-1</v>
      </c>
      <c r="AG17" s="17">
        <f>_xlfn.IFNA(IF($E17="Robot",VLOOKUP(AE17,[1]Weapon!$B$1:$G$299,6,FALSE)/2,VLOOKUP(AE17,[1]Weapon!$B$1:$G$299,6,FALSE)),0)</f>
        <v>0</v>
      </c>
      <c r="AH17" s="6" t="s">
        <v>160</v>
      </c>
      <c r="AI17" s="17">
        <v>-1</v>
      </c>
      <c r="AJ17" s="17">
        <f>_xlfn.IFNA(IF($E17="Robot",VLOOKUP(AH17,[1]Weapon!$B$1:$G$299,6,FALSE)/2,VLOOKUP(AH17,[1]Weapon!$B$1:$G$299,6,FALSE)),0)</f>
        <v>0</v>
      </c>
      <c r="AK17" s="6" t="s">
        <v>160</v>
      </c>
      <c r="AL17" s="17">
        <v>-1</v>
      </c>
      <c r="AM17" s="17">
        <f>_xlfn.IFNA(IF($E17="Robot",VLOOKUP(AK17,[1]Weapon!$B$1:$G$299,6,FALSE)/2,VLOOKUP(AK17,[1]Weapon!$B$1:$G$299,6,FALSE)),0)</f>
        <v>0</v>
      </c>
      <c r="AN17" s="6" t="s">
        <v>160</v>
      </c>
      <c r="AO17" s="17">
        <v>0</v>
      </c>
      <c r="AP17" s="17">
        <f>_xlfn.IFNA(IF($E17="Robot",VLOOKUP(AN17,[1]Weapon!$B$1:$G$299,6,FALSE)/2,VLOOKUP(AN17,[1]Weapon!$B$1:$G$299,6,FALSE)),0)</f>
        <v>0</v>
      </c>
      <c r="AQ17" s="1" t="s">
        <v>160</v>
      </c>
      <c r="AR17" s="1" t="s">
        <v>160</v>
      </c>
      <c r="AS17" s="1">
        <v>50</v>
      </c>
      <c r="AT17" s="1" t="s">
        <v>160</v>
      </c>
    </row>
    <row r="18" spans="1:46" x14ac:dyDescent="0.25">
      <c r="A18" s="1">
        <f t="shared" si="0"/>
        <v>0</v>
      </c>
      <c r="B18" s="45"/>
      <c r="E18" s="45"/>
      <c r="I18" s="15">
        <f t="shared" ref="I18" si="5">H18</f>
        <v>0</v>
      </c>
      <c r="K18" s="3">
        <f>J18+_xlfn.IFNA(VLOOKUP(P18,[1]Weapon!$A$1:$M$259,9,FALSE),0)+_xlfn.IFNA(VLOOKUP(S18,[1]Weapon!$A$1:$M$259,9,FALSE),0)+_xlfn.IFNA(VLOOKUP(V18,[1]Weapon!$A$1:$M$259,9,FALSE),0)+_xlfn.IFNA(VLOOKUP(Y18,[1]Weapon!$A$1:$M$259,9,FALSE),0)+_xlfn.IFNA(VLOOKUP(AB18,[1]Weapon!$A$1:$M$259,9,FALSE),0)+_xlfn.IFNA(VLOOKUP(AE18,[1]Weapon!$A$1:$M$259,9,FALSE),0)+_xlfn.IFNA(VLOOKUP(AH18,[1]Weapon!$A$1:$M$259,9,FALSE),0)+_xlfn.IFNA(VLOOKUP(AK18,[1]Weapon!$A$1:$M$259,9,FALSE),0)</f>
        <v>0</v>
      </c>
      <c r="M18" s="15">
        <f t="shared" ref="M18" si="6">L18</f>
        <v>0</v>
      </c>
      <c r="O18" s="3">
        <f t="shared" ref="O18" si="7">N18</f>
        <v>0</v>
      </c>
      <c r="P18" s="46"/>
      <c r="R18" s="17">
        <f>_xlfn.IFNA(IF($E18="Robot",VLOOKUP(P18,[1]Weapon!$B$1:$G$299,6,FALSE)/2,VLOOKUP(P18,[1]Weapon!$B$1:$G$299,6,FALSE)),0)</f>
        <v>0</v>
      </c>
      <c r="S18" s="46"/>
      <c r="U18" s="17">
        <f>_xlfn.IFNA(IF($E18="Robot",VLOOKUP(S18,[1]Weapon!$B$1:$G$299,6,FALSE)/2,VLOOKUP(S18,[1]Weapon!$B$1:$G$299,6,FALSE)),0)</f>
        <v>0</v>
      </c>
      <c r="V18" s="46"/>
      <c r="X18" s="17">
        <f>_xlfn.IFNA(IF($E18="Robot",VLOOKUP(V18,[1]Weapon!$B$1:$G$299,6,FALSE)/2,VLOOKUP(V18,[1]Weapon!$B$1:$G$299,6,FALSE)),0)</f>
        <v>0</v>
      </c>
      <c r="Y18" s="46"/>
      <c r="AA18" s="17">
        <f>_xlfn.IFNA(IF($E18="Robot",VLOOKUP(Y18,[1]Weapon!$B$1:$G$299,6,FALSE)/2,VLOOKUP(Y18,[1]Weapon!$B$1:$G$299,6,FALSE)),0)</f>
        <v>0</v>
      </c>
      <c r="AD18" s="17">
        <f>_xlfn.IFNA(IF($E18="Robot",VLOOKUP(AB18,[1]Weapon!$B$1:$G$299,6,FALSE)/2,VLOOKUP(AB18,[1]Weapon!$B$1:$G$299,6,FALSE)),0)</f>
        <v>0</v>
      </c>
      <c r="AG18" s="17">
        <f>_xlfn.IFNA(IF($E18="Robot",VLOOKUP(AE18,[1]Weapon!$B$1:$G$299,6,FALSE)/2,VLOOKUP(AE18,[1]Weapon!$B$1:$G$299,6,FALSE)),0)</f>
        <v>0</v>
      </c>
      <c r="AH18" s="46"/>
      <c r="AJ18" s="17">
        <f>_xlfn.IFNA(IF($E18="Robot",VLOOKUP(AH18,[1]Weapon!$B$1:$G$299,6,FALSE)/2,VLOOKUP(AH18,[1]Weapon!$B$1:$G$299,6,FALSE)),0)</f>
        <v>0</v>
      </c>
      <c r="AK18" s="46"/>
      <c r="AM18" s="17">
        <f>_xlfn.IFNA(IF($E18="Robot",VLOOKUP(AK18,[1]Weapon!$B$1:$G$299,6,FALSE)/2,VLOOKUP(AK18,[1]Weapon!$B$1:$G$299,6,FALSE)),0)</f>
        <v>0</v>
      </c>
      <c r="AO18" s="17">
        <v>0</v>
      </c>
      <c r="AP18" s="17">
        <f>_xlfn.IFNA(IF($E18="Robot",VLOOKUP(AN18,[1]Weapon!$B$1:$G$299,6,FALSE)/2,VLOOKUP(AN18,[1]Weapon!$B$1:$G$299,6,FALSE)),0)</f>
        <v>0</v>
      </c>
      <c r="AS18" s="1">
        <v>0</v>
      </c>
    </row>
  </sheetData>
  <conditionalFormatting sqref="A1:A1048576">
    <cfRule type="notContainsBlanks" dxfId="2" priority="7">
      <formula>LEN(TRIM(A1))&gt;0</formula>
    </cfRule>
  </conditionalFormatting>
  <conditionalFormatting sqref="R1:R1048576 U1:U1048576 X1:X1048576 AA1:AA1048576 AD1:AD1048576 AG1:AG1048576 AJ1:AJ1048576 AM1:AM1048576 AP1:AP1048576">
    <cfRule type="cellIs" dxfId="1" priority="5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19</xdr:row>
                    <xdr:rowOff>66675</xdr:rowOff>
                  </from>
                  <to>
                    <xdr:col>3</xdr:col>
                    <xdr:colOff>295275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4"/>
  <sheetViews>
    <sheetView workbookViewId="0">
      <selection activeCell="V1" sqref="V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t="s">
        <v>0</v>
      </c>
      <c r="B1" t="s">
        <v>7</v>
      </c>
      <c r="C1" t="s">
        <v>8</v>
      </c>
      <c r="D1" t="s">
        <v>5</v>
      </c>
      <c r="E1" t="s">
        <v>6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62</v>
      </c>
    </row>
    <row r="2" spans="1:21" x14ac:dyDescent="0.2">
      <c r="A2" t="s">
        <v>1</v>
      </c>
      <c r="B2" t="s">
        <v>17</v>
      </c>
      <c r="C2">
        <v>1</v>
      </c>
      <c r="D2">
        <v>2</v>
      </c>
      <c r="K2" t="s">
        <v>43</v>
      </c>
      <c r="L2" t="s">
        <v>4</v>
      </c>
      <c r="T2" t="s">
        <v>61</v>
      </c>
    </row>
    <row r="3" spans="1:21" x14ac:dyDescent="0.2">
      <c r="A3" t="s">
        <v>2</v>
      </c>
      <c r="B3" t="s">
        <v>17</v>
      </c>
      <c r="C3">
        <v>1</v>
      </c>
      <c r="D3">
        <v>1</v>
      </c>
      <c r="K3" t="s">
        <v>3</v>
      </c>
      <c r="L3" t="s">
        <v>4</v>
      </c>
    </row>
    <row r="4" spans="1:21" x14ac:dyDescent="0.2">
      <c r="A4" t="s">
        <v>4</v>
      </c>
      <c r="B4" t="s">
        <v>18</v>
      </c>
      <c r="C4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D35E2-C744-4472-B3B0-C8C945BD8129}">
  <sheetPr codeName="Sheet2"/>
  <dimension ref="A1:U8"/>
  <sheetViews>
    <sheetView workbookViewId="0">
      <selection activeCell="G10" sqref="G10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t="s">
        <v>0</v>
      </c>
      <c r="B1" t="s">
        <v>7</v>
      </c>
      <c r="C1" t="s">
        <v>8</v>
      </c>
      <c r="D1" t="s">
        <v>5</v>
      </c>
      <c r="E1" t="s">
        <v>6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62</v>
      </c>
    </row>
    <row r="2" spans="1:21" x14ac:dyDescent="0.2">
      <c r="A2" t="s">
        <v>99</v>
      </c>
      <c r="B2" t="s">
        <v>17</v>
      </c>
      <c r="C2">
        <v>1</v>
      </c>
      <c r="D2">
        <v>3</v>
      </c>
      <c r="E2">
        <v>19.440000000000001</v>
      </c>
      <c r="F2">
        <v>20</v>
      </c>
      <c r="G2">
        <v>4</v>
      </c>
      <c r="H2">
        <v>21</v>
      </c>
      <c r="I2">
        <v>8</v>
      </c>
      <c r="J2">
        <v>7</v>
      </c>
      <c r="K2" t="s">
        <v>116</v>
      </c>
      <c r="L2" t="s">
        <v>105</v>
      </c>
      <c r="T2" t="s">
        <v>187</v>
      </c>
      <c r="U2" t="s">
        <v>188</v>
      </c>
    </row>
    <row r="3" spans="1:21" x14ac:dyDescent="0.2">
      <c r="A3" t="s">
        <v>148</v>
      </c>
      <c r="B3" t="s">
        <v>18</v>
      </c>
      <c r="C3">
        <v>0</v>
      </c>
      <c r="D3">
        <v>1</v>
      </c>
      <c r="E3">
        <v>15.47</v>
      </c>
      <c r="F3">
        <v>0</v>
      </c>
      <c r="G3">
        <v>8</v>
      </c>
      <c r="H3">
        <v>13</v>
      </c>
      <c r="I3">
        <v>10</v>
      </c>
      <c r="J3">
        <v>5</v>
      </c>
      <c r="K3" t="s">
        <v>153</v>
      </c>
      <c r="L3" t="s">
        <v>154</v>
      </c>
      <c r="N3" t="s">
        <v>155</v>
      </c>
      <c r="O3" t="s">
        <v>155</v>
      </c>
      <c r="P3" t="s">
        <v>155</v>
      </c>
      <c r="Q3" t="s">
        <v>155</v>
      </c>
      <c r="R3" t="s">
        <v>155</v>
      </c>
      <c r="S3" t="s">
        <v>155</v>
      </c>
      <c r="T3" t="s">
        <v>169</v>
      </c>
      <c r="U3" t="s">
        <v>170</v>
      </c>
    </row>
    <row r="4" spans="1:21" x14ac:dyDescent="0.2">
      <c r="A4" t="s">
        <v>106</v>
      </c>
      <c r="B4" t="s">
        <v>17</v>
      </c>
      <c r="C4">
        <v>1</v>
      </c>
      <c r="D4">
        <v>1</v>
      </c>
      <c r="E4">
        <v>12.3</v>
      </c>
      <c r="F4">
        <v>39</v>
      </c>
      <c r="G4">
        <v>10</v>
      </c>
      <c r="H4">
        <v>10</v>
      </c>
      <c r="I4">
        <v>0</v>
      </c>
      <c r="J4">
        <v>8</v>
      </c>
      <c r="K4" t="s">
        <v>109</v>
      </c>
      <c r="L4" t="s">
        <v>105</v>
      </c>
      <c r="T4" t="s">
        <v>189</v>
      </c>
      <c r="U4" t="s">
        <v>190</v>
      </c>
    </row>
    <row r="5" spans="1:21" x14ac:dyDescent="0.2">
      <c r="A5" t="s">
        <v>105</v>
      </c>
      <c r="B5" t="s">
        <v>18</v>
      </c>
      <c r="C5">
        <v>0</v>
      </c>
      <c r="D5">
        <v>1</v>
      </c>
      <c r="E5">
        <v>12</v>
      </c>
      <c r="F5">
        <v>0</v>
      </c>
      <c r="G5">
        <v>6</v>
      </c>
      <c r="H5">
        <v>10</v>
      </c>
      <c r="I5">
        <v>8</v>
      </c>
      <c r="J5">
        <v>6</v>
      </c>
      <c r="K5" t="s">
        <v>152</v>
      </c>
      <c r="L5" t="s">
        <v>154</v>
      </c>
      <c r="N5" t="s">
        <v>155</v>
      </c>
      <c r="O5" t="s">
        <v>155</v>
      </c>
      <c r="P5" t="s">
        <v>155</v>
      </c>
      <c r="Q5" t="s">
        <v>155</v>
      </c>
      <c r="R5" t="s">
        <v>155</v>
      </c>
      <c r="S5" t="s">
        <v>155</v>
      </c>
      <c r="T5" t="s">
        <v>191</v>
      </c>
      <c r="U5" t="s">
        <v>192</v>
      </c>
    </row>
    <row r="6" spans="1:21" x14ac:dyDescent="0.2">
      <c r="A6" t="s">
        <v>98</v>
      </c>
      <c r="B6" t="s">
        <v>18</v>
      </c>
      <c r="C6">
        <v>0</v>
      </c>
      <c r="D6">
        <v>1</v>
      </c>
      <c r="E6">
        <v>5.9499999999999993</v>
      </c>
      <c r="F6">
        <v>0</v>
      </c>
      <c r="G6">
        <v>8</v>
      </c>
      <c r="H6">
        <v>5</v>
      </c>
      <c r="I6">
        <v>10</v>
      </c>
      <c r="J6">
        <v>8</v>
      </c>
      <c r="K6" t="s">
        <v>153</v>
      </c>
      <c r="L6" t="s">
        <v>154</v>
      </c>
      <c r="N6" t="s">
        <v>155</v>
      </c>
      <c r="O6" t="s">
        <v>155</v>
      </c>
      <c r="P6" t="s">
        <v>155</v>
      </c>
      <c r="Q6" t="s">
        <v>155</v>
      </c>
      <c r="R6" t="s">
        <v>155</v>
      </c>
      <c r="S6" t="s">
        <v>155</v>
      </c>
      <c r="T6" t="s">
        <v>151</v>
      </c>
      <c r="U6" t="s">
        <v>158</v>
      </c>
    </row>
    <row r="7" spans="1:21" x14ac:dyDescent="0.2">
      <c r="A7" t="s">
        <v>85</v>
      </c>
      <c r="B7" t="s">
        <v>17</v>
      </c>
      <c r="C7">
        <v>1</v>
      </c>
      <c r="D7">
        <v>4</v>
      </c>
      <c r="E7">
        <v>4.5199999999999996</v>
      </c>
      <c r="F7">
        <v>117</v>
      </c>
      <c r="G7">
        <v>12</v>
      </c>
      <c r="H7">
        <v>4</v>
      </c>
      <c r="I7">
        <v>8</v>
      </c>
      <c r="J7">
        <v>4</v>
      </c>
      <c r="K7" t="s">
        <v>149</v>
      </c>
      <c r="L7" t="s">
        <v>105</v>
      </c>
      <c r="T7" t="s">
        <v>193</v>
      </c>
      <c r="U7" t="s">
        <v>190</v>
      </c>
    </row>
    <row r="8" spans="1:21" x14ac:dyDescent="0.2">
      <c r="A8" t="s">
        <v>80</v>
      </c>
      <c r="B8" t="s">
        <v>17</v>
      </c>
      <c r="C8">
        <v>1</v>
      </c>
      <c r="D8">
        <v>2</v>
      </c>
      <c r="E8">
        <v>4.2</v>
      </c>
      <c r="F8">
        <v>39</v>
      </c>
      <c r="G8">
        <v>4</v>
      </c>
      <c r="H8">
        <v>10</v>
      </c>
      <c r="I8">
        <v>8</v>
      </c>
      <c r="J8">
        <v>10</v>
      </c>
      <c r="K8" t="s">
        <v>159</v>
      </c>
      <c r="L8" t="s">
        <v>105</v>
      </c>
      <c r="T8" t="s">
        <v>173</v>
      </c>
      <c r="U8" t="s">
        <v>172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CBB1C-0A79-48C2-90DD-44B2566955CE}">
  <sheetPr codeName="Sheet4"/>
  <dimension ref="A1:U10"/>
  <sheetViews>
    <sheetView workbookViewId="0">
      <selection activeCell="A2" sqref="A2:U10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t="s">
        <v>0</v>
      </c>
      <c r="B1" t="s">
        <v>7</v>
      </c>
      <c r="C1" t="s">
        <v>8</v>
      </c>
      <c r="D1" t="s">
        <v>5</v>
      </c>
      <c r="E1" t="s">
        <v>6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62</v>
      </c>
    </row>
    <row r="2" spans="1:21" x14ac:dyDescent="0.2">
      <c r="A2" t="s">
        <v>146</v>
      </c>
      <c r="B2" t="s">
        <v>18</v>
      </c>
      <c r="C2">
        <v>0</v>
      </c>
      <c r="D2">
        <v>2</v>
      </c>
      <c r="E2">
        <v>9.92</v>
      </c>
      <c r="F2">
        <v>0</v>
      </c>
      <c r="G2">
        <v>10</v>
      </c>
      <c r="H2">
        <v>8</v>
      </c>
      <c r="I2">
        <v>6</v>
      </c>
      <c r="J2">
        <v>6</v>
      </c>
      <c r="K2" t="s">
        <v>153</v>
      </c>
      <c r="L2" t="s">
        <v>154</v>
      </c>
      <c r="N2" t="s">
        <v>155</v>
      </c>
      <c r="O2" t="s">
        <v>155</v>
      </c>
      <c r="P2" t="s">
        <v>155</v>
      </c>
      <c r="Q2" t="s">
        <v>155</v>
      </c>
      <c r="R2" t="s">
        <v>155</v>
      </c>
      <c r="S2" t="s">
        <v>155</v>
      </c>
      <c r="T2" t="s">
        <v>3</v>
      </c>
      <c r="U2" t="s">
        <v>157</v>
      </c>
    </row>
    <row r="3" spans="1:21" x14ac:dyDescent="0.2">
      <c r="A3" t="s">
        <v>90</v>
      </c>
      <c r="B3" t="s">
        <v>17</v>
      </c>
      <c r="C3">
        <v>1</v>
      </c>
      <c r="D3">
        <v>2</v>
      </c>
      <c r="E3">
        <v>9.4500000000000011</v>
      </c>
      <c r="F3">
        <v>63</v>
      </c>
      <c r="G3">
        <v>8</v>
      </c>
      <c r="H3">
        <v>9</v>
      </c>
      <c r="I3">
        <v>7</v>
      </c>
      <c r="J3">
        <v>7</v>
      </c>
      <c r="K3" t="s">
        <v>126</v>
      </c>
      <c r="L3" t="s">
        <v>150</v>
      </c>
      <c r="T3" t="s">
        <v>174</v>
      </c>
      <c r="U3" t="s">
        <v>175</v>
      </c>
    </row>
    <row r="4" spans="1:21" x14ac:dyDescent="0.2">
      <c r="A4" t="s">
        <v>146</v>
      </c>
      <c r="B4" t="s">
        <v>18</v>
      </c>
      <c r="C4">
        <v>0</v>
      </c>
      <c r="D4">
        <v>3</v>
      </c>
      <c r="E4">
        <v>9.44</v>
      </c>
      <c r="F4">
        <v>0</v>
      </c>
      <c r="G4">
        <v>10</v>
      </c>
      <c r="H4">
        <v>8</v>
      </c>
      <c r="I4">
        <v>6</v>
      </c>
      <c r="J4">
        <v>6</v>
      </c>
      <c r="K4" t="s">
        <v>153</v>
      </c>
      <c r="L4" t="s">
        <v>154</v>
      </c>
      <c r="N4" t="s">
        <v>155</v>
      </c>
      <c r="O4" t="s">
        <v>155</v>
      </c>
      <c r="P4" t="s">
        <v>155</v>
      </c>
      <c r="Q4" t="s">
        <v>155</v>
      </c>
      <c r="R4" t="s">
        <v>155</v>
      </c>
      <c r="S4" t="s">
        <v>155</v>
      </c>
      <c r="T4" t="s">
        <v>3</v>
      </c>
      <c r="U4" t="s">
        <v>157</v>
      </c>
    </row>
    <row r="5" spans="1:21" x14ac:dyDescent="0.2">
      <c r="A5" t="s">
        <v>146</v>
      </c>
      <c r="B5" t="s">
        <v>18</v>
      </c>
      <c r="C5">
        <v>0</v>
      </c>
      <c r="D5">
        <v>1</v>
      </c>
      <c r="E5">
        <v>8.56</v>
      </c>
      <c r="F5">
        <v>0</v>
      </c>
      <c r="G5">
        <v>10</v>
      </c>
      <c r="H5">
        <v>8</v>
      </c>
      <c r="I5">
        <v>6</v>
      </c>
      <c r="J5">
        <v>6</v>
      </c>
      <c r="K5" t="s">
        <v>153</v>
      </c>
      <c r="L5" t="s">
        <v>154</v>
      </c>
      <c r="N5" t="s">
        <v>155</v>
      </c>
      <c r="O5" t="s">
        <v>155</v>
      </c>
      <c r="P5" t="s">
        <v>155</v>
      </c>
      <c r="Q5" t="s">
        <v>155</v>
      </c>
      <c r="R5" t="s">
        <v>155</v>
      </c>
      <c r="S5" t="s">
        <v>155</v>
      </c>
      <c r="T5" t="s">
        <v>3</v>
      </c>
      <c r="U5" t="s">
        <v>157</v>
      </c>
    </row>
    <row r="6" spans="1:21" x14ac:dyDescent="0.2">
      <c r="A6" t="s">
        <v>88</v>
      </c>
      <c r="B6" t="s">
        <v>17</v>
      </c>
      <c r="C6">
        <v>1</v>
      </c>
      <c r="D6">
        <v>4</v>
      </c>
      <c r="E6">
        <v>8.19</v>
      </c>
      <c r="F6">
        <v>84</v>
      </c>
      <c r="G6">
        <v>4</v>
      </c>
      <c r="H6">
        <v>8</v>
      </c>
      <c r="I6">
        <v>10</v>
      </c>
      <c r="J6">
        <v>5</v>
      </c>
      <c r="K6" t="s">
        <v>130</v>
      </c>
      <c r="L6" t="s">
        <v>150</v>
      </c>
      <c r="T6" t="s">
        <v>176</v>
      </c>
      <c r="U6" t="s">
        <v>177</v>
      </c>
    </row>
    <row r="7" spans="1:21" x14ac:dyDescent="0.2">
      <c r="A7" t="s">
        <v>92</v>
      </c>
      <c r="B7" t="s">
        <v>17</v>
      </c>
      <c r="C7">
        <v>1</v>
      </c>
      <c r="D7">
        <v>3</v>
      </c>
      <c r="E7">
        <v>3.09</v>
      </c>
      <c r="F7">
        <v>105</v>
      </c>
      <c r="G7">
        <v>6</v>
      </c>
      <c r="H7">
        <v>5</v>
      </c>
      <c r="I7">
        <v>0</v>
      </c>
      <c r="J7">
        <v>8</v>
      </c>
      <c r="K7" t="s">
        <v>118</v>
      </c>
      <c r="L7" t="s">
        <v>150</v>
      </c>
      <c r="T7" t="s">
        <v>119</v>
      </c>
      <c r="U7" t="s">
        <v>157</v>
      </c>
    </row>
    <row r="8" spans="1:21" x14ac:dyDescent="0.2">
      <c r="A8" t="s">
        <v>96</v>
      </c>
      <c r="B8" t="s">
        <v>17</v>
      </c>
      <c r="C8">
        <v>1</v>
      </c>
      <c r="D8">
        <v>1</v>
      </c>
      <c r="E8">
        <v>0</v>
      </c>
      <c r="F8">
        <v>61</v>
      </c>
      <c r="G8">
        <v>8</v>
      </c>
      <c r="H8">
        <v>0</v>
      </c>
      <c r="I8">
        <v>10</v>
      </c>
      <c r="J8">
        <v>8</v>
      </c>
      <c r="K8" t="s">
        <v>151</v>
      </c>
      <c r="L8" t="s">
        <v>150</v>
      </c>
      <c r="T8" t="s">
        <v>151</v>
      </c>
      <c r="U8" t="s">
        <v>158</v>
      </c>
    </row>
    <row r="9" spans="1:21" x14ac:dyDescent="0.2">
      <c r="A9" t="s">
        <v>150</v>
      </c>
      <c r="B9" t="s">
        <v>18</v>
      </c>
      <c r="C9">
        <v>0</v>
      </c>
      <c r="D9">
        <v>2</v>
      </c>
      <c r="E9">
        <v>-2.4</v>
      </c>
      <c r="F9">
        <v>0</v>
      </c>
      <c r="G9">
        <v>7</v>
      </c>
      <c r="H9">
        <v>4</v>
      </c>
      <c r="I9">
        <v>8</v>
      </c>
      <c r="J9">
        <v>13</v>
      </c>
      <c r="K9" t="s">
        <v>168</v>
      </c>
      <c r="L9" t="s">
        <v>167</v>
      </c>
      <c r="N9" t="s">
        <v>155</v>
      </c>
      <c r="O9" t="s">
        <v>155</v>
      </c>
      <c r="P9" t="s">
        <v>155</v>
      </c>
      <c r="Q9" t="s">
        <v>155</v>
      </c>
      <c r="R9" t="s">
        <v>155</v>
      </c>
      <c r="S9" t="s">
        <v>155</v>
      </c>
      <c r="T9" t="s">
        <v>168</v>
      </c>
      <c r="U9" t="s">
        <v>158</v>
      </c>
    </row>
    <row r="10" spans="1:21" x14ac:dyDescent="0.2">
      <c r="A10" t="s">
        <v>150</v>
      </c>
      <c r="B10" t="s">
        <v>18</v>
      </c>
      <c r="C10">
        <v>0</v>
      </c>
      <c r="D10">
        <v>1</v>
      </c>
      <c r="E10">
        <v>-2.42</v>
      </c>
      <c r="F10">
        <v>0</v>
      </c>
      <c r="G10">
        <v>7</v>
      </c>
      <c r="H10">
        <v>4</v>
      </c>
      <c r="I10">
        <v>8</v>
      </c>
      <c r="J10">
        <v>13</v>
      </c>
      <c r="K10" t="s">
        <v>153</v>
      </c>
      <c r="L10" t="s">
        <v>167</v>
      </c>
      <c r="N10" t="s">
        <v>155</v>
      </c>
      <c r="O10" t="s">
        <v>155</v>
      </c>
      <c r="P10" t="s">
        <v>155</v>
      </c>
      <c r="Q10" t="s">
        <v>155</v>
      </c>
      <c r="R10" t="s">
        <v>155</v>
      </c>
      <c r="S10" t="s">
        <v>155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07D9A-FFEF-48F0-982D-BD14A67376F6}">
  <sheetPr codeName="Sheet5"/>
  <dimension ref="A1:U10"/>
  <sheetViews>
    <sheetView workbookViewId="0">
      <selection activeCell="A2" sqref="A2:U10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t="s">
        <v>0</v>
      </c>
      <c r="B1" t="s">
        <v>7</v>
      </c>
      <c r="C1" t="s">
        <v>8</v>
      </c>
      <c r="D1" t="s">
        <v>5</v>
      </c>
      <c r="E1" t="s">
        <v>6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62</v>
      </c>
    </row>
    <row r="2" spans="1:21" x14ac:dyDescent="0.2">
      <c r="A2" t="s">
        <v>108</v>
      </c>
      <c r="B2" t="s">
        <v>17</v>
      </c>
      <c r="C2">
        <v>1</v>
      </c>
      <c r="D2">
        <v>2</v>
      </c>
      <c r="E2">
        <v>11.25</v>
      </c>
      <c r="F2">
        <v>90</v>
      </c>
      <c r="G2">
        <v>8</v>
      </c>
      <c r="H2">
        <v>9</v>
      </c>
      <c r="I2">
        <v>6</v>
      </c>
      <c r="J2">
        <v>7</v>
      </c>
      <c r="K2" t="s">
        <v>127</v>
      </c>
      <c r="L2" t="s">
        <v>83</v>
      </c>
      <c r="T2" t="s">
        <v>178</v>
      </c>
      <c r="U2" t="s">
        <v>179</v>
      </c>
    </row>
    <row r="3" spans="1:21" x14ac:dyDescent="0.2">
      <c r="A3" t="s">
        <v>142</v>
      </c>
      <c r="B3" t="s">
        <v>17</v>
      </c>
      <c r="C3">
        <v>0</v>
      </c>
      <c r="D3">
        <v>3</v>
      </c>
      <c r="E3">
        <v>11.07</v>
      </c>
      <c r="F3">
        <v>0</v>
      </c>
      <c r="G3">
        <v>5</v>
      </c>
      <c r="H3">
        <v>11</v>
      </c>
      <c r="I3">
        <v>4</v>
      </c>
      <c r="J3">
        <v>7</v>
      </c>
      <c r="K3" t="s">
        <v>144</v>
      </c>
      <c r="L3" t="s">
        <v>83</v>
      </c>
      <c r="N3" t="s">
        <v>155</v>
      </c>
      <c r="O3" t="s">
        <v>155</v>
      </c>
      <c r="P3" t="s">
        <v>155</v>
      </c>
      <c r="Q3" t="s">
        <v>155</v>
      </c>
      <c r="R3" t="s">
        <v>155</v>
      </c>
      <c r="S3" t="s">
        <v>155</v>
      </c>
      <c r="T3" t="s">
        <v>180</v>
      </c>
      <c r="U3" t="s">
        <v>170</v>
      </c>
    </row>
    <row r="4" spans="1:21" x14ac:dyDescent="0.2">
      <c r="A4" t="s">
        <v>98</v>
      </c>
      <c r="B4" t="s">
        <v>18</v>
      </c>
      <c r="C4">
        <v>0</v>
      </c>
      <c r="D4">
        <v>2</v>
      </c>
      <c r="E4">
        <v>5.6000000000000014</v>
      </c>
      <c r="F4">
        <v>0</v>
      </c>
      <c r="G4">
        <v>8</v>
      </c>
      <c r="H4">
        <v>5</v>
      </c>
      <c r="I4">
        <v>10</v>
      </c>
      <c r="J4">
        <v>8</v>
      </c>
      <c r="K4" t="s">
        <v>163</v>
      </c>
      <c r="L4" t="s">
        <v>154</v>
      </c>
      <c r="N4" t="s">
        <v>155</v>
      </c>
      <c r="O4" t="s">
        <v>155</v>
      </c>
      <c r="P4" t="s">
        <v>155</v>
      </c>
      <c r="Q4" t="s">
        <v>155</v>
      </c>
      <c r="R4" t="s">
        <v>155</v>
      </c>
      <c r="S4" t="s">
        <v>155</v>
      </c>
      <c r="T4" t="s">
        <v>181</v>
      </c>
      <c r="U4" t="s">
        <v>170</v>
      </c>
    </row>
    <row r="5" spans="1:21" x14ac:dyDescent="0.2">
      <c r="A5" t="s">
        <v>98</v>
      </c>
      <c r="B5" t="s">
        <v>18</v>
      </c>
      <c r="C5">
        <v>0</v>
      </c>
      <c r="D5">
        <v>1</v>
      </c>
      <c r="E5">
        <v>5.5500000000000007</v>
      </c>
      <c r="F5">
        <v>0</v>
      </c>
      <c r="G5">
        <v>8</v>
      </c>
      <c r="H5">
        <v>5</v>
      </c>
      <c r="I5">
        <v>10</v>
      </c>
      <c r="J5">
        <v>8</v>
      </c>
      <c r="K5" t="s">
        <v>153</v>
      </c>
      <c r="N5" t="s">
        <v>155</v>
      </c>
      <c r="O5" t="s">
        <v>155</v>
      </c>
      <c r="P5" t="s">
        <v>155</v>
      </c>
      <c r="Q5" t="s">
        <v>155</v>
      </c>
      <c r="R5" t="s">
        <v>155</v>
      </c>
      <c r="S5" t="s">
        <v>155</v>
      </c>
    </row>
    <row r="6" spans="1:21" x14ac:dyDescent="0.2">
      <c r="A6" t="s">
        <v>83</v>
      </c>
      <c r="B6" t="s">
        <v>18</v>
      </c>
      <c r="C6">
        <v>0</v>
      </c>
      <c r="D6">
        <v>2</v>
      </c>
      <c r="E6">
        <v>4.76</v>
      </c>
      <c r="F6">
        <v>0</v>
      </c>
      <c r="G6">
        <v>12</v>
      </c>
      <c r="H6">
        <v>4</v>
      </c>
      <c r="I6">
        <v>8</v>
      </c>
      <c r="J6">
        <v>4</v>
      </c>
      <c r="K6" t="s">
        <v>149</v>
      </c>
      <c r="L6" t="s">
        <v>154</v>
      </c>
      <c r="N6" t="s">
        <v>155</v>
      </c>
      <c r="O6" t="s">
        <v>155</v>
      </c>
      <c r="P6" t="s">
        <v>155</v>
      </c>
      <c r="Q6" t="s">
        <v>155</v>
      </c>
      <c r="R6" t="s">
        <v>155</v>
      </c>
      <c r="S6" t="s">
        <v>155</v>
      </c>
      <c r="T6" t="s">
        <v>149</v>
      </c>
      <c r="U6" t="s">
        <v>157</v>
      </c>
    </row>
    <row r="7" spans="1:21" x14ac:dyDescent="0.2">
      <c r="A7" t="s">
        <v>83</v>
      </c>
      <c r="B7" t="s">
        <v>18</v>
      </c>
      <c r="C7">
        <v>0</v>
      </c>
      <c r="D7">
        <v>3</v>
      </c>
      <c r="E7">
        <v>4.5999999999999996</v>
      </c>
      <c r="F7">
        <v>0</v>
      </c>
      <c r="G7">
        <v>12</v>
      </c>
      <c r="H7">
        <v>4</v>
      </c>
      <c r="I7">
        <v>8</v>
      </c>
      <c r="J7">
        <v>4</v>
      </c>
      <c r="K7" t="s">
        <v>3</v>
      </c>
      <c r="L7" t="s">
        <v>154</v>
      </c>
      <c r="N7" t="s">
        <v>155</v>
      </c>
      <c r="O7" t="s">
        <v>155</v>
      </c>
      <c r="P7" t="s">
        <v>155</v>
      </c>
      <c r="Q7" t="s">
        <v>155</v>
      </c>
      <c r="R7" t="s">
        <v>155</v>
      </c>
      <c r="S7" t="s">
        <v>155</v>
      </c>
      <c r="T7" t="s">
        <v>182</v>
      </c>
      <c r="U7" t="s">
        <v>172</v>
      </c>
    </row>
    <row r="8" spans="1:21" x14ac:dyDescent="0.2">
      <c r="A8" t="s">
        <v>83</v>
      </c>
      <c r="B8" t="s">
        <v>18</v>
      </c>
      <c r="C8">
        <v>0</v>
      </c>
      <c r="D8">
        <v>1</v>
      </c>
      <c r="E8">
        <v>4.16</v>
      </c>
      <c r="F8">
        <v>0</v>
      </c>
      <c r="G8">
        <v>12</v>
      </c>
      <c r="H8">
        <v>4</v>
      </c>
      <c r="I8">
        <v>8</v>
      </c>
      <c r="J8">
        <v>4</v>
      </c>
      <c r="K8" t="s">
        <v>3</v>
      </c>
      <c r="L8" t="s">
        <v>154</v>
      </c>
      <c r="N8" t="s">
        <v>155</v>
      </c>
      <c r="O8" t="s">
        <v>155</v>
      </c>
      <c r="P8" t="s">
        <v>155</v>
      </c>
      <c r="Q8" t="s">
        <v>155</v>
      </c>
      <c r="R8" t="s">
        <v>155</v>
      </c>
      <c r="S8" t="s">
        <v>155</v>
      </c>
      <c r="T8" t="s">
        <v>3</v>
      </c>
      <c r="U8" t="s">
        <v>157</v>
      </c>
    </row>
    <row r="9" spans="1:21" x14ac:dyDescent="0.2">
      <c r="A9" t="s">
        <v>78</v>
      </c>
      <c r="B9" t="s">
        <v>17</v>
      </c>
      <c r="C9">
        <v>1</v>
      </c>
      <c r="D9">
        <v>4</v>
      </c>
      <c r="E9">
        <v>1.1200000000000001</v>
      </c>
      <c r="F9">
        <v>27</v>
      </c>
      <c r="G9">
        <v>3</v>
      </c>
      <c r="H9">
        <v>6</v>
      </c>
      <c r="I9">
        <v>12</v>
      </c>
      <c r="J9">
        <v>8</v>
      </c>
      <c r="K9" t="s">
        <v>120</v>
      </c>
      <c r="T9" t="s">
        <v>183</v>
      </c>
      <c r="U9" t="s">
        <v>177</v>
      </c>
    </row>
    <row r="10" spans="1:21" x14ac:dyDescent="0.2">
      <c r="A10" t="s">
        <v>94</v>
      </c>
      <c r="B10" t="s">
        <v>17</v>
      </c>
      <c r="C10">
        <v>1</v>
      </c>
      <c r="D10">
        <v>1</v>
      </c>
      <c r="E10">
        <v>1.02</v>
      </c>
      <c r="F10">
        <v>54</v>
      </c>
      <c r="G10">
        <v>0</v>
      </c>
      <c r="H10">
        <v>11</v>
      </c>
      <c r="I10">
        <v>0</v>
      </c>
      <c r="J10">
        <v>10</v>
      </c>
      <c r="K10" t="s">
        <v>115</v>
      </c>
      <c r="L10" t="s">
        <v>83</v>
      </c>
      <c r="T10" t="s">
        <v>115</v>
      </c>
      <c r="U10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70E34-4BB5-4553-9ACB-F63455090246}">
  <sheetPr codeName="Sheet6"/>
  <dimension ref="A1:U8"/>
  <sheetViews>
    <sheetView workbookViewId="0">
      <selection activeCell="A2" sqref="A2:U8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t="s">
        <v>0</v>
      </c>
      <c r="B1" t="s">
        <v>7</v>
      </c>
      <c r="C1" t="s">
        <v>8</v>
      </c>
      <c r="D1" t="s">
        <v>5</v>
      </c>
      <c r="E1" t="s">
        <v>6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62</v>
      </c>
    </row>
    <row r="2" spans="1:21" x14ac:dyDescent="0.2">
      <c r="A2" t="s">
        <v>148</v>
      </c>
      <c r="B2" t="s">
        <v>18</v>
      </c>
      <c r="C2">
        <v>0</v>
      </c>
      <c r="D2">
        <v>1</v>
      </c>
      <c r="E2">
        <v>15.21</v>
      </c>
      <c r="F2">
        <v>0</v>
      </c>
      <c r="G2">
        <v>8</v>
      </c>
      <c r="H2">
        <v>13</v>
      </c>
      <c r="I2">
        <v>10</v>
      </c>
      <c r="J2">
        <v>5</v>
      </c>
      <c r="K2" t="s">
        <v>153</v>
      </c>
      <c r="N2" t="s">
        <v>155</v>
      </c>
      <c r="O2" t="s">
        <v>155</v>
      </c>
      <c r="P2" t="s">
        <v>155</v>
      </c>
      <c r="Q2" t="s">
        <v>155</v>
      </c>
      <c r="R2" t="s">
        <v>155</v>
      </c>
      <c r="S2" t="s">
        <v>155</v>
      </c>
    </row>
    <row r="3" spans="1:21" x14ac:dyDescent="0.2">
      <c r="A3" t="s">
        <v>105</v>
      </c>
      <c r="B3" t="s">
        <v>18</v>
      </c>
      <c r="C3">
        <v>0</v>
      </c>
      <c r="D3">
        <v>1</v>
      </c>
      <c r="E3">
        <v>12.3</v>
      </c>
      <c r="F3">
        <v>0</v>
      </c>
      <c r="G3">
        <v>6</v>
      </c>
      <c r="H3">
        <v>10</v>
      </c>
      <c r="I3">
        <v>8</v>
      </c>
      <c r="J3">
        <v>6</v>
      </c>
      <c r="K3" t="s">
        <v>152</v>
      </c>
      <c r="L3" t="s">
        <v>154</v>
      </c>
      <c r="N3" t="s">
        <v>155</v>
      </c>
      <c r="O3" t="s">
        <v>155</v>
      </c>
      <c r="P3" t="s">
        <v>155</v>
      </c>
      <c r="Q3" t="s">
        <v>155</v>
      </c>
      <c r="R3" t="s">
        <v>155</v>
      </c>
      <c r="S3" t="s">
        <v>155</v>
      </c>
      <c r="T3" t="s">
        <v>152</v>
      </c>
      <c r="U3" t="s">
        <v>156</v>
      </c>
    </row>
    <row r="4" spans="1:21" x14ac:dyDescent="0.2">
      <c r="A4" t="s">
        <v>103</v>
      </c>
      <c r="B4" t="s">
        <v>17</v>
      </c>
      <c r="C4">
        <v>1</v>
      </c>
      <c r="D4">
        <v>3</v>
      </c>
      <c r="E4">
        <v>12</v>
      </c>
      <c r="F4">
        <v>99</v>
      </c>
      <c r="G4">
        <v>6</v>
      </c>
      <c r="H4">
        <v>10</v>
      </c>
      <c r="I4">
        <v>8</v>
      </c>
      <c r="J4">
        <v>6</v>
      </c>
      <c r="K4" t="s">
        <v>152</v>
      </c>
      <c r="L4" t="s">
        <v>98</v>
      </c>
      <c r="T4" t="s">
        <v>171</v>
      </c>
      <c r="U4" t="s">
        <v>170</v>
      </c>
    </row>
    <row r="5" spans="1:21" x14ac:dyDescent="0.2">
      <c r="A5" t="s">
        <v>147</v>
      </c>
      <c r="B5" t="s">
        <v>17</v>
      </c>
      <c r="C5">
        <v>1</v>
      </c>
      <c r="D5">
        <v>4</v>
      </c>
      <c r="E5">
        <v>8.8000000000000007</v>
      </c>
      <c r="F5">
        <v>99</v>
      </c>
      <c r="G5">
        <v>10</v>
      </c>
      <c r="H5">
        <v>8</v>
      </c>
      <c r="I5">
        <v>6</v>
      </c>
      <c r="J5">
        <v>6</v>
      </c>
      <c r="K5" t="s">
        <v>3</v>
      </c>
      <c r="L5" t="s">
        <v>98</v>
      </c>
      <c r="T5" t="s">
        <v>182</v>
      </c>
      <c r="U5" t="s">
        <v>172</v>
      </c>
    </row>
    <row r="6" spans="1:21" x14ac:dyDescent="0.2">
      <c r="A6" t="s">
        <v>101</v>
      </c>
      <c r="B6" t="s">
        <v>17</v>
      </c>
      <c r="C6">
        <v>1</v>
      </c>
      <c r="D6">
        <v>2</v>
      </c>
      <c r="E6">
        <v>8.1199999999999992</v>
      </c>
      <c r="F6">
        <v>60</v>
      </c>
      <c r="G6">
        <v>20</v>
      </c>
      <c r="H6">
        <v>7</v>
      </c>
      <c r="I6">
        <v>7</v>
      </c>
      <c r="J6">
        <v>8</v>
      </c>
      <c r="K6" t="s">
        <v>43</v>
      </c>
      <c r="L6" t="s">
        <v>105</v>
      </c>
      <c r="T6" t="s">
        <v>184</v>
      </c>
      <c r="U6" t="s">
        <v>185</v>
      </c>
    </row>
    <row r="7" spans="1:21" x14ac:dyDescent="0.2">
      <c r="A7" t="s">
        <v>84</v>
      </c>
      <c r="B7" t="s">
        <v>17</v>
      </c>
      <c r="C7">
        <v>1</v>
      </c>
      <c r="D7">
        <v>1</v>
      </c>
      <c r="E7">
        <v>7.32</v>
      </c>
      <c r="F7">
        <v>91</v>
      </c>
      <c r="G7">
        <v>12</v>
      </c>
      <c r="H7">
        <v>6</v>
      </c>
      <c r="I7">
        <v>3</v>
      </c>
      <c r="J7">
        <v>6</v>
      </c>
      <c r="K7" t="s">
        <v>125</v>
      </c>
      <c r="L7" t="s">
        <v>98</v>
      </c>
      <c r="T7" t="s">
        <v>186</v>
      </c>
      <c r="U7" t="s">
        <v>172</v>
      </c>
    </row>
    <row r="8" spans="1:21" x14ac:dyDescent="0.2">
      <c r="A8" t="s">
        <v>98</v>
      </c>
      <c r="B8" t="s">
        <v>18</v>
      </c>
      <c r="C8">
        <v>0</v>
      </c>
      <c r="D8">
        <v>1</v>
      </c>
      <c r="E8">
        <v>5.5500000000000007</v>
      </c>
      <c r="F8">
        <v>0</v>
      </c>
      <c r="G8">
        <v>8</v>
      </c>
      <c r="H8">
        <v>5</v>
      </c>
      <c r="I8">
        <v>10</v>
      </c>
      <c r="J8">
        <v>8</v>
      </c>
      <c r="K8" t="s">
        <v>163</v>
      </c>
      <c r="N8" t="s">
        <v>155</v>
      </c>
      <c r="O8" t="s">
        <v>155</v>
      </c>
      <c r="P8" t="s">
        <v>155</v>
      </c>
      <c r="Q8" t="s">
        <v>155</v>
      </c>
      <c r="R8" t="s">
        <v>155</v>
      </c>
      <c r="S8" t="s">
        <v>155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Players</vt:lpstr>
      <vt:lpstr>Template</vt:lpstr>
      <vt:lpstr>Front 1</vt:lpstr>
      <vt:lpstr>Front 2</vt:lpstr>
      <vt:lpstr>Front 3</vt:lpstr>
      <vt:lpstr>Front 4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2019-05-21T21:30:08Z</dcterms:modified>
</cp:coreProperties>
</file>