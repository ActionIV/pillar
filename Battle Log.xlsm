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5DF407DE-694B-437E-92B7-323D29BB13BF}" xr6:coauthVersionLast="43" xr6:coauthVersionMax="43" xr10:uidLastSave="{00000000-0000-0000-0000-000000000000}"/>
  <bookViews>
    <workbookView xWindow="28680" yWindow="-120" windowWidth="29040" windowHeight="15840" tabRatio="838" xr2:uid="{00000000-000D-0000-FFFF-FFFF00000000}"/>
  </bookViews>
  <sheets>
    <sheet name="Players" sheetId="16" r:id="rId1"/>
    <sheet name="Heal" sheetId="30" r:id="rId2"/>
    <sheet name="Template" sheetId="1" r:id="rId3"/>
    <sheet name="Black Tortoise" sheetId="31" r:id="rId4"/>
    <sheet name="Azure Dragon" sheetId="32" r:id="rId5"/>
    <sheet name="White Tiger" sheetId="33" r:id="rId6"/>
    <sheet name="Vermillion Bird" sheetId="34" r:id="rId7"/>
  </sheets>
  <externalReferences>
    <externalReference r:id="rId8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16" l="1"/>
  <c r="O7" i="16"/>
  <c r="I7" i="16"/>
  <c r="I10" i="16"/>
  <c r="M18" i="16"/>
  <c r="M6" i="16"/>
  <c r="M9" i="16"/>
  <c r="I19" i="16"/>
  <c r="O8" i="16"/>
  <c r="O4" i="16" l="1"/>
  <c r="O14" i="16"/>
  <c r="M5" i="16" l="1"/>
  <c r="M3" i="16"/>
  <c r="O3" i="16"/>
  <c r="O5" i="16"/>
  <c r="O6" i="16"/>
  <c r="O9" i="16"/>
  <c r="O11" i="16"/>
  <c r="O12" i="16"/>
  <c r="O13" i="16"/>
  <c r="O15" i="16"/>
  <c r="O16" i="16"/>
  <c r="O17" i="16"/>
  <c r="O18" i="16"/>
  <c r="O19" i="16"/>
  <c r="O20" i="16"/>
  <c r="O21" i="16"/>
  <c r="O22" i="16"/>
  <c r="O23" i="16"/>
  <c r="M4" i="16"/>
  <c r="M7" i="16"/>
  <c r="M8" i="16"/>
  <c r="M10" i="16"/>
  <c r="M11" i="16"/>
  <c r="M12" i="16"/>
  <c r="M13" i="16"/>
  <c r="M14" i="16"/>
  <c r="M15" i="16"/>
  <c r="M16" i="16"/>
  <c r="M17" i="16"/>
  <c r="M19" i="16"/>
  <c r="M20" i="16"/>
  <c r="M21" i="16"/>
  <c r="M22" i="16"/>
  <c r="M23" i="16"/>
  <c r="I3" i="16"/>
  <c r="I4" i="16"/>
  <c r="I5" i="16"/>
  <c r="I6" i="16"/>
  <c r="I8" i="16"/>
  <c r="I9" i="16"/>
  <c r="I11" i="16"/>
  <c r="I12" i="16"/>
  <c r="I13" i="16"/>
  <c r="I14" i="16"/>
  <c r="I15" i="16"/>
  <c r="I16" i="16"/>
  <c r="I17" i="16"/>
  <c r="I18" i="16"/>
  <c r="I20" i="16"/>
  <c r="I21" i="16"/>
  <c r="I22" i="16"/>
  <c r="I23" i="16"/>
  <c r="M2" i="16"/>
  <c r="A23" i="16" l="1"/>
  <c r="A22" i="16"/>
  <c r="A21" i="16"/>
  <c r="A20" i="16"/>
  <c r="A19" i="16"/>
  <c r="A18" i="16"/>
  <c r="A17" i="16"/>
  <c r="AK16" i="16" l="1"/>
  <c r="AK4" i="16"/>
  <c r="AK3" i="16"/>
  <c r="C2" i="30" l="1"/>
  <c r="B2" i="30"/>
  <c r="G2" i="30" l="1"/>
  <c r="O2" i="16"/>
  <c r="D2" i="30" s="1"/>
  <c r="I2" i="16"/>
  <c r="H2" i="30" l="1"/>
  <c r="I2" i="30" s="1"/>
  <c r="A15" i="16"/>
  <c r="A16" i="16"/>
  <c r="A24" i="16"/>
  <c r="I24" i="16" l="1"/>
  <c r="O24" i="16"/>
  <c r="M24" i="16"/>
  <c r="A14" i="16" l="1"/>
  <c r="A13" i="16" l="1"/>
  <c r="A12" i="16" l="1"/>
  <c r="A11" i="16" l="1"/>
  <c r="A10" i="16" l="1"/>
  <c r="A9" i="16" l="1"/>
  <c r="A8" i="16" l="1"/>
  <c r="A2" i="16" l="1"/>
  <c r="A3" i="16"/>
  <c r="A4" i="16"/>
  <c r="A5" i="16"/>
  <c r="A6" i="16"/>
  <c r="A7" i="16"/>
  <c r="AA21" i="16" l="1"/>
  <c r="AA17" i="16"/>
  <c r="R22" i="16"/>
  <c r="AJ21" i="16"/>
  <c r="AJ19" i="16"/>
  <c r="AJ17" i="16"/>
  <c r="AA22" i="16"/>
  <c r="AG21" i="16"/>
  <c r="AJ22" i="16"/>
  <c r="X22" i="16"/>
  <c r="AJ20" i="16"/>
  <c r="AJ18" i="16"/>
  <c r="R17" i="16"/>
  <c r="AG11" i="16"/>
  <c r="AA11" i="16"/>
  <c r="AJ11" i="16"/>
  <c r="AJ16" i="16"/>
  <c r="U3" i="16"/>
  <c r="R3" i="16"/>
  <c r="X3" i="16"/>
  <c r="AJ12" i="16"/>
  <c r="AJ2" i="16"/>
  <c r="AJ13" i="16"/>
  <c r="U10" i="16"/>
  <c r="R5" i="16"/>
  <c r="AA15" i="16"/>
  <c r="AJ5" i="16"/>
  <c r="AA9" i="16"/>
  <c r="AJ10" i="16"/>
  <c r="AG10" i="16"/>
  <c r="AJ8" i="16"/>
  <c r="U2" i="16"/>
  <c r="AA13" i="16"/>
  <c r="AJ14" i="16"/>
  <c r="AJ7" i="16"/>
  <c r="AD23" i="16" l="1"/>
  <c r="U22" i="16"/>
  <c r="U20" i="16"/>
  <c r="U18" i="16"/>
  <c r="X23" i="16"/>
  <c r="R20" i="16"/>
  <c r="AD18" i="16"/>
  <c r="AJ23" i="16"/>
  <c r="AG19" i="16"/>
  <c r="AG17" i="16"/>
  <c r="R21" i="16"/>
  <c r="AD19" i="16"/>
  <c r="AP17" i="16"/>
  <c r="AD16" i="16"/>
  <c r="AM11" i="16"/>
  <c r="AG3" i="16"/>
  <c r="R11" i="16"/>
  <c r="X16" i="16"/>
  <c r="AD2" i="16"/>
  <c r="R15" i="16"/>
  <c r="AG7" i="16"/>
  <c r="AA5" i="16"/>
  <c r="AD8" i="16"/>
  <c r="AG12" i="16"/>
  <c r="AD13" i="16"/>
  <c r="X6" i="16"/>
  <c r="X8" i="16"/>
  <c r="AP2" i="16"/>
  <c r="AJ6" i="16"/>
  <c r="AM12" i="16"/>
  <c r="AD10" i="16"/>
  <c r="R24" i="16"/>
  <c r="X12" i="16"/>
  <c r="AG14" i="16"/>
  <c r="AP6" i="16"/>
  <c r="X13" i="16"/>
  <c r="R13" i="16"/>
  <c r="AM10" i="16"/>
  <c r="AD4" i="16"/>
  <c r="AJ9" i="16"/>
  <c r="AA12" i="16"/>
  <c r="U13" i="16"/>
  <c r="AM24" i="16"/>
  <c r="U4" i="16"/>
  <c r="AD3" i="16"/>
  <c r="R7" i="16"/>
  <c r="U9" i="16"/>
  <c r="AG8" i="16"/>
  <c r="AP4" i="16"/>
  <c r="AA4" i="16"/>
  <c r="AM15" i="16"/>
  <c r="R10" i="16"/>
  <c r="AM7" i="16"/>
  <c r="X2" i="16"/>
  <c r="AG22" i="16"/>
  <c r="AM23" i="16"/>
  <c r="AD20" i="16"/>
  <c r="X17" i="16"/>
  <c r="R23" i="16"/>
  <c r="R16" i="16"/>
  <c r="AJ3" i="16"/>
  <c r="X10" i="16"/>
  <c r="AD6" i="16"/>
  <c r="AD5" i="16"/>
  <c r="AD14" i="16"/>
  <c r="AD24" i="16"/>
  <c r="AD9" i="16"/>
  <c r="AP24" i="16"/>
  <c r="R9" i="16"/>
  <c r="AJ24" i="16"/>
  <c r="AP23" i="16"/>
  <c r="AM21" i="16"/>
  <c r="AM19" i="16"/>
  <c r="AM17" i="16"/>
  <c r="AP22" i="16"/>
  <c r="X21" i="16"/>
  <c r="R18" i="16"/>
  <c r="U23" i="16"/>
  <c r="U21" i="16"/>
  <c r="U19" i="16"/>
  <c r="U17" i="16"/>
  <c r="R19" i="16"/>
  <c r="AD17" i="16"/>
  <c r="AG16" i="16"/>
  <c r="AP3" i="16"/>
  <c r="AM3" i="16"/>
  <c r="AD12" i="16"/>
  <c r="AD7" i="16"/>
  <c r="U6" i="16"/>
  <c r="AA10" i="16"/>
  <c r="AA14" i="16"/>
  <c r="U15" i="16"/>
  <c r="AA6" i="16"/>
  <c r="X5" i="16"/>
  <c r="AG13" i="16"/>
  <c r="AP16" i="16"/>
  <c r="AM9" i="16"/>
  <c r="AM4" i="16"/>
  <c r="U24" i="16"/>
  <c r="R12" i="16"/>
  <c r="X9" i="16"/>
  <c r="AJ15" i="16"/>
  <c r="AP11" i="16"/>
  <c r="R14" i="16"/>
  <c r="AP14" i="16"/>
  <c r="AP9" i="16"/>
  <c r="AP8" i="16"/>
  <c r="AP5" i="16"/>
  <c r="AD15" i="16"/>
  <c r="X4" i="16"/>
  <c r="AM6" i="16"/>
  <c r="X7" i="16"/>
  <c r="AD22" i="16"/>
  <c r="X19" i="16"/>
  <c r="AM22" i="16"/>
  <c r="AM20" i="16"/>
  <c r="AG23" i="16"/>
  <c r="X20" i="16"/>
  <c r="AM16" i="16"/>
  <c r="U16" i="16"/>
  <c r="U11" i="16"/>
  <c r="U7" i="16"/>
  <c r="AM13" i="16"/>
  <c r="U12" i="16"/>
  <c r="AA2" i="16"/>
  <c r="AG24" i="16"/>
  <c r="AM2" i="16"/>
  <c r="AP7" i="16"/>
  <c r="AM8" i="16"/>
  <c r="AA24" i="16"/>
  <c r="AM5" i="16"/>
  <c r="AG6" i="16"/>
  <c r="AG18" i="16"/>
  <c r="AA20" i="16"/>
  <c r="AD21" i="16"/>
  <c r="X18" i="16"/>
  <c r="X11" i="16"/>
  <c r="R6" i="16"/>
  <c r="U5" i="16"/>
  <c r="X15" i="16"/>
  <c r="X24" i="16"/>
  <c r="R4" i="16"/>
  <c r="AP15" i="16"/>
  <c r="AG15" i="16"/>
  <c r="AP12" i="16"/>
  <c r="U8" i="16"/>
  <c r="AM14" i="16"/>
  <c r="AA23" i="16"/>
  <c r="AA19" i="16"/>
  <c r="AP20" i="16"/>
  <c r="AM18" i="16"/>
  <c r="AP21" i="16"/>
  <c r="AA16" i="16"/>
  <c r="AA3" i="16"/>
  <c r="AA7" i="16"/>
  <c r="U14" i="16"/>
  <c r="AA8" i="16"/>
  <c r="R8" i="16"/>
  <c r="AJ4" i="16"/>
  <c r="AP10" i="16"/>
  <c r="AG20" i="16"/>
  <c r="AP18" i="16"/>
  <c r="AA18" i="16"/>
  <c r="AP19" i="16"/>
  <c r="AD11" i="16"/>
  <c r="AG5" i="16"/>
  <c r="AG2" i="16"/>
  <c r="X14" i="16"/>
  <c r="AP13" i="16"/>
  <c r="AG9" i="16"/>
  <c r="R2" i="16"/>
  <c r="AG4" i="16"/>
  <c r="K8" i="16" l="1"/>
  <c r="K17" i="16"/>
  <c r="K6" i="16"/>
  <c r="K9" i="16"/>
  <c r="K21" i="16"/>
  <c r="K4" i="16"/>
  <c r="K7" i="16"/>
  <c r="K19" i="16"/>
  <c r="K23" i="16"/>
  <c r="K22" i="16"/>
  <c r="K18" i="16"/>
  <c r="K11" i="16"/>
  <c r="K13" i="16"/>
  <c r="K16" i="16"/>
  <c r="K24" i="16"/>
  <c r="K10" i="16"/>
  <c r="K3" i="16"/>
  <c r="K14" i="16"/>
  <c r="K5" i="16"/>
  <c r="K12" i="16"/>
  <c r="K2" i="16"/>
  <c r="K20" i="16"/>
  <c r="K15" i="16"/>
</calcChain>
</file>

<file path=xl/sharedStrings.xml><?xml version="1.0" encoding="utf-8"?>
<sst xmlns="http://schemas.openxmlformats.org/spreadsheetml/2006/main" count="691" uniqueCount="279">
  <si>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</si>
  <si>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</si>
  <si>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</si>
  <si>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</si>
  <si>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</si>
  <si>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</si>
  <si>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</si>
  <si>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</si>
  <si>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</si>
  <si>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</si>
  <si>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</si>
  <si>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</si>
  <si>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</si>
  <si>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</si>
  <si>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</si>
  <si>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</si>
  <si>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</si>
  <si>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</si>
  <si>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</si>
  <si>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</si>
  <si>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</si>
  <si>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</si>
  <si>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</si>
  <si>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</si>
  <si>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</si>
  <si>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</si>
  <si>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</si>
  <si>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</si>
  <si>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</si>
  <si>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</si>
  <si>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</si>
  <si>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</si>
  <si>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</si>
  <si>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</si>
  <si>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</si>
  <si>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</si>
  <si>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</si>
  <si>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</si>
  <si>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</si>
  <si>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</si>
  <si>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</si>
  <si>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</si>
  <si>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</si>
  <si>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</si>
  <si>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</si>
  <si>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</si>
  <si>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</si>
  <si>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</si>
  <si>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</si>
  <si>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</si>
  <si>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</si>
  <si>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</si>
  <si>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</si>
  <si>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</si>
  <si>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</si>
  <si>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</si>
  <si>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</si>
  <si>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</si>
  <si>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</si>
  <si>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</si>
  <si>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</si>
  <si>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</si>
  <si>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</si>
  <si>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</si>
  <si>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</si>
  <si>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</si>
  <si>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</si>
  <si>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</si>
  <si>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</si>
  <si>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</si>
  <si>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</si>
  <si>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</si>
  <si>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</si>
  <si>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</si>
  <si>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</si>
  <si>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</si>
  <si>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</si>
  <si>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Bubble</t>
  </si>
  <si>
    <t>XScorpion</t>
  </si>
  <si>
    <t>Bubbleboots</t>
  </si>
  <si>
    <t>goatfishman</t>
  </si>
  <si>
    <t>Sandy</t>
  </si>
  <si>
    <t>Qazitory</t>
  </si>
  <si>
    <t>AstralEsper</t>
  </si>
  <si>
    <t>Primus_Ultimas</t>
  </si>
  <si>
    <t>Linguar82</t>
  </si>
  <si>
    <t>Booguwah61482</t>
  </si>
  <si>
    <t>HeadButt</t>
  </si>
  <si>
    <t>Thunder</t>
  </si>
  <si>
    <t>gameenjoyer</t>
  </si>
  <si>
    <t>Giant Glove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</si>
  <si>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</si>
  <si>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</si>
  <si>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</si>
  <si>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</si>
  <si>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</si>
  <si>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</si>
  <si>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</si>
  <si>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</si>
  <si>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Max</t>
  </si>
  <si>
    <t>RobertEBalmer</t>
  </si>
  <si>
    <t>Guy</t>
  </si>
  <si>
    <t>Obsidian</t>
  </si>
  <si>
    <t>Undine</t>
  </si>
  <si>
    <t>Dano</t>
  </si>
  <si>
    <t>des223</t>
  </si>
  <si>
    <t>Arithon</t>
  </si>
  <si>
    <t>shadow_master01</t>
  </si>
  <si>
    <t>Rocco</t>
  </si>
  <si>
    <t>Renquist</t>
  </si>
  <si>
    <t>Amo387</t>
  </si>
  <si>
    <t>Selene</t>
  </si>
  <si>
    <t>Jack</t>
  </si>
  <si>
    <t>Kojak</t>
  </si>
  <si>
    <t>toritoritori247</t>
  </si>
  <si>
    <t>Romulus</t>
  </si>
  <si>
    <t>BaconLicious</t>
  </si>
  <si>
    <t>Keelan</t>
  </si>
  <si>
    <t>Nielic</t>
  </si>
  <si>
    <t>cyric32</t>
  </si>
  <si>
    <t>Waylon</t>
  </si>
  <si>
    <t>Elquemanda4</t>
  </si>
  <si>
    <t>Kronoan</t>
  </si>
  <si>
    <t>Sorrell</t>
  </si>
  <si>
    <t>Ramza</t>
  </si>
  <si>
    <t>ZeroType-X</t>
  </si>
  <si>
    <t>Falx</t>
  </si>
  <si>
    <t>FalxXD</t>
  </si>
  <si>
    <t>Slade</t>
  </si>
  <si>
    <t>fsablazingsoul</t>
  </si>
  <si>
    <t>Protect Ring</t>
  </si>
  <si>
    <t>Ribbon</t>
  </si>
  <si>
    <t>Wizard Hat</t>
  </si>
  <si>
    <t>Force Armor</t>
  </si>
  <si>
    <t>Gold Bracelet</t>
  </si>
  <si>
    <t>Vitae Bracelet</t>
  </si>
  <si>
    <t>Ice Armor</t>
  </si>
  <si>
    <t>Flame Shield</t>
  </si>
  <si>
    <t>Gaia Gear</t>
  </si>
  <si>
    <t>Protect Cape</t>
  </si>
  <si>
    <t>Dragon Armor</t>
  </si>
  <si>
    <t>Army Helm</t>
  </si>
  <si>
    <t>Samurai Shield</t>
  </si>
  <si>
    <t>Gold Glove</t>
  </si>
  <si>
    <t>Genius Ring</t>
  </si>
  <si>
    <t>Flame Armor</t>
  </si>
  <si>
    <t>Laser Sword</t>
  </si>
  <si>
    <t>Opal Armor</t>
  </si>
  <si>
    <t>Ogre Axe</t>
  </si>
  <si>
    <t>Opal Bracelet</t>
  </si>
  <si>
    <t>Gold Helm</t>
  </si>
  <si>
    <t>Imp</t>
  </si>
  <si>
    <t>Karate</t>
  </si>
  <si>
    <t>Jyudo</t>
  </si>
  <si>
    <t>FlyingKick</t>
  </si>
  <si>
    <t>Laser Gun</t>
  </si>
  <si>
    <t>Mage Staff</t>
  </si>
  <si>
    <t>Vampic Sword</t>
  </si>
  <si>
    <t>Thunder Axe</t>
  </si>
  <si>
    <t>Ice Sword</t>
  </si>
  <si>
    <t>Lightning</t>
  </si>
  <si>
    <t>Flare</t>
  </si>
  <si>
    <t>Fire</t>
  </si>
  <si>
    <t>Sypha</t>
  </si>
  <si>
    <t>Tornado</t>
  </si>
  <si>
    <t>Riddle</t>
  </si>
  <si>
    <t>Gold Bow</t>
  </si>
  <si>
    <t>Cure</t>
  </si>
  <si>
    <t>Musket</t>
  </si>
  <si>
    <t>Coral Sword</t>
  </si>
  <si>
    <t>Prayer Book</t>
  </si>
  <si>
    <t>Cure Book</t>
  </si>
  <si>
    <t>Life</t>
  </si>
  <si>
    <t>Flame Sword</t>
  </si>
  <si>
    <t>Gas</t>
  </si>
  <si>
    <t>P-Blast</t>
  </si>
  <si>
    <t>Sleep</t>
  </si>
  <si>
    <t>PowerUp</t>
  </si>
  <si>
    <t>Firevolt</t>
  </si>
  <si>
    <t>Antipode</t>
  </si>
  <si>
    <t>Rune Axe</t>
  </si>
  <si>
    <t>Dispel</t>
  </si>
  <si>
    <t>Haste</t>
  </si>
  <si>
    <t>Explode</t>
  </si>
  <si>
    <t>EvilEye</t>
  </si>
  <si>
    <t>Heal Staff</t>
  </si>
  <si>
    <t>Honey</t>
  </si>
  <si>
    <t>Stun Gun</t>
  </si>
  <si>
    <t>Remedy</t>
  </si>
  <si>
    <t>Hi-Cure Potion</t>
  </si>
  <si>
    <t>Stone</t>
  </si>
  <si>
    <t>Environmental</t>
  </si>
  <si>
    <t>F-Blast</t>
  </si>
  <si>
    <t>Flash</t>
  </si>
  <si>
    <t>Silver Helm</t>
  </si>
  <si>
    <t>Bronze Glove</t>
  </si>
  <si>
    <t>Bronze Helm</t>
  </si>
  <si>
    <t>Ice Book</t>
  </si>
  <si>
    <t>Flame</t>
  </si>
  <si>
    <t>Ice Shield</t>
  </si>
  <si>
    <t>Bash</t>
  </si>
  <si>
    <t>AreaCure</t>
  </si>
  <si>
    <t>Fire Gun</t>
  </si>
  <si>
    <t>Defend Sword</t>
  </si>
  <si>
    <t>Blitz</t>
  </si>
  <si>
    <t>Stench</t>
  </si>
  <si>
    <t>Quake</t>
  </si>
  <si>
    <t>Slay</t>
  </si>
  <si>
    <t>Blizzard</t>
  </si>
  <si>
    <t>Grenade</t>
  </si>
  <si>
    <t>Dragon Shield</t>
  </si>
  <si>
    <t>Storm Shield</t>
  </si>
  <si>
    <t>BlackTortoise</t>
  </si>
  <si>
    <t>AzureDragon</t>
  </si>
  <si>
    <t>WhiteTiger</t>
  </si>
  <si>
    <t>VermilionBird</t>
  </si>
  <si>
    <t>CatClaw</t>
  </si>
  <si>
    <t>None</t>
  </si>
  <si>
    <t>All Enemies</t>
  </si>
  <si>
    <t>n</t>
  </si>
  <si>
    <t>Mana</t>
  </si>
  <si>
    <t>Agl</t>
  </si>
  <si>
    <t>y</t>
  </si>
  <si>
    <t>Mana, Mana</t>
  </si>
  <si>
    <t>Str, Str</t>
  </si>
  <si>
    <t>Agl, Agl</t>
  </si>
  <si>
    <t>Ogre Axe, Ogre Axe</t>
  </si>
  <si>
    <t>KingArmor</t>
  </si>
  <si>
    <t>KingShield</t>
  </si>
  <si>
    <t>KingSword</t>
  </si>
  <si>
    <t>Single</t>
  </si>
  <si>
    <t>Laser Sword, Laser Sword</t>
  </si>
  <si>
    <t>Knight</t>
  </si>
  <si>
    <t>Magician</t>
  </si>
  <si>
    <t>Firefield</t>
  </si>
  <si>
    <t>Gas, Tie Up, Tie Up</t>
  </si>
  <si>
    <t>Mana, Agl, Agl</t>
  </si>
  <si>
    <t>Thunder Axe, Thunder Axe, Haste</t>
  </si>
  <si>
    <t>Str, Str, Mana</t>
  </si>
  <si>
    <t>Antipode, Vampic Sword, Vampic Sword</t>
  </si>
  <si>
    <t>Mana, Mana, Mana</t>
  </si>
  <si>
    <t>Firevolt, Firevolt, Defend Sword</t>
  </si>
  <si>
    <t>Mana, Mana, Str</t>
  </si>
  <si>
    <t>Coral Sword, Coral Sword, P-Blast</t>
  </si>
  <si>
    <t>Storm Shield, AreaCure, Storm Shield</t>
  </si>
  <si>
    <t>Def, Mana, Def</t>
  </si>
  <si>
    <t>Group</t>
  </si>
  <si>
    <t>A Proper Thrashing, 2-Swords, Ice</t>
  </si>
  <si>
    <t>Flame Sword, Flame Sword, Gas</t>
  </si>
  <si>
    <t>Sleep Book</t>
  </si>
  <si>
    <t>Fire Book</t>
  </si>
  <si>
    <t>Defend Sword, Defend Sword, Cure</t>
  </si>
  <si>
    <t>Str</t>
  </si>
  <si>
    <t>Gold Bow, Cure, Life</t>
  </si>
  <si>
    <t>Agl, Mana, Mana</t>
  </si>
  <si>
    <t>Fire, Mage Staff, Flare</t>
  </si>
  <si>
    <t>Block</t>
  </si>
  <si>
    <t>SleepGas, Gas, TallTallScienceScience</t>
  </si>
  <si>
    <t>Mana, Mana, Def</t>
  </si>
  <si>
    <t>King Sword</t>
  </si>
  <si>
    <t>Shield Bash</t>
  </si>
  <si>
    <t>Rune Axe, Rune Axe, Rune Axe</t>
  </si>
  <si>
    <t>Str, Str, Str</t>
  </si>
  <si>
    <t>Flash, F-Blast, Tornado</t>
  </si>
  <si>
    <t>Musket, Musket, Cure Book</t>
  </si>
  <si>
    <t>Agl, Agl, Mana</t>
  </si>
  <si>
    <t>Gift of Peace</t>
  </si>
  <si>
    <t>Fire, Explode</t>
  </si>
  <si>
    <t>Sun Sword</t>
  </si>
  <si>
    <t>Ice Sword, Ice Sword, Ice Sword</t>
  </si>
  <si>
    <t>Counter</t>
  </si>
  <si>
    <t>Flame, Flame, Burning</t>
  </si>
  <si>
    <t>Karate, Karate, Karate</t>
  </si>
  <si>
    <t>Mix, Mix, Mix</t>
  </si>
  <si>
    <t>Gold Sword, Gold Sword, Sun Sword</t>
  </si>
  <si>
    <t>PowerUp, Ice Sword, Ice Sword</t>
  </si>
  <si>
    <t>Mana, Str, Str</t>
  </si>
  <si>
    <t>Stun Gun, Heal Staff, Honey</t>
  </si>
  <si>
    <t>Heat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</si>
</sst>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9" fillId="0" borderId="0"/>
  </cellStyleXfs>
  <cellXfs count="63">
    <xf numFmtId="0" fontId="0" fillId="0" borderId="0" xfId="0"/>
    <xf numFmtId="0" fontId="29" fillId="0" borderId="0" xfId="1"/>
    <xf numFmtId="0" fontId="19" fillId="0" borderId="0" xfId="1" applyFont="1"/>
    <xf numFmtId="0" fontId="29" fillId="2" borderId="0" xfId="1" applyFill="1"/>
    <xf numFmtId="0" fontId="15" fillId="0" borderId="0" xfId="1" applyFont="1"/>
    <xf numFmtId="0" fontId="13" fillId="0" borderId="0" xfId="1" applyFont="1"/>
    <xf numFmtId="0" fontId="29" fillId="0" borderId="1" xfId="1" applyBorder="1"/>
    <xf numFmtId="0" fontId="12" fillId="0" borderId="0" xfId="1" applyFont="1"/>
    <xf numFmtId="0" fontId="29" fillId="0" borderId="0" xfId="1" applyBorder="1"/>
    <xf numFmtId="0" fontId="29" fillId="2" borderId="5" xfId="1" applyFill="1" applyBorder="1"/>
    <xf numFmtId="0" fontId="29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1" fillId="0" borderId="0" xfId="1" applyFont="1"/>
    <xf numFmtId="0" fontId="9" fillId="0" borderId="0" xfId="1" applyFont="1" applyAlignment="1">
      <alignment horizontal="center"/>
    </xf>
    <xf numFmtId="0" fontId="7" fillId="0" borderId="0" xfId="1" applyFont="1"/>
    <xf numFmtId="0" fontId="6" fillId="0" borderId="0" xfId="1" applyFont="1"/>
    <xf numFmtId="0" fontId="7" fillId="0" borderId="0" xfId="1" applyFont="1" applyAlignment="1">
      <alignment horizontal="center"/>
    </xf>
    <xf numFmtId="0" fontId="0" fillId="3" borderId="0" xfId="0" applyFill="1"/>
    <xf numFmtId="0" fontId="5" fillId="0" borderId="0" xfId="1" applyFont="1"/>
    <xf numFmtId="0" fontId="5" fillId="0" borderId="0" xfId="1" applyFont="1" applyAlignment="1">
      <alignment horizontal="center"/>
    </xf>
    <xf numFmtId="0" fontId="4" fillId="0" borderId="0" xfId="1" applyFont="1"/>
    <xf numFmtId="0" fontId="0" fillId="4" borderId="0" xfId="0" applyFill="1"/>
    <xf numFmtId="0" fontId="29" fillId="0" borderId="0" xfId="1" applyAlignment="1">
      <alignment horizontal="center" textRotation="90"/>
    </xf>
    <xf numFmtId="0" fontId="29" fillId="0" borderId="2" xfId="1" applyBorder="1" applyAlignment="1">
      <alignment horizontal="center" textRotation="90" wrapText="1"/>
    </xf>
    <xf numFmtId="0" fontId="10" fillId="0" borderId="2" xfId="1" applyFont="1" applyBorder="1" applyAlignment="1">
      <alignment horizontal="center" textRotation="90" wrapText="1"/>
    </xf>
    <xf numFmtId="0" fontId="29" fillId="2" borderId="2" xfId="1" applyFill="1" applyBorder="1" applyAlignment="1">
      <alignment horizontal="center" textRotation="90" wrapText="1"/>
    </xf>
    <xf numFmtId="0" fontId="15" fillId="0" borderId="3" xfId="1" applyFont="1" applyBorder="1" applyAlignment="1">
      <alignment horizontal="center" textRotation="90" wrapText="1"/>
    </xf>
    <xf numFmtId="0" fontId="29" fillId="2" borderId="4" xfId="1" applyFill="1" applyBorder="1" applyAlignment="1">
      <alignment horizontal="center" textRotation="90" wrapText="1"/>
    </xf>
    <xf numFmtId="0" fontId="15" fillId="0" borderId="2" xfId="1" applyFont="1" applyBorder="1" applyAlignment="1">
      <alignment horizontal="center" textRotation="90" wrapText="1"/>
    </xf>
    <xf numFmtId="0" fontId="12" fillId="0" borderId="2" xfId="1" applyFont="1" applyBorder="1" applyAlignment="1">
      <alignment horizontal="center" textRotation="90" wrapText="1"/>
    </xf>
    <xf numFmtId="0" fontId="11" fillId="0" borderId="2" xfId="1" applyFont="1" applyBorder="1" applyAlignment="1">
      <alignment horizontal="center" textRotation="90" wrapText="1"/>
    </xf>
    <xf numFmtId="0" fontId="22" fillId="0" borderId="2" xfId="1" applyFont="1" applyBorder="1" applyAlignment="1">
      <alignment horizontal="center" textRotation="90" wrapText="1"/>
    </xf>
    <xf numFmtId="0" fontId="8" fillId="0" borderId="0" xfId="1" applyFont="1" applyAlignment="1">
      <alignment horizontal="center" textRotation="90" wrapText="1"/>
    </xf>
    <xf numFmtId="0" fontId="29" fillId="0" borderId="0" xfId="1" applyAlignment="1">
      <alignment horizontal="center" textRotation="90" wrapText="1"/>
    </xf>
    <xf numFmtId="0" fontId="29" fillId="5" borderId="3" xfId="1" applyFill="1" applyBorder="1" applyAlignment="1">
      <alignment horizontal="center" textRotation="90" wrapText="1"/>
    </xf>
    <xf numFmtId="0" fontId="29" fillId="5" borderId="1" xfId="1" applyFill="1" applyBorder="1"/>
    <xf numFmtId="0" fontId="7" fillId="5" borderId="1" xfId="1" applyFont="1" applyFill="1" applyBorder="1"/>
    <xf numFmtId="0" fontId="4" fillId="5" borderId="1" xfId="1" applyFont="1" applyFill="1" applyBorder="1"/>
    <xf numFmtId="0" fontId="5" fillId="5" borderId="1" xfId="1" applyFont="1" applyFill="1" applyBorder="1"/>
    <xf numFmtId="0" fontId="15" fillId="5" borderId="3" xfId="1" applyFont="1" applyFill="1" applyBorder="1" applyAlignment="1">
      <alignment horizontal="center" textRotation="90" wrapText="1"/>
    </xf>
    <xf numFmtId="0" fontId="15" fillId="5" borderId="1" xfId="1" applyFont="1" applyFill="1" applyBorder="1"/>
    <xf numFmtId="0" fontId="10" fillId="0" borderId="4" xfId="1" applyFont="1" applyBorder="1" applyAlignment="1">
      <alignment horizontal="center" textRotation="90" wrapText="1"/>
    </xf>
    <xf numFmtId="0" fontId="29" fillId="0" borderId="5" xfId="1" applyBorder="1" applyAlignment="1">
      <alignment horizontal="center"/>
    </xf>
    <xf numFmtId="0" fontId="3" fillId="0" borderId="0" xfId="1" applyFont="1"/>
    <xf numFmtId="0" fontId="3" fillId="0" borderId="0" xfId="1" applyFont="1" applyFill="1"/>
    <xf numFmtId="0" fontId="3" fillId="5" borderId="3" xfId="1" applyFont="1" applyFill="1" applyBorder="1" applyAlignment="1">
      <alignment horizontal="center" textRotation="90" wrapText="1"/>
    </xf>
    <xf numFmtId="0" fontId="3" fillId="0" borderId="2" xfId="1" applyFont="1" applyBorder="1" applyAlignment="1">
      <alignment horizontal="center" textRotation="90" wrapText="1"/>
    </xf>
    <xf numFmtId="0" fontId="3" fillId="5" borderId="1" xfId="1" applyFont="1" applyFill="1" applyBorder="1"/>
    <xf numFmtId="0" fontId="2" fillId="5" borderId="1" xfId="1" applyFont="1" applyFill="1" applyBorder="1"/>
    <xf numFmtId="0" fontId="1" fillId="5" borderId="1" xfId="1" applyFont="1" applyFill="1" applyBorder="1"/>
  </cellXfs>
  <cellStyles count="2">
    <cellStyle name="Normal" xfId="0" builtinId="0"/>
    <cellStyle name="Normal 2" xfId="1" xr:uid="{00000000-0005-0000-0000-000001000000}"/>
  </cellStyles>
  <dxfs count="9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25</xdr:row>
          <xdr:rowOff>66675</xdr:rowOff>
        </xdr:from>
        <xdr:to>
          <xdr:col>3</xdr:col>
          <xdr:colOff>295275</xdr:colOff>
          <xdr:row>26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Hi-Cure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Axe</v>
          </cell>
          <cell r="S195" t="str">
            <v>Flame Shield</v>
          </cell>
          <cell r="T195" t="str">
            <v>Ice Shield</v>
          </cell>
          <cell r="U195" t="str">
            <v>Hi-Cure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Hi-Cure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>
            <v>0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 xml:space="preserve">Parasuit </v>
          </cell>
          <cell r="B75" t="str">
            <v xml:space="preserve">Parasuit 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MadSong</v>
          </cell>
          <cell r="B226" t="str">
            <v>MadSong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  <cell r="G258">
            <v>-2</v>
          </cell>
        </row>
        <row r="259">
          <cell r="A259" t="str">
            <v>Tremor</v>
          </cell>
          <cell r="B259" t="str">
            <v>Tremor</v>
          </cell>
          <cell r="G259">
            <v>-2</v>
          </cell>
          <cell r="L259">
            <v>0</v>
          </cell>
        </row>
        <row r="260">
          <cell r="A260" t="str">
            <v>kW B-Exp</v>
          </cell>
          <cell r="B260" t="str">
            <v>kW B-Exp</v>
          </cell>
          <cell r="G260">
            <v>-2</v>
          </cell>
          <cell r="L260">
            <v>18</v>
          </cell>
        </row>
        <row r="261">
          <cell r="A261" t="str">
            <v>Mini Tank</v>
          </cell>
          <cell r="B261" t="str">
            <v>Mini Tank</v>
          </cell>
          <cell r="C261" t="str">
            <v>Mini Tank</v>
          </cell>
          <cell r="D261" t="str">
            <v>Cannon</v>
          </cell>
          <cell r="G261">
            <v>20</v>
          </cell>
          <cell r="L261">
            <v>45</v>
          </cell>
        </row>
        <row r="262">
          <cell r="A262" t="str">
            <v>Spark Book</v>
          </cell>
          <cell r="B262" t="str">
            <v>Spark Book</v>
          </cell>
          <cell r="C262" t="str">
            <v>Spark</v>
          </cell>
          <cell r="D262" t="str">
            <v>Book</v>
          </cell>
          <cell r="G262">
            <v>30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Green Belt</v>
          </cell>
          <cell r="B266" t="str">
            <v>Green Belt</v>
          </cell>
          <cell r="C266" t="str">
            <v>Green</v>
          </cell>
          <cell r="D266" t="str">
            <v>Belt</v>
          </cell>
          <cell r="G266">
            <v>-2</v>
          </cell>
          <cell r="I266">
            <v>3</v>
          </cell>
          <cell r="J266" t="str">
            <v>Str, Agl, Mana</v>
          </cell>
          <cell r="K266">
            <v>3</v>
          </cell>
        </row>
        <row r="267">
          <cell r="A267" t="str">
            <v>Force Armor</v>
          </cell>
          <cell r="B267" t="str">
            <v>Force Armor</v>
          </cell>
          <cell r="C267" t="str">
            <v>Force</v>
          </cell>
          <cell r="D267" t="str">
            <v>Armor</v>
          </cell>
          <cell r="G267">
            <v>-2</v>
          </cell>
          <cell r="I267">
            <v>16</v>
          </cell>
        </row>
        <row r="268">
          <cell r="A268" t="str">
            <v>Gold Bracelet</v>
          </cell>
          <cell r="B268" t="str">
            <v>Gold Bracelet</v>
          </cell>
          <cell r="C268" t="str">
            <v>Gold</v>
          </cell>
          <cell r="D268" t="str">
            <v>Bracelet</v>
          </cell>
          <cell r="G268">
            <v>-2</v>
          </cell>
          <cell r="I268">
            <v>16</v>
          </cell>
        </row>
        <row r="269">
          <cell r="A269" t="str">
            <v>O-Stun</v>
          </cell>
          <cell r="B269" t="str">
            <v>O-Stun</v>
          </cell>
          <cell r="C269" t="str">
            <v>Stun</v>
          </cell>
          <cell r="D269" t="str">
            <v>O</v>
          </cell>
          <cell r="G269">
            <v>-2</v>
          </cell>
        </row>
        <row r="270">
          <cell r="A270" t="str">
            <v>Protect Ring</v>
          </cell>
          <cell r="B270" t="str">
            <v>Protect Ring</v>
          </cell>
          <cell r="C270" t="str">
            <v>Protect</v>
          </cell>
          <cell r="D270" t="str">
            <v>Ring</v>
          </cell>
          <cell r="G270">
            <v>-2</v>
          </cell>
          <cell r="I270">
            <v>4</v>
          </cell>
        </row>
        <row r="271">
          <cell r="A271" t="str">
            <v>Ribbon</v>
          </cell>
          <cell r="B271" t="str">
            <v>Ribbon</v>
          </cell>
          <cell r="C271" t="str">
            <v>Ribbon</v>
          </cell>
          <cell r="G271">
            <v>-2</v>
          </cell>
          <cell r="I271">
            <v>1</v>
          </cell>
        </row>
        <row r="272">
          <cell r="A272" t="str">
            <v>Wizard Hat</v>
          </cell>
          <cell r="B272" t="str">
            <v>Wizard Hat</v>
          </cell>
          <cell r="C272" t="str">
            <v>Wizard</v>
          </cell>
          <cell r="D272" t="str">
            <v>Hat</v>
          </cell>
          <cell r="G272">
            <v>-2</v>
          </cell>
          <cell r="I272">
            <v>3</v>
          </cell>
          <cell r="J272" t="str">
            <v>Mana</v>
          </cell>
          <cell r="K272">
            <v>5</v>
          </cell>
        </row>
        <row r="273">
          <cell r="A273" t="str">
            <v>Vitae Bracelet</v>
          </cell>
          <cell r="B273" t="str">
            <v>Vitae Bracelet</v>
          </cell>
          <cell r="C273" t="str">
            <v>Vitae</v>
          </cell>
          <cell r="D273" t="str">
            <v>Bracelet</v>
          </cell>
          <cell r="G273">
            <v>-2</v>
          </cell>
          <cell r="I273">
            <v>24</v>
          </cell>
        </row>
        <row r="274">
          <cell r="A274" t="str">
            <v>Ice Armor</v>
          </cell>
          <cell r="B274" t="str">
            <v>Ice Armor</v>
          </cell>
          <cell r="C274" t="str">
            <v>Ice</v>
          </cell>
          <cell r="D274" t="str">
            <v>Armor</v>
          </cell>
          <cell r="G274">
            <v>-2</v>
          </cell>
          <cell r="I274">
            <v>20</v>
          </cell>
        </row>
        <row r="275">
          <cell r="A275" t="str">
            <v>Gaia Gear</v>
          </cell>
          <cell r="B275" t="str">
            <v>Gaia Gear</v>
          </cell>
          <cell r="C275" t="str">
            <v>Gaia</v>
          </cell>
          <cell r="D275" t="str">
            <v>Gear</v>
          </cell>
          <cell r="G275">
            <v>-2</v>
          </cell>
          <cell r="I275">
            <v>16</v>
          </cell>
        </row>
        <row r="276">
          <cell r="A276" t="str">
            <v>Protect Cape</v>
          </cell>
          <cell r="B276" t="str">
            <v>Protect Cape</v>
          </cell>
          <cell r="C276" t="str">
            <v>Protect</v>
          </cell>
          <cell r="D276" t="str">
            <v>Cape</v>
          </cell>
          <cell r="G276">
            <v>-2</v>
          </cell>
          <cell r="I276">
            <v>4</v>
          </cell>
        </row>
        <row r="277">
          <cell r="A277" t="str">
            <v>Genius Ring</v>
          </cell>
          <cell r="B277" t="str">
            <v>Genius Ring</v>
          </cell>
          <cell r="C277" t="str">
            <v>Genius</v>
          </cell>
          <cell r="D277" t="str">
            <v>Ring</v>
          </cell>
          <cell r="G277">
            <v>-2</v>
          </cell>
          <cell r="I277">
            <v>2</v>
          </cell>
          <cell r="J277" t="str">
            <v>Mana</v>
          </cell>
          <cell r="K277">
            <v>5</v>
          </cell>
        </row>
        <row r="278">
          <cell r="A278" t="str">
            <v>Flame Armor</v>
          </cell>
          <cell r="B278" t="str">
            <v>Flame Armor</v>
          </cell>
          <cell r="C278" t="str">
            <v>Flame</v>
          </cell>
          <cell r="D278" t="str">
            <v>Armor</v>
          </cell>
          <cell r="E278">
            <v>-2</v>
          </cell>
          <cell r="G278">
            <v>-2</v>
          </cell>
          <cell r="I278">
            <v>20</v>
          </cell>
        </row>
        <row r="279">
          <cell r="A279" t="str">
            <v>Opal Armor</v>
          </cell>
          <cell r="B279" t="str">
            <v>Opal Armor</v>
          </cell>
          <cell r="C279" t="str">
            <v>Opal</v>
          </cell>
          <cell r="D279" t="str">
            <v>Armor</v>
          </cell>
          <cell r="G279">
            <v>-2</v>
          </cell>
          <cell r="I279">
            <v>26</v>
          </cell>
        </row>
        <row r="280">
          <cell r="A280" t="str">
            <v>Opal Bracelet</v>
          </cell>
          <cell r="B280" t="str">
            <v>Opal Bracelet</v>
          </cell>
          <cell r="C280" t="str">
            <v>Opal</v>
          </cell>
          <cell r="D280" t="str">
            <v>Bracelet</v>
          </cell>
          <cell r="G280">
            <v>-2</v>
          </cell>
          <cell r="I280">
            <v>24</v>
          </cell>
        </row>
        <row r="281">
          <cell r="A281" t="str">
            <v>Firevolt</v>
          </cell>
          <cell r="B281" t="str">
            <v>Firevolt</v>
          </cell>
          <cell r="G281">
            <v>15</v>
          </cell>
        </row>
        <row r="282">
          <cell r="A282" t="str">
            <v>Antipode</v>
          </cell>
          <cell r="B282" t="str">
            <v>Antipode</v>
          </cell>
          <cell r="G282">
            <v>15</v>
          </cell>
        </row>
        <row r="283">
          <cell r="A283" t="str">
            <v>O-Thunder</v>
          </cell>
          <cell r="B283" t="str">
            <v>O-Thunder</v>
          </cell>
          <cell r="C283" t="str">
            <v>Thunder</v>
          </cell>
          <cell r="D283" t="str">
            <v>O</v>
          </cell>
          <cell r="G283">
            <v>-2</v>
          </cell>
        </row>
        <row r="284">
          <cell r="A284" t="str">
            <v>F-Blast</v>
          </cell>
          <cell r="B284" t="str">
            <v>F-Blast</v>
          </cell>
          <cell r="G284">
            <v>3</v>
          </cell>
        </row>
        <row r="285">
          <cell r="A285" t="str">
            <v>AreaCure</v>
          </cell>
          <cell r="B285" t="str">
            <v>AreaCure</v>
          </cell>
          <cell r="G285">
            <v>10</v>
          </cell>
        </row>
        <row r="286">
          <cell r="A286" t="str">
            <v>Storm Shield</v>
          </cell>
          <cell r="B286" t="str">
            <v>Storm Shield</v>
          </cell>
          <cell r="C286" t="str">
            <v>Storm</v>
          </cell>
          <cell r="D286" t="str">
            <v>Shield</v>
          </cell>
          <cell r="G286">
            <v>30</v>
          </cell>
          <cell r="L286">
            <v>81</v>
          </cell>
        </row>
        <row r="287">
          <cell r="A287" t="str">
            <v>Bite</v>
          </cell>
          <cell r="B287" t="str">
            <v>Bite</v>
          </cell>
          <cell r="C287" t="str">
            <v>Bite</v>
          </cell>
          <cell r="E287">
            <v>129</v>
          </cell>
          <cell r="F287">
            <v>81</v>
          </cell>
          <cell r="G287">
            <v>15</v>
          </cell>
          <cell r="L287">
            <v>9</v>
          </cell>
          <cell r="M287">
            <v>0</v>
          </cell>
        </row>
        <row r="288">
          <cell r="A288" t="str">
            <v>Crush</v>
          </cell>
          <cell r="B288" t="str">
            <v>Crush</v>
          </cell>
          <cell r="C288" t="str">
            <v>Crush</v>
          </cell>
          <cell r="G288">
            <v>5</v>
          </cell>
        </row>
        <row r="289">
          <cell r="A289" t="str">
            <v>A Proper Thrashing</v>
          </cell>
          <cell r="B289" t="str">
            <v>A Proper Thrashing</v>
          </cell>
          <cell r="G289">
            <v>5</v>
          </cell>
        </row>
        <row r="290">
          <cell r="A290" t="str">
            <v>TallTallScienceScience</v>
          </cell>
          <cell r="B290" t="str">
            <v>TallTallScienceScience</v>
          </cell>
          <cell r="C290" t="str">
            <v>GodShell</v>
          </cell>
          <cell r="G290">
            <v>10</v>
          </cell>
        </row>
        <row r="291">
          <cell r="A291" t="str">
            <v>King Sword</v>
          </cell>
          <cell r="B291" t="str">
            <v>King Sword</v>
          </cell>
          <cell r="C291" t="str">
            <v>King</v>
          </cell>
          <cell r="D291" t="str">
            <v>Sword</v>
          </cell>
          <cell r="G291">
            <v>99</v>
          </cell>
        </row>
        <row r="292">
          <cell r="A292" t="str">
            <v>Shield Bash</v>
          </cell>
          <cell r="B292" t="str">
            <v>Shield Bash</v>
          </cell>
          <cell r="C292" t="str">
            <v>Bash</v>
          </cell>
          <cell r="D292" t="str">
            <v>Shield</v>
          </cell>
          <cell r="G292">
            <v>99</v>
          </cell>
        </row>
        <row r="293">
          <cell r="A293" t="str">
            <v>Gift of Peace</v>
          </cell>
          <cell r="B293" t="str">
            <v>Gift of Peace</v>
          </cell>
          <cell r="C293" t="str">
            <v>Gift of Peace</v>
          </cell>
          <cell r="G293">
            <v>5</v>
          </cell>
        </row>
        <row r="294">
          <cell r="A294" t="str">
            <v>Heatwave</v>
          </cell>
          <cell r="B294" t="str">
            <v>Heatwave</v>
          </cell>
          <cell r="G294">
            <v>99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2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16" sqref="Q16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0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3" bestFit="1" customWidth="1"/>
    <col min="8" max="8" width="3.7109375" style="6" bestFit="1" customWidth="1"/>
    <col min="9" max="9" width="3.7109375" style="9" bestFit="1" customWidth="1"/>
    <col min="10" max="10" width="3.7109375" style="1" bestFit="1" customWidth="1"/>
    <col min="11" max="11" width="3.7109375" style="3" customWidth="1"/>
    <col min="12" max="12" width="3.7109375" style="6" bestFit="1" customWidth="1"/>
    <col min="13" max="13" width="3.7109375" style="9" bestFit="1" customWidth="1"/>
    <col min="14" max="14" width="3.7109375" style="1" bestFit="1" customWidth="1"/>
    <col min="15" max="15" width="3.7109375" style="3" bestFit="1" customWidth="1"/>
    <col min="16" max="16" width="14.85546875" style="48" bestFit="1" customWidth="1"/>
    <col min="17" max="18" width="3.7109375" style="10" bestFit="1" customWidth="1"/>
    <col min="19" max="19" width="14.85546875" style="48" bestFit="1" customWidth="1"/>
    <col min="20" max="21" width="3.7109375" style="10" bestFit="1" customWidth="1"/>
    <col min="22" max="22" width="13.7109375" style="48" bestFit="1" customWidth="1"/>
    <col min="23" max="24" width="3.7109375" style="10" bestFit="1" customWidth="1"/>
    <col min="25" max="25" width="14.140625" style="48" bestFit="1" customWidth="1"/>
    <col min="26" max="27" width="3.7109375" style="10" bestFit="1" customWidth="1"/>
    <col min="28" max="28" width="13.42578125" style="48" bestFit="1" customWidth="1"/>
    <col min="29" max="30" width="3.7109375" style="10" bestFit="1" customWidth="1"/>
    <col min="31" max="31" width="13.28515625" style="48" bestFit="1" customWidth="1"/>
    <col min="32" max="33" width="3.7109375" style="10" bestFit="1" customWidth="1"/>
    <col min="34" max="34" width="13.28515625" style="48" bestFit="1" customWidth="1"/>
    <col min="35" max="36" width="3.7109375" style="10" bestFit="1" customWidth="1"/>
    <col min="37" max="37" width="11.28515625" style="48" bestFit="1" customWidth="1"/>
    <col min="38" max="39" width="3.7109375" style="10" bestFit="1" customWidth="1"/>
    <col min="40" max="40" width="9.140625" style="48" bestFit="1" customWidth="1"/>
    <col min="41" max="41" width="3.7109375" style="10" bestFit="1" customWidth="1"/>
    <col min="42" max="42" width="6.5703125" style="55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46" customFormat="1" ht="75.75" customHeight="1" x14ac:dyDescent="0.2">
      <c r="A1" s="35" t="s">
        <v>19</v>
      </c>
      <c r="B1" s="36" t="s">
        <v>41</v>
      </c>
      <c r="C1" s="37" t="s">
        <v>72</v>
      </c>
      <c r="D1" s="36" t="s">
        <v>40</v>
      </c>
      <c r="E1" s="36" t="s">
        <v>39</v>
      </c>
      <c r="F1" s="37" t="s">
        <v>70</v>
      </c>
      <c r="G1" s="38" t="s">
        <v>38</v>
      </c>
      <c r="H1" s="39" t="s">
        <v>45</v>
      </c>
      <c r="I1" s="40" t="s">
        <v>37</v>
      </c>
      <c r="J1" s="41" t="s">
        <v>46</v>
      </c>
      <c r="K1" s="38" t="s">
        <v>36</v>
      </c>
      <c r="L1" s="39" t="s">
        <v>47</v>
      </c>
      <c r="M1" s="40" t="s">
        <v>35</v>
      </c>
      <c r="N1" s="41" t="s">
        <v>48</v>
      </c>
      <c r="O1" s="38" t="s">
        <v>34</v>
      </c>
      <c r="P1" s="47" t="s">
        <v>33</v>
      </c>
      <c r="Q1" s="42" t="s">
        <v>51</v>
      </c>
      <c r="R1" s="43" t="s">
        <v>62</v>
      </c>
      <c r="S1" s="47" t="s">
        <v>32</v>
      </c>
      <c r="T1" s="42" t="s">
        <v>53</v>
      </c>
      <c r="U1" s="43" t="s">
        <v>63</v>
      </c>
      <c r="V1" s="47" t="s">
        <v>31</v>
      </c>
      <c r="W1" s="42" t="s">
        <v>54</v>
      </c>
      <c r="X1" s="43" t="s">
        <v>64</v>
      </c>
      <c r="Y1" s="47" t="s">
        <v>30</v>
      </c>
      <c r="Z1" s="42" t="s">
        <v>55</v>
      </c>
      <c r="AA1" s="43" t="s">
        <v>65</v>
      </c>
      <c r="AB1" s="58" t="s">
        <v>29</v>
      </c>
      <c r="AC1" s="59" t="s">
        <v>56</v>
      </c>
      <c r="AD1" s="43" t="s">
        <v>66</v>
      </c>
      <c r="AE1" s="47" t="s">
        <v>28</v>
      </c>
      <c r="AF1" s="42" t="s">
        <v>57</v>
      </c>
      <c r="AG1" s="43" t="s">
        <v>67</v>
      </c>
      <c r="AH1" s="47" t="s">
        <v>27</v>
      </c>
      <c r="AI1" s="42" t="s">
        <v>58</v>
      </c>
      <c r="AJ1" s="43" t="s">
        <v>68</v>
      </c>
      <c r="AK1" s="47" t="s">
        <v>26</v>
      </c>
      <c r="AL1" s="42" t="s">
        <v>59</v>
      </c>
      <c r="AM1" s="43" t="s">
        <v>69</v>
      </c>
      <c r="AN1" s="52" t="s">
        <v>49</v>
      </c>
      <c r="AO1" s="42" t="s">
        <v>52</v>
      </c>
      <c r="AP1" s="54" t="s">
        <v>71</v>
      </c>
      <c r="AQ1" s="41" t="s">
        <v>50</v>
      </c>
      <c r="AR1" s="44" t="s">
        <v>44</v>
      </c>
      <c r="AS1" s="45" t="s">
        <v>73</v>
      </c>
      <c r="AT1" s="45" t="s">
        <v>74</v>
      </c>
    </row>
    <row r="2" spans="1:46" x14ac:dyDescent="0.25">
      <c r="A2" s="1" t="str">
        <f t="shared" ref="A2:A24" si="0">B2</f>
        <v>Max</v>
      </c>
      <c r="B2" s="57" t="s">
        <v>99</v>
      </c>
      <c r="C2" s="26"/>
      <c r="D2" s="57" t="s">
        <v>100</v>
      </c>
      <c r="E2" s="28" t="s">
        <v>61</v>
      </c>
      <c r="F2" s="25">
        <v>384</v>
      </c>
      <c r="G2" s="3">
        <v>384</v>
      </c>
      <c r="H2" s="6">
        <v>27</v>
      </c>
      <c r="I2" s="9">
        <f>H2</f>
        <v>27</v>
      </c>
      <c r="J2" s="8"/>
      <c r="K2" s="3">
        <f>J2+_xlfn.IFNA(VLOOKUP($P2,[1]Weapon!$A$1:$M$300,9,FALSE),0)+_xlfn.IFNA(VLOOKUP($S2,[1]Weapon!$A$1:$M$300,9,FALSE),0)+_xlfn.IFNA(VLOOKUP($V2,[1]Weapon!$A$1:$M$300,9,FALSE),0)+_xlfn.IFNA(VLOOKUP($Y2,[1]Weapon!$A$1:$M$300,9,FALSE),0)+_xlfn.IFNA(VLOOKUP($AB2,[1]Weapon!$A$1:$M$300,9,FALSE),0)+_xlfn.IFNA(VLOOKUP($AE2,[1]Weapon!$A$1:$M$300,9,FALSE),0)+_xlfn.IFNA(VLOOKUP($AH2,[1]Weapon!$A$1:$M$300,9,FALSE),0)+_xlfn.IFNA(VLOOKUP($AK2,[1]Weapon!$A$1:$M$300,9,FALSE),0)</f>
        <v>22</v>
      </c>
      <c r="L2" s="6">
        <v>19</v>
      </c>
      <c r="M2" s="9">
        <f>L2</f>
        <v>19</v>
      </c>
      <c r="N2" s="8">
        <v>55</v>
      </c>
      <c r="O2" s="3">
        <f>N2</f>
        <v>55</v>
      </c>
      <c r="P2" s="60" t="s">
        <v>165</v>
      </c>
      <c r="Q2" s="10">
        <v>5</v>
      </c>
      <c r="R2" s="10">
        <f>_xlfn.IFNA(IF($E2="Robot",VLOOKUP(P2,[1]Weapon!$B$1:$G$299,6,FALSE)/2,VLOOKUP(P2,[1]Weapon!$B$1:$G$299,6,FALSE)),0)</f>
        <v>5</v>
      </c>
      <c r="S2" s="60" t="s">
        <v>166</v>
      </c>
      <c r="T2" s="10">
        <v>50</v>
      </c>
      <c r="U2" s="10">
        <f>_xlfn.IFNA(IF($E2="Robot",VLOOKUP(S2,[1]Weapon!$B$1:$G$299,6,FALSE)/2,VLOOKUP(S2,[1]Weapon!$B$1:$G$299,6,FALSE)),0)</f>
        <v>50</v>
      </c>
      <c r="V2" s="60" t="s">
        <v>167</v>
      </c>
      <c r="W2" s="10">
        <v>15</v>
      </c>
      <c r="X2" s="10">
        <f>_xlfn.IFNA(IF($E2="Robot",VLOOKUP(V2,[1]Weapon!$B$1:$G$299,6,FALSE)/2,VLOOKUP(V2,[1]Weapon!$B$1:$G$299,6,FALSE)),0)</f>
        <v>15</v>
      </c>
      <c r="Y2" s="61" t="s">
        <v>172</v>
      </c>
      <c r="Z2" s="20">
        <v>1</v>
      </c>
      <c r="AA2" s="10">
        <f>_xlfn.IFNA(IF($E2="Robot",VLOOKUP(Y2,[1]Weapon!$B$1:$G$299,6,FALSE)/2,VLOOKUP(Y2,[1]Weapon!$B$1:$G$299,6,FALSE)),0)</f>
        <v>3</v>
      </c>
      <c r="AB2" s="60" t="s">
        <v>134</v>
      </c>
      <c r="AD2" s="10">
        <f>_xlfn.IFNA(IF($E2="Robot",VLOOKUP(AB2,[1]Weapon!$B$1:$G$299,6,FALSE)/2,VLOOKUP(AB2,[1]Weapon!$B$1:$G$299,6,FALSE)),0)</f>
        <v>-2</v>
      </c>
      <c r="AE2" s="60" t="s">
        <v>130</v>
      </c>
      <c r="AG2" s="10">
        <f>_xlfn.IFNA(IF($E2="Robot",VLOOKUP(AE2,[1]Weapon!$B$1:$G$299,6,FALSE)/2,VLOOKUP(AE2,[1]Weapon!$B$1:$G$299,6,FALSE)),0)</f>
        <v>-2</v>
      </c>
      <c r="AH2" s="61" t="s">
        <v>196</v>
      </c>
      <c r="AJ2" s="10">
        <f>_xlfn.IFNA(IF($E2="Robot",VLOOKUP(AH2,[1]Weapon!$B$1:$G$299,6,FALSE)/2,VLOOKUP(AH2,[1]Weapon!$B$1:$G$299,6,FALSE)),0)</f>
        <v>-2</v>
      </c>
      <c r="AM2" s="10">
        <f>_xlfn.IFNA(IF($E2="Robot",VLOOKUP(AK2,[1]Weapon!$B$1:$G$299,6,FALSE)/2,VLOOKUP(AK2,[1]Weapon!$B$1:$G$299,6,FALSE)),0)</f>
        <v>0</v>
      </c>
      <c r="AO2" s="10">
        <v>0</v>
      </c>
      <c r="AP2" s="55">
        <f>_xlfn.IFNA(IF($E2="Robot",VLOOKUP(AN2,[1]Weapon!$B$1:$G$299,6,FALSE)/2,VLOOKUP(AN2,[1]Weapon!$B$1:$G$299,6,FALSE)),0)</f>
        <v>0</v>
      </c>
      <c r="AQ2" s="4"/>
      <c r="AR2" s="4"/>
      <c r="AS2" s="1">
        <v>0</v>
      </c>
    </row>
    <row r="3" spans="1:46" x14ac:dyDescent="0.25">
      <c r="A3" s="1" t="str">
        <f t="shared" si="0"/>
        <v>Guy</v>
      </c>
      <c r="B3" s="57" t="s">
        <v>101</v>
      </c>
      <c r="C3" s="26"/>
      <c r="D3" s="57" t="s">
        <v>80</v>
      </c>
      <c r="E3" s="28" t="s">
        <v>61</v>
      </c>
      <c r="F3" s="31">
        <v>492</v>
      </c>
      <c r="G3" s="3">
        <v>492</v>
      </c>
      <c r="H3" s="6">
        <v>30</v>
      </c>
      <c r="I3" s="9">
        <f t="shared" ref="I3:I23" si="1">H3</f>
        <v>30</v>
      </c>
      <c r="J3" s="8"/>
      <c r="K3" s="3">
        <f>J3+_xlfn.IFNA(VLOOKUP($P3,[1]Weapon!$A$1:$M$300,9,FALSE),0)+_xlfn.IFNA(VLOOKUP($S3,[1]Weapon!$A$1:$M$300,9,FALSE),0)+_xlfn.IFNA(VLOOKUP($V3,[1]Weapon!$A$1:$M$300,9,FALSE),0)+_xlfn.IFNA(VLOOKUP($Y3,[1]Weapon!$A$1:$M$300,9,FALSE),0)+_xlfn.IFNA(VLOOKUP($AB3,[1]Weapon!$A$1:$M$300,9,FALSE),0)+_xlfn.IFNA(VLOOKUP($AE3,[1]Weapon!$A$1:$M$300,9,FALSE),0)+_xlfn.IFNA(VLOOKUP($AH3,[1]Weapon!$A$1:$M$300,9,FALSE),0)+_xlfn.IFNA(VLOOKUP($AK3,[1]Weapon!$A$1:$M$300,9,FALSE),0)</f>
        <v>21</v>
      </c>
      <c r="L3" s="6">
        <v>34</v>
      </c>
      <c r="M3" s="9">
        <f>L3</f>
        <v>34</v>
      </c>
      <c r="N3" s="8">
        <v>42</v>
      </c>
      <c r="O3" s="3">
        <f t="shared" ref="O3:O23" si="2">N3</f>
        <v>42</v>
      </c>
      <c r="P3" s="60" t="s">
        <v>168</v>
      </c>
      <c r="Q3" s="10">
        <v>50</v>
      </c>
      <c r="R3" s="10">
        <f>_xlfn.IFNA(IF($E3="Robot",VLOOKUP(P3,[1]Weapon!$B$1:$G$299,6,FALSE)/2,VLOOKUP(P3,[1]Weapon!$B$1:$G$299,6,FALSE)),0)</f>
        <v>50</v>
      </c>
      <c r="S3" s="60" t="s">
        <v>170</v>
      </c>
      <c r="T3" s="10">
        <v>30</v>
      </c>
      <c r="U3" s="10">
        <f>_xlfn.IFNA(IF($E3="Robot",VLOOKUP(S3,[1]Weapon!$B$1:$G$299,6,FALSE)/2,VLOOKUP(S3,[1]Weapon!$B$1:$G$299,6,FALSE)),0)</f>
        <v>30</v>
      </c>
      <c r="V3" s="60" t="s">
        <v>171</v>
      </c>
      <c r="W3" s="32">
        <v>30</v>
      </c>
      <c r="X3" s="10">
        <f>_xlfn.IFNA(IF($E3="Robot",VLOOKUP(V3,[1]Weapon!$B$1:$G$299,6,FALSE)/2,VLOOKUP(V3,[1]Weapon!$B$1:$G$299,6,FALSE)),0)</f>
        <v>30</v>
      </c>
      <c r="Y3" s="60" t="s">
        <v>172</v>
      </c>
      <c r="Z3" s="10">
        <v>1</v>
      </c>
      <c r="AA3" s="10">
        <f>_xlfn.IFNA(IF($E3="Robot",VLOOKUP(Y3,[1]Weapon!$B$1:$G$299,6,FALSE)/2,VLOOKUP(Y3,[1]Weapon!$B$1:$G$299,6,FALSE)),0)</f>
        <v>3</v>
      </c>
      <c r="AB3" s="60" t="s">
        <v>134</v>
      </c>
      <c r="AD3" s="10">
        <f>_xlfn.IFNA(IF($E3="Robot",VLOOKUP(AB3,[1]Weapon!$B$1:$G$299,6,FALSE)/2,VLOOKUP(AB3,[1]Weapon!$B$1:$G$299,6,FALSE)),0)</f>
        <v>-2</v>
      </c>
      <c r="AE3" s="60" t="s">
        <v>130</v>
      </c>
      <c r="AG3" s="10">
        <f>_xlfn.IFNA(IF($E3="Robot",VLOOKUP(AE3,[1]Weapon!$B$1:$G$299,6,FALSE)/2,VLOOKUP(AE3,[1]Weapon!$B$1:$G$299,6,FALSE)),0)</f>
        <v>-2</v>
      </c>
      <c r="AH3" s="60" t="s">
        <v>131</v>
      </c>
      <c r="AJ3" s="10">
        <f>_xlfn.IFNA(IF($E3="Robot",VLOOKUP(AH3,[1]Weapon!$B$1:$G$299,6,FALSE)/2,VLOOKUP(AH3,[1]Weapon!$B$1:$G$299,6,FALSE)),0)</f>
        <v>-2</v>
      </c>
      <c r="AK3" s="48" t="str">
        <f>IF(ISBLANK(VLOOKUP($E3,[1]Monster!$A$2:$X$257,23,FALSE)),"",VLOOKUP($E3,[1]Monster!$A$2:$X$257,23,FALSE))</f>
        <v/>
      </c>
      <c r="AM3" s="10">
        <f>_xlfn.IFNA(IF($E3="Robot",VLOOKUP(AK3,[1]Weapon!$B$1:$G$299,6,FALSE)/2,VLOOKUP(AK3,[1]Weapon!$B$1:$G$299,6,FALSE)),0)</f>
        <v>0</v>
      </c>
      <c r="AN3" s="51"/>
      <c r="AO3" s="32">
        <v>0</v>
      </c>
      <c r="AP3" s="55">
        <f>_xlfn.IFNA(IF($E3="Robot",VLOOKUP(AN3,[1]Weapon!$B$1:$G$299,6,FALSE)/2,VLOOKUP(AN3,[1]Weapon!$B$1:$G$299,6,FALSE)),0)</f>
        <v>0</v>
      </c>
      <c r="AQ3" s="31"/>
      <c r="AR3" s="33"/>
      <c r="AS3" s="1">
        <v>0</v>
      </c>
    </row>
    <row r="4" spans="1:46" x14ac:dyDescent="0.25">
      <c r="A4" s="1" t="str">
        <f t="shared" si="0"/>
        <v>Obsidian</v>
      </c>
      <c r="B4" s="57" t="s">
        <v>102</v>
      </c>
      <c r="C4" s="26"/>
      <c r="D4" s="57" t="s">
        <v>76</v>
      </c>
      <c r="E4" s="28" t="s">
        <v>61</v>
      </c>
      <c r="F4" s="8">
        <v>423</v>
      </c>
      <c r="G4" s="3">
        <v>423</v>
      </c>
      <c r="H4" s="6">
        <v>39</v>
      </c>
      <c r="I4" s="9">
        <f t="shared" si="1"/>
        <v>39</v>
      </c>
      <c r="J4" s="8"/>
      <c r="K4" s="3">
        <f>J4+_xlfn.IFNA(VLOOKUP($P4,[1]Weapon!$A$1:$M$300,9,FALSE),0)+_xlfn.IFNA(VLOOKUP($S4,[1]Weapon!$A$1:$M$300,9,FALSE),0)+_xlfn.IFNA(VLOOKUP($V4,[1]Weapon!$A$1:$M$300,9,FALSE),0)+_xlfn.IFNA(VLOOKUP($Y4,[1]Weapon!$A$1:$M$300,9,FALSE),0)+_xlfn.IFNA(VLOOKUP($AB4,[1]Weapon!$A$1:$M$300,9,FALSE),0)+_xlfn.IFNA(VLOOKUP($AE4,[1]Weapon!$A$1:$M$300,9,FALSE),0)+_xlfn.IFNA(VLOOKUP($AH4,[1]Weapon!$A$1:$M$300,9,FALSE),0)+_xlfn.IFNA(VLOOKUP($AK4,[1]Weapon!$A$1:$M$300,9,FALSE),0)</f>
        <v>23</v>
      </c>
      <c r="L4" s="6">
        <v>39</v>
      </c>
      <c r="M4" s="9">
        <f t="shared" ref="M4:M23" si="3">L4</f>
        <v>39</v>
      </c>
      <c r="N4" s="8">
        <v>53</v>
      </c>
      <c r="O4" s="3">
        <f>N4</f>
        <v>53</v>
      </c>
      <c r="P4" s="60" t="s">
        <v>173</v>
      </c>
      <c r="Q4" s="10">
        <v>40</v>
      </c>
      <c r="R4" s="10">
        <f>_xlfn.IFNA(IF($E4="Robot",VLOOKUP(P4,[1]Weapon!$B$1:$G$299,6,FALSE)/2,VLOOKUP(P4,[1]Weapon!$B$1:$G$299,6,FALSE)),0)</f>
        <v>40</v>
      </c>
      <c r="S4" s="60" t="s">
        <v>174</v>
      </c>
      <c r="T4" s="10">
        <v>15</v>
      </c>
      <c r="U4" s="10">
        <f>_xlfn.IFNA(IF($E4="Robot",VLOOKUP(S4,[1]Weapon!$B$1:$G$299,6,FALSE)/2,VLOOKUP(S4,[1]Weapon!$B$1:$G$299,6,FALSE)),0)</f>
        <v>15</v>
      </c>
      <c r="V4" s="60" t="s">
        <v>176</v>
      </c>
      <c r="W4" s="21">
        <v>15</v>
      </c>
      <c r="X4" s="10">
        <f>_xlfn.IFNA(IF($E4="Robot",VLOOKUP(V4,[1]Weapon!$B$1:$G$299,6,FALSE)/2,VLOOKUP(V4,[1]Weapon!$B$1:$G$299,6,FALSE)),0)</f>
        <v>15</v>
      </c>
      <c r="Y4" s="60" t="s">
        <v>177</v>
      </c>
      <c r="Z4" s="10">
        <v>15</v>
      </c>
      <c r="AA4" s="10">
        <f>_xlfn.IFNA(IF($E4="Robot",VLOOKUP(Y4,[1]Weapon!$B$1:$G$299,6,FALSE)/2,VLOOKUP(Y4,[1]Weapon!$B$1:$G$299,6,FALSE)),0)</f>
        <v>15</v>
      </c>
      <c r="AB4" s="60" t="s">
        <v>134</v>
      </c>
      <c r="AD4" s="10">
        <f>_xlfn.IFNA(IF($E4="Robot",VLOOKUP(AB4,[1]Weapon!$B$1:$G$299,6,FALSE)/2,VLOOKUP(AB4,[1]Weapon!$B$1:$G$299,6,FALSE)),0)</f>
        <v>-2</v>
      </c>
      <c r="AE4" s="60" t="s">
        <v>130</v>
      </c>
      <c r="AG4" s="10">
        <f>_xlfn.IFNA(IF($E4="Robot",VLOOKUP(AE4,[1]Weapon!$B$1:$G$299,6,FALSE)/2,VLOOKUP(AE4,[1]Weapon!$B$1:$G$299,6,FALSE)),0)</f>
        <v>-2</v>
      </c>
      <c r="AH4" s="60" t="s">
        <v>132</v>
      </c>
      <c r="AJ4" s="10">
        <f>_xlfn.IFNA(IF($E4="Robot",VLOOKUP(AH4,[1]Weapon!$B$1:$G$299,6,FALSE)/2,VLOOKUP(AH4,[1]Weapon!$B$1:$G$299,6,FALSE)),0)</f>
        <v>-2</v>
      </c>
      <c r="AK4" s="48" t="str">
        <f>IF(ISBLANK(VLOOKUP($E4,[1]Monster!$A$2:$X$257,23,FALSE)),"",VLOOKUP($E4,[1]Monster!$A$2:$X$257,23,FALSE))</f>
        <v/>
      </c>
      <c r="AM4" s="10">
        <f>_xlfn.IFNA(IF($E4="Robot",VLOOKUP(AK4,[1]Weapon!$B$1:$G$299,6,FALSE)/2,VLOOKUP(AK4,[1]Weapon!$B$1:$G$299,6,FALSE)),0)</f>
        <v>0</v>
      </c>
      <c r="AO4" s="10">
        <v>0</v>
      </c>
      <c r="AP4" s="55">
        <f>_xlfn.IFNA(IF($E4="Robot",VLOOKUP(AN4,[1]Weapon!$B$1:$G$299,6,FALSE)/2,VLOOKUP(AN4,[1]Weapon!$B$1:$G$299,6,FALSE)),0)</f>
        <v>0</v>
      </c>
      <c r="AS4" s="1">
        <v>0</v>
      </c>
    </row>
    <row r="5" spans="1:46" x14ac:dyDescent="0.25">
      <c r="A5" s="1" t="str">
        <f t="shared" si="0"/>
        <v>Undine</v>
      </c>
      <c r="B5" s="57" t="s">
        <v>103</v>
      </c>
      <c r="C5" s="26"/>
      <c r="D5" s="57" t="s">
        <v>83</v>
      </c>
      <c r="E5" s="28" t="s">
        <v>61</v>
      </c>
      <c r="F5" s="1">
        <v>372</v>
      </c>
      <c r="G5" s="3">
        <v>372</v>
      </c>
      <c r="H5" s="6">
        <v>27</v>
      </c>
      <c r="I5" s="9">
        <f t="shared" si="1"/>
        <v>27</v>
      </c>
      <c r="J5" s="8"/>
      <c r="K5" s="3">
        <f>J5+_xlfn.IFNA(VLOOKUP($P5,[1]Weapon!$A$1:$M$300,9,FALSE),0)+_xlfn.IFNA(VLOOKUP($S5,[1]Weapon!$A$1:$M$300,9,FALSE),0)+_xlfn.IFNA(VLOOKUP($V5,[1]Weapon!$A$1:$M$300,9,FALSE),0)+_xlfn.IFNA(VLOOKUP($Y5,[1]Weapon!$A$1:$M$300,9,FALSE),0)+_xlfn.IFNA(VLOOKUP($AB5,[1]Weapon!$A$1:$M$300,9,FALSE),0)+_xlfn.IFNA(VLOOKUP($AE5,[1]Weapon!$A$1:$M$300,9,FALSE),0)+_xlfn.IFNA(VLOOKUP($AH5,[1]Weapon!$A$1:$M$300,9,FALSE),0)+_xlfn.IFNA(VLOOKUP($AK5,[1]Weapon!$A$1:$M$300,9,FALSE),0)</f>
        <v>22</v>
      </c>
      <c r="L5" s="6">
        <v>38</v>
      </c>
      <c r="M5" s="9">
        <f>L5</f>
        <v>38</v>
      </c>
      <c r="N5" s="8">
        <v>46</v>
      </c>
      <c r="O5" s="3">
        <f t="shared" si="2"/>
        <v>46</v>
      </c>
      <c r="P5" s="60" t="s">
        <v>157</v>
      </c>
      <c r="Q5" s="11">
        <v>30</v>
      </c>
      <c r="R5" s="10">
        <f>_xlfn.IFNA(IF($E5="Robot",VLOOKUP(P5,[1]Weapon!$B$1:$G$299,6,FALSE)/2,VLOOKUP(P5,[1]Weapon!$B$1:$G$299,6,FALSE)),0)</f>
        <v>30</v>
      </c>
      <c r="S5" s="60" t="s">
        <v>179</v>
      </c>
      <c r="T5" s="10">
        <v>15</v>
      </c>
      <c r="U5" s="10">
        <f>_xlfn.IFNA(IF($E5="Robot",VLOOKUP(S5,[1]Weapon!$B$1:$G$299,6,FALSE)/2,VLOOKUP(S5,[1]Weapon!$B$1:$G$299,6,FALSE)),0)</f>
        <v>15</v>
      </c>
      <c r="V5" s="61" t="s">
        <v>167</v>
      </c>
      <c r="W5" s="22">
        <v>15</v>
      </c>
      <c r="X5" s="10">
        <f>_xlfn.IFNA(IF($E5="Robot",VLOOKUP(V5,[1]Weapon!$B$1:$G$299,6,FALSE)/2,VLOOKUP(V5,[1]Weapon!$B$1:$G$299,6,FALSE)),0)</f>
        <v>15</v>
      </c>
      <c r="Y5" s="61" t="s">
        <v>208</v>
      </c>
      <c r="Z5" s="10">
        <v>15</v>
      </c>
      <c r="AA5" s="10">
        <f>_xlfn.IFNA(IF($E5="Robot",VLOOKUP(Y5,[1]Weapon!$B$1:$G$299,6,FALSE)/2,VLOOKUP(Y5,[1]Weapon!$B$1:$G$299,6,FALSE)),0)</f>
        <v>15</v>
      </c>
      <c r="AB5" s="60" t="s">
        <v>133</v>
      </c>
      <c r="AD5" s="10">
        <f>_xlfn.IFNA(IF($E5="Robot",VLOOKUP(AB5,[1]Weapon!$B$1:$G$299,6,FALSE)/2,VLOOKUP(AB5,[1]Weapon!$B$1:$G$299,6,FALSE)),0)</f>
        <v>-2</v>
      </c>
      <c r="AE5" s="60" t="s">
        <v>130</v>
      </c>
      <c r="AG5" s="10">
        <f>_xlfn.IFNA(IF($E5="Robot",VLOOKUP(AE5,[1]Weapon!$B$1:$G$299,6,FALSE)/2,VLOOKUP(AE5,[1]Weapon!$B$1:$G$299,6,FALSE)),0)</f>
        <v>-2</v>
      </c>
      <c r="AH5" s="61" t="s">
        <v>196</v>
      </c>
      <c r="AJ5" s="10">
        <f>_xlfn.IFNA(IF($E5="Robot",VLOOKUP(AH5,[1]Weapon!$B$1:$G$299,6,FALSE)/2,VLOOKUP(AH5,[1]Weapon!$B$1:$G$299,6,FALSE)),0)</f>
        <v>-2</v>
      </c>
      <c r="AM5" s="10">
        <f>_xlfn.IFNA(IF($E5="Robot",VLOOKUP(AK5,[1]Weapon!$B$1:$G$299,6,FALSE)/2,VLOOKUP(AK5,[1]Weapon!$B$1:$G$299,6,FALSE)),0)</f>
        <v>0</v>
      </c>
      <c r="AO5" s="10">
        <v>0</v>
      </c>
      <c r="AP5" s="55">
        <f>_xlfn.IFNA(IF($E5="Robot",VLOOKUP(AN5,[1]Weapon!$B$1:$G$299,6,FALSE)/2,VLOOKUP(AN5,[1]Weapon!$B$1:$G$299,6,FALSE)),0)</f>
        <v>0</v>
      </c>
      <c r="AS5" s="1">
        <v>0</v>
      </c>
    </row>
    <row r="6" spans="1:46" x14ac:dyDescent="0.25">
      <c r="A6" s="1" t="str">
        <f t="shared" si="0"/>
        <v>XScorpion</v>
      </c>
      <c r="B6" s="57" t="s">
        <v>78</v>
      </c>
      <c r="C6" s="26"/>
      <c r="D6" s="56" t="s">
        <v>78</v>
      </c>
      <c r="E6" s="28" t="s">
        <v>61</v>
      </c>
      <c r="F6" s="25">
        <v>490</v>
      </c>
      <c r="G6" s="3">
        <v>490</v>
      </c>
      <c r="H6" s="6">
        <v>41</v>
      </c>
      <c r="I6" s="9">
        <f t="shared" si="1"/>
        <v>41</v>
      </c>
      <c r="J6" s="8"/>
      <c r="K6" s="3">
        <f>J6+_xlfn.IFNA(VLOOKUP($P6,[1]Weapon!$A$1:$M$300,9,FALSE),0)+_xlfn.IFNA(VLOOKUP($S6,[1]Weapon!$A$1:$M$300,9,FALSE),0)+_xlfn.IFNA(VLOOKUP($V6,[1]Weapon!$A$1:$M$300,9,FALSE),0)+_xlfn.IFNA(VLOOKUP($Y6,[1]Weapon!$A$1:$M$300,9,FALSE),0)+_xlfn.IFNA(VLOOKUP($AB6,[1]Weapon!$A$1:$M$300,9,FALSE),0)+_xlfn.IFNA(VLOOKUP($AE6,[1]Weapon!$A$1:$M$300,9,FALSE),0)+_xlfn.IFNA(VLOOKUP($AH6,[1]Weapon!$A$1:$M$300,9,FALSE),0)+_xlfn.IFNA(VLOOKUP($AK6,[1]Weapon!$A$1:$M$300,9,FALSE),0)</f>
        <v>29</v>
      </c>
      <c r="L6" s="6">
        <v>61</v>
      </c>
      <c r="M6" s="9">
        <f>L6-5</f>
        <v>56</v>
      </c>
      <c r="N6" s="8">
        <v>28</v>
      </c>
      <c r="O6" s="3">
        <f t="shared" si="2"/>
        <v>28</v>
      </c>
      <c r="P6" s="60" t="s">
        <v>146</v>
      </c>
      <c r="Q6" s="10">
        <v>50</v>
      </c>
      <c r="R6" s="10">
        <f>_xlfn.IFNA(IF($E6="Robot",VLOOKUP(P6,[1]Weapon!$B$1:$G$299,6,FALSE)/2,VLOOKUP(P6,[1]Weapon!$B$1:$G$299,6,FALSE)),0)</f>
        <v>50</v>
      </c>
      <c r="S6" s="60" t="s">
        <v>164</v>
      </c>
      <c r="T6" s="18">
        <v>5</v>
      </c>
      <c r="U6" s="10">
        <f>_xlfn.IFNA(IF($E6="Robot",VLOOKUP(S6,[1]Weapon!$B$1:$G$299,6,FALSE)/2,VLOOKUP(S6,[1]Weapon!$B$1:$G$299,6,FALSE)),0)</f>
        <v>5</v>
      </c>
      <c r="V6" s="60" t="s">
        <v>137</v>
      </c>
      <c r="W6" s="23">
        <v>30</v>
      </c>
      <c r="X6" s="10">
        <f>_xlfn.IFNA(IF($E6="Robot",VLOOKUP(V6,[1]Weapon!$B$1:$G$299,6,FALSE)/2,VLOOKUP(V6,[1]Weapon!$B$1:$G$299,6,FALSE)),0)</f>
        <v>30</v>
      </c>
      <c r="Y6" s="61" t="s">
        <v>204</v>
      </c>
      <c r="Z6" s="23">
        <v>15</v>
      </c>
      <c r="AA6" s="10">
        <f>_xlfn.IFNA(IF($E6="Robot",VLOOKUP(Y6,[1]Weapon!$B$1:$G$299,6,FALSE)/2,VLOOKUP(Y6,[1]Weapon!$B$1:$G$299,6,FALSE)),0)</f>
        <v>15</v>
      </c>
      <c r="AB6" s="60" t="s">
        <v>135</v>
      </c>
      <c r="AC6" s="24"/>
      <c r="AD6" s="10">
        <f>_xlfn.IFNA(IF($E6="Robot",VLOOKUP(AB6,[1]Weapon!$B$1:$G$299,6,FALSE)/2,VLOOKUP(AB6,[1]Weapon!$B$1:$G$299,6,FALSE)),0)</f>
        <v>-2</v>
      </c>
      <c r="AE6" s="60" t="s">
        <v>130</v>
      </c>
      <c r="AF6" s="17"/>
      <c r="AG6" s="10">
        <f>_xlfn.IFNA(IF($E6="Robot",VLOOKUP(AE6,[1]Weapon!$B$1:$G$299,6,FALSE)/2,VLOOKUP(AE6,[1]Weapon!$B$1:$G$299,6,FALSE)),0)</f>
        <v>-2</v>
      </c>
      <c r="AH6" s="60" t="s">
        <v>131</v>
      </c>
      <c r="AJ6" s="10">
        <f>_xlfn.IFNA(IF($E6="Robot",VLOOKUP(AH6,[1]Weapon!$B$1:$G$299,6,FALSE)/2,VLOOKUP(AH6,[1]Weapon!$B$1:$G$299,6,FALSE)),0)</f>
        <v>-2</v>
      </c>
      <c r="AK6" s="60"/>
      <c r="AM6" s="10">
        <f>_xlfn.IFNA(IF($E6="Robot",VLOOKUP(AK6,[1]Weapon!$B$1:$G$299,6,FALSE)/2,VLOOKUP(AK6,[1]Weapon!$B$1:$G$299,6,FALSE)),0)</f>
        <v>0</v>
      </c>
      <c r="AN6" s="53"/>
      <c r="AO6" s="15">
        <v>0</v>
      </c>
      <c r="AP6" s="55">
        <f>_xlfn.IFNA(IF($E6="Robot",VLOOKUP(AN6,[1]Weapon!$B$1:$G$299,6,FALSE)/2,VLOOKUP(AN6,[1]Weapon!$B$1:$G$299,6,FALSE)),0)</f>
        <v>0</v>
      </c>
      <c r="AQ6" s="4"/>
      <c r="AS6" s="1">
        <v>0</v>
      </c>
    </row>
    <row r="7" spans="1:46" x14ac:dyDescent="0.25">
      <c r="A7" s="1" t="str">
        <f t="shared" si="0"/>
        <v>Dano</v>
      </c>
      <c r="B7" s="57" t="s">
        <v>104</v>
      </c>
      <c r="C7" s="26"/>
      <c r="D7" s="57" t="s">
        <v>105</v>
      </c>
      <c r="E7" s="28" t="s">
        <v>61</v>
      </c>
      <c r="F7" s="2">
        <v>521</v>
      </c>
      <c r="G7" s="3">
        <v>521</v>
      </c>
      <c r="H7" s="6">
        <v>46</v>
      </c>
      <c r="I7" s="9">
        <f>H7-5</f>
        <v>41</v>
      </c>
      <c r="J7" s="8"/>
      <c r="K7" s="3">
        <f>J7+_xlfn.IFNA(VLOOKUP($P7,[1]Weapon!$A$1:$M$300,9,FALSE),0)+_xlfn.IFNA(VLOOKUP($S7,[1]Weapon!$A$1:$M$300,9,FALSE),0)+_xlfn.IFNA(VLOOKUP($V7,[1]Weapon!$A$1:$M$300,9,FALSE),0)+_xlfn.IFNA(VLOOKUP($Y7,[1]Weapon!$A$1:$M$300,9,FALSE),0)+_xlfn.IFNA(VLOOKUP($AB7,[1]Weapon!$A$1:$M$300,9,FALSE),0)+_xlfn.IFNA(VLOOKUP($AE7,[1]Weapon!$A$1:$M$300,9,FALSE),0)+_xlfn.IFNA(VLOOKUP($AH7,[1]Weapon!$A$1:$M$300,9,FALSE),0)+_xlfn.IFNA(VLOOKUP($AK7,[1]Weapon!$A$1:$M$300,9,FALSE),0)</f>
        <v>32</v>
      </c>
      <c r="L7" s="6">
        <v>34</v>
      </c>
      <c r="M7" s="9">
        <f t="shared" si="3"/>
        <v>34</v>
      </c>
      <c r="N7" s="8">
        <v>30</v>
      </c>
      <c r="O7" s="3">
        <f>N7+5</f>
        <v>35</v>
      </c>
      <c r="P7" s="60" t="s">
        <v>159</v>
      </c>
      <c r="Q7" s="10">
        <v>40</v>
      </c>
      <c r="R7" s="10">
        <f>_xlfn.IFNA(IF($E7="Robot",VLOOKUP(P7,[1]Weapon!$B$1:$G$299,6,FALSE)/2,VLOOKUP(P7,[1]Weapon!$B$1:$G$299,6,FALSE)),0)</f>
        <v>40</v>
      </c>
      <c r="S7" s="60" t="s">
        <v>190</v>
      </c>
      <c r="T7" s="10">
        <v>15</v>
      </c>
      <c r="U7" s="10">
        <f>_xlfn.IFNA(IF($E7="Robot",VLOOKUP(S7,[1]Weapon!$B$1:$G$299,6,FALSE)/2,VLOOKUP(S7,[1]Weapon!$B$1:$G$299,6,FALSE)),0)</f>
        <v>15</v>
      </c>
      <c r="V7" s="61" t="s">
        <v>198</v>
      </c>
      <c r="W7" s="23">
        <v>15</v>
      </c>
      <c r="X7" s="10">
        <f>_xlfn.IFNA(IF($E7="Robot",VLOOKUP(V7,[1]Weapon!$B$1:$G$299,6,FALSE)/2,VLOOKUP(V7,[1]Weapon!$B$1:$G$299,6,FALSE)),0)</f>
        <v>15</v>
      </c>
      <c r="Y7" s="61" t="s">
        <v>177</v>
      </c>
      <c r="Z7" s="10">
        <v>15</v>
      </c>
      <c r="AA7" s="10">
        <f>_xlfn.IFNA(IF($E7="Robot",VLOOKUP(Y7,[1]Weapon!$B$1:$G$299,6,FALSE)/2,VLOOKUP(Y7,[1]Weapon!$B$1:$G$299,6,FALSE)),0)</f>
        <v>15</v>
      </c>
      <c r="AB7" s="60" t="s">
        <v>136</v>
      </c>
      <c r="AD7" s="10">
        <f>_xlfn.IFNA(IF($E7="Robot",VLOOKUP(AB7,[1]Weapon!$B$1:$G$299,6,FALSE)/2,VLOOKUP(AB7,[1]Weapon!$B$1:$G$299,6,FALSE)),0)</f>
        <v>-2</v>
      </c>
      <c r="AE7" s="60" t="s">
        <v>130</v>
      </c>
      <c r="AG7" s="10">
        <f>_xlfn.IFNA(IF($E7="Robot",VLOOKUP(AE7,[1]Weapon!$B$1:$G$299,6,FALSE)/2,VLOOKUP(AE7,[1]Weapon!$B$1:$G$299,6,FALSE)),0)</f>
        <v>-2</v>
      </c>
      <c r="AH7" s="60" t="s">
        <v>150</v>
      </c>
      <c r="AJ7" s="10">
        <f>_xlfn.IFNA(IF($E7="Robot",VLOOKUP(AH7,[1]Weapon!$B$1:$G$299,6,FALSE)/2,VLOOKUP(AH7,[1]Weapon!$B$1:$G$299,6,FALSE)),0)</f>
        <v>-2</v>
      </c>
      <c r="AK7" s="50"/>
      <c r="AM7" s="10">
        <f>_xlfn.IFNA(IF($E7="Robot",VLOOKUP(AK7,[1]Weapon!$B$1:$G$299,6,FALSE)/2,VLOOKUP(AK7,[1]Weapon!$B$1:$G$299,6,FALSE)),0)</f>
        <v>0</v>
      </c>
      <c r="AN7" s="60"/>
      <c r="AO7" s="15">
        <v>0</v>
      </c>
      <c r="AP7" s="55">
        <f>_xlfn.IFNA(IF($E7="Robot",VLOOKUP(AN7,[1]Weapon!$B$1:$G$299,6,FALSE)/2,VLOOKUP(AN7,[1]Weapon!$B$1:$G$299,6,FALSE)),0)</f>
        <v>0</v>
      </c>
      <c r="AS7" s="1">
        <v>0</v>
      </c>
    </row>
    <row r="8" spans="1:46" x14ac:dyDescent="0.25">
      <c r="A8" s="1" t="str">
        <f t="shared" si="0"/>
        <v>Arithon</v>
      </c>
      <c r="B8" s="57" t="s">
        <v>106</v>
      </c>
      <c r="C8" s="26"/>
      <c r="D8" s="57" t="s">
        <v>107</v>
      </c>
      <c r="E8" s="28" t="s">
        <v>61</v>
      </c>
      <c r="F8" s="25">
        <v>371</v>
      </c>
      <c r="G8" s="3">
        <v>371</v>
      </c>
      <c r="H8" s="6">
        <v>20</v>
      </c>
      <c r="I8" s="9">
        <f t="shared" si="1"/>
        <v>20</v>
      </c>
      <c r="J8" s="8"/>
      <c r="K8" s="3">
        <f>J8+_xlfn.IFNA(VLOOKUP($P8,[1]Weapon!$A$1:$M$300,9,FALSE),0)+_xlfn.IFNA(VLOOKUP($S8,[1]Weapon!$A$1:$M$300,9,FALSE),0)+_xlfn.IFNA(VLOOKUP($V8,[1]Weapon!$A$1:$M$300,9,FALSE),0)+_xlfn.IFNA(VLOOKUP($Y8,[1]Weapon!$A$1:$M$300,9,FALSE),0)+_xlfn.IFNA(VLOOKUP($AB8,[1]Weapon!$A$1:$M$300,9,FALSE),0)+_xlfn.IFNA(VLOOKUP($AE8,[1]Weapon!$A$1:$M$300,9,FALSE),0)+_xlfn.IFNA(VLOOKUP($AH8,[1]Weapon!$A$1:$M$300,9,FALSE),0)+_xlfn.IFNA(VLOOKUP($AK8,[1]Weapon!$A$1:$M$300,9,FALSE),0)</f>
        <v>24</v>
      </c>
      <c r="L8" s="6">
        <v>35</v>
      </c>
      <c r="M8" s="9">
        <f t="shared" si="3"/>
        <v>35</v>
      </c>
      <c r="N8" s="8">
        <v>63</v>
      </c>
      <c r="O8" s="3">
        <f>N8-5</f>
        <v>58</v>
      </c>
      <c r="P8" s="61" t="s">
        <v>216</v>
      </c>
      <c r="Q8" s="12">
        <v>50</v>
      </c>
      <c r="R8" s="10">
        <f>_xlfn.IFNA(IF($E8="Robot",VLOOKUP(P8,[1]Weapon!$B$1:$G$299,6,FALSE)/2,VLOOKUP(P8,[1]Weapon!$B$1:$G$299,6,FALSE)),0)</f>
        <v>50</v>
      </c>
      <c r="S8" s="61" t="s">
        <v>192</v>
      </c>
      <c r="T8" s="19">
        <v>3</v>
      </c>
      <c r="U8" s="10">
        <f>_xlfn.IFNA(IF($E8="Robot",VLOOKUP(S8,[1]Weapon!$B$1:$G$299,6,FALSE)/2,VLOOKUP(S8,[1]Weapon!$B$1:$G$299,6,FALSE)),0)</f>
        <v>3</v>
      </c>
      <c r="V8" s="61" t="s">
        <v>164</v>
      </c>
      <c r="W8" s="20">
        <v>5</v>
      </c>
      <c r="X8" s="10">
        <f>_xlfn.IFNA(IF($E8="Robot",VLOOKUP(V8,[1]Weapon!$B$1:$G$299,6,FALSE)/2,VLOOKUP(V8,[1]Weapon!$B$1:$G$299,6,FALSE)),0)</f>
        <v>5</v>
      </c>
      <c r="Y8" s="61" t="s">
        <v>193</v>
      </c>
      <c r="Z8" s="20">
        <v>15</v>
      </c>
      <c r="AA8" s="10">
        <f>_xlfn.IFNA(IF($E8="Robot",VLOOKUP(Y8,[1]Weapon!$B$1:$G$299,6,FALSE)/2,VLOOKUP(Y8,[1]Weapon!$B$1:$G$299,6,FALSE)),0)</f>
        <v>15</v>
      </c>
      <c r="AB8" s="60" t="s">
        <v>138</v>
      </c>
      <c r="AD8" s="10">
        <f>_xlfn.IFNA(IF($E8="Robot",VLOOKUP(AB8,[1]Weapon!$B$1:$G$299,6,FALSE)/2,VLOOKUP(AB8,[1]Weapon!$B$1:$G$299,6,FALSE)),0)</f>
        <v>-2</v>
      </c>
      <c r="AE8" s="60" t="s">
        <v>139</v>
      </c>
      <c r="AG8" s="10">
        <f>_xlfn.IFNA(IF($E8="Robot",VLOOKUP(AE8,[1]Weapon!$B$1:$G$299,6,FALSE)/2,VLOOKUP(AE8,[1]Weapon!$B$1:$G$299,6,FALSE)),0)</f>
        <v>-2</v>
      </c>
      <c r="AH8" s="61" t="s">
        <v>194</v>
      </c>
      <c r="AJ8" s="10">
        <f>_xlfn.IFNA(IF($E8="Robot",VLOOKUP(AH8,[1]Weapon!$B$1:$G$299,6,FALSE)/2,VLOOKUP(AH8,[1]Weapon!$B$1:$G$299,6,FALSE)),0)</f>
        <v>-2</v>
      </c>
      <c r="AM8" s="10">
        <f>_xlfn.IFNA(IF($E8="Robot",VLOOKUP(AK8,[1]Weapon!$B$1:$G$299,6,FALSE)/2,VLOOKUP(AK8,[1]Weapon!$B$1:$G$299,6,FALSE)),0)</f>
        <v>0</v>
      </c>
      <c r="AO8" s="10">
        <v>0</v>
      </c>
      <c r="AP8" s="55">
        <f>_xlfn.IFNA(IF($E8="Robot",VLOOKUP(AN8,[1]Weapon!$B$1:$G$299,6,FALSE)/2,VLOOKUP(AN8,[1]Weapon!$B$1:$G$299,6,FALSE)),0)</f>
        <v>0</v>
      </c>
      <c r="AS8" s="1">
        <v>0</v>
      </c>
    </row>
    <row r="9" spans="1:46" x14ac:dyDescent="0.25">
      <c r="A9" s="1" t="str">
        <f t="shared" si="0"/>
        <v>Rocco</v>
      </c>
      <c r="B9" s="57" t="s">
        <v>108</v>
      </c>
      <c r="C9" s="26"/>
      <c r="D9" s="57" t="s">
        <v>86</v>
      </c>
      <c r="E9" s="28" t="s">
        <v>61</v>
      </c>
      <c r="F9" s="25">
        <v>592</v>
      </c>
      <c r="G9" s="3">
        <v>592</v>
      </c>
      <c r="H9" s="6">
        <v>51</v>
      </c>
      <c r="I9" s="9">
        <f t="shared" si="1"/>
        <v>51</v>
      </c>
      <c r="J9" s="8"/>
      <c r="K9" s="3">
        <f>J9+_xlfn.IFNA(VLOOKUP($P9,[1]Weapon!$A$1:$M$300,9,FALSE),0)+_xlfn.IFNA(VLOOKUP($S9,[1]Weapon!$A$1:$M$300,9,FALSE),0)+_xlfn.IFNA(VLOOKUP($V9,[1]Weapon!$A$1:$M$300,9,FALSE),0)+_xlfn.IFNA(VLOOKUP($Y9,[1]Weapon!$A$1:$M$300,9,FALSE),0)+_xlfn.IFNA(VLOOKUP($AB9,[1]Weapon!$A$1:$M$300,9,FALSE),0)+_xlfn.IFNA(VLOOKUP($AE9,[1]Weapon!$A$1:$M$300,9,FALSE),0)+_xlfn.IFNA(VLOOKUP($AH9,[1]Weapon!$A$1:$M$300,9,FALSE),0)+_xlfn.IFNA(VLOOKUP($AK9,[1]Weapon!$A$1:$M$300,9,FALSE),0)</f>
        <v>38</v>
      </c>
      <c r="L9" s="6">
        <v>59</v>
      </c>
      <c r="M9" s="9">
        <f>L9-5</f>
        <v>54</v>
      </c>
      <c r="N9" s="8">
        <v>22</v>
      </c>
      <c r="O9" s="3">
        <f t="shared" si="2"/>
        <v>22</v>
      </c>
      <c r="P9" s="60" t="s">
        <v>159</v>
      </c>
      <c r="Q9" s="13">
        <v>40</v>
      </c>
      <c r="R9" s="10">
        <f>_xlfn.IFNA(IF($E9="Robot",VLOOKUP(P9,[1]Weapon!$B$1:$G$299,6,FALSE)/2,VLOOKUP(P9,[1]Weapon!$B$1:$G$299,6,FALSE)),0)</f>
        <v>40</v>
      </c>
      <c r="S9" s="60" t="s">
        <v>160</v>
      </c>
      <c r="T9" s="20">
        <v>15</v>
      </c>
      <c r="U9" s="10">
        <f>_xlfn.IFNA(IF($E9="Robot",VLOOKUP(S9,[1]Weapon!$B$1:$G$299,6,FALSE)/2,VLOOKUP(S9,[1]Weapon!$B$1:$G$299,6,FALSE)),0)</f>
        <v>15</v>
      </c>
      <c r="V9" s="61" t="s">
        <v>210</v>
      </c>
      <c r="W9" s="10">
        <v>30</v>
      </c>
      <c r="X9" s="10">
        <f>_xlfn.IFNA(IF($E9="Robot",VLOOKUP(V9,[1]Weapon!$B$1:$G$299,6,FALSE)/2,VLOOKUP(V9,[1]Weapon!$B$1:$G$299,6,FALSE)),0)</f>
        <v>30</v>
      </c>
      <c r="Y9" s="61" t="s">
        <v>189</v>
      </c>
      <c r="Z9" s="10">
        <v>4</v>
      </c>
      <c r="AA9" s="10">
        <f>_xlfn.IFNA(IF($E9="Robot",VLOOKUP(Y9,[1]Weapon!$B$1:$G$299,6,FALSE)/2,VLOOKUP(Y9,[1]Weapon!$B$1:$G$299,6,FALSE)),0)</f>
        <v>4</v>
      </c>
      <c r="AB9" s="60" t="s">
        <v>140</v>
      </c>
      <c r="AD9" s="10">
        <f>_xlfn.IFNA(IF($E9="Robot",VLOOKUP(AB9,[1]Weapon!$B$1:$G$299,6,FALSE)/2,VLOOKUP(AB9,[1]Weapon!$B$1:$G$299,6,FALSE)),0)</f>
        <v>-2</v>
      </c>
      <c r="AE9" s="60" t="s">
        <v>141</v>
      </c>
      <c r="AG9" s="10">
        <f>_xlfn.IFNA(IF($E9="Robot",VLOOKUP(AE9,[1]Weapon!$B$1:$G$299,6,FALSE)/2,VLOOKUP(AE9,[1]Weapon!$B$1:$G$299,6,FALSE)),0)</f>
        <v>-2</v>
      </c>
      <c r="AH9" s="60" t="s">
        <v>130</v>
      </c>
      <c r="AJ9" s="10">
        <f>_xlfn.IFNA(IF($E9="Robot",VLOOKUP(AH9,[1]Weapon!$B$1:$G$299,6,FALSE)/2,VLOOKUP(AH9,[1]Weapon!$B$1:$G$299,6,FALSE)),0)</f>
        <v>-2</v>
      </c>
      <c r="AM9" s="10">
        <f>_xlfn.IFNA(IF($E9="Robot",VLOOKUP(AK9,[1]Weapon!$B$1:$G$299,6,FALSE)/2,VLOOKUP(AK9,[1]Weapon!$B$1:$G$299,6,FALSE)),0)</f>
        <v>0</v>
      </c>
      <c r="AO9" s="10">
        <v>0</v>
      </c>
      <c r="AP9" s="55">
        <f>_xlfn.IFNA(IF($E9="Robot",VLOOKUP(AN9,[1]Weapon!$B$1:$G$299,6,FALSE)/2,VLOOKUP(AN9,[1]Weapon!$B$1:$G$299,6,FALSE)),0)</f>
        <v>0</v>
      </c>
      <c r="AS9" s="1">
        <v>0</v>
      </c>
    </row>
    <row r="10" spans="1:46" x14ac:dyDescent="0.25">
      <c r="A10" s="1" t="str">
        <f t="shared" si="0"/>
        <v>Renquist</v>
      </c>
      <c r="B10" s="57" t="s">
        <v>109</v>
      </c>
      <c r="C10" s="26"/>
      <c r="D10" s="57" t="s">
        <v>110</v>
      </c>
      <c r="E10" s="28" t="s">
        <v>61</v>
      </c>
      <c r="F10" s="25">
        <v>533</v>
      </c>
      <c r="G10" s="3">
        <v>533</v>
      </c>
      <c r="H10" s="6">
        <v>51</v>
      </c>
      <c r="I10" s="9">
        <f>H10-10</f>
        <v>41</v>
      </c>
      <c r="J10" s="8"/>
      <c r="K10" s="3">
        <f>J10+_xlfn.IFNA(VLOOKUP($P10,[1]Weapon!$A$1:$M$300,9,FALSE),0)+_xlfn.IFNA(VLOOKUP($S10,[1]Weapon!$A$1:$M$300,9,FALSE),0)+_xlfn.IFNA(VLOOKUP($V10,[1]Weapon!$A$1:$M$300,9,FALSE),0)+_xlfn.IFNA(VLOOKUP($Y10,[1]Weapon!$A$1:$M$300,9,FALSE),0)+_xlfn.IFNA(VLOOKUP($AB10,[1]Weapon!$A$1:$M$300,9,FALSE),0)+_xlfn.IFNA(VLOOKUP($AE10,[1]Weapon!$A$1:$M$300,9,FALSE),0)+_xlfn.IFNA(VLOOKUP($AH10,[1]Weapon!$A$1:$M$300,9,FALSE),0)+_xlfn.IFNA(VLOOKUP($AK10,[1]Weapon!$A$1:$M$300,9,FALSE),0)</f>
        <v>34</v>
      </c>
      <c r="L10" s="6">
        <v>34</v>
      </c>
      <c r="M10" s="9">
        <f t="shared" si="3"/>
        <v>34</v>
      </c>
      <c r="N10" s="8">
        <v>30</v>
      </c>
      <c r="O10" s="3">
        <f>N10+5</f>
        <v>35</v>
      </c>
      <c r="P10" s="61" t="s">
        <v>203</v>
      </c>
      <c r="Q10" s="14">
        <v>40</v>
      </c>
      <c r="R10" s="10">
        <f>_xlfn.IFNA(IF($E10="Robot",VLOOKUP(P10,[1]Weapon!$B$1:$G$299,6,FALSE)/2,VLOOKUP(P10,[1]Weapon!$B$1:$G$299,6,FALSE)),0)</f>
        <v>40</v>
      </c>
      <c r="S10" s="61" t="s">
        <v>197</v>
      </c>
      <c r="T10" s="10">
        <v>30</v>
      </c>
      <c r="U10" s="10">
        <f>_xlfn.IFNA(IF($E10="Robot",VLOOKUP(S10,[1]Weapon!$B$1:$G$299,6,FALSE)/2,VLOOKUP(S10,[1]Weapon!$B$1:$G$299,6,FALSE)),0)</f>
        <v>30</v>
      </c>
      <c r="V10" s="61" t="s">
        <v>182</v>
      </c>
      <c r="W10" s="10">
        <v>15</v>
      </c>
      <c r="X10" s="10">
        <f>_xlfn.IFNA(IF($E10="Robot",VLOOKUP(V10,[1]Weapon!$B$1:$G$299,6,FALSE)/2,VLOOKUP(V10,[1]Weapon!$B$1:$G$299,6,FALSE)),0)</f>
        <v>15</v>
      </c>
      <c r="Y10" s="61" t="s">
        <v>167</v>
      </c>
      <c r="Z10" s="10">
        <v>15</v>
      </c>
      <c r="AA10" s="10">
        <f>_xlfn.IFNA(IF($E10="Robot",VLOOKUP(Y10,[1]Weapon!$B$1:$G$299,6,FALSE)/2,VLOOKUP(Y10,[1]Weapon!$B$1:$G$299,6,FALSE)),0)</f>
        <v>15</v>
      </c>
      <c r="AB10" s="60" t="s">
        <v>136</v>
      </c>
      <c r="AD10" s="10">
        <f>_xlfn.IFNA(IF($E10="Robot",VLOOKUP(AB10,[1]Weapon!$B$1:$G$299,6,FALSE)/2,VLOOKUP(AB10,[1]Weapon!$B$1:$G$299,6,FALSE)),0)</f>
        <v>-2</v>
      </c>
      <c r="AE10" s="60" t="s">
        <v>90</v>
      </c>
      <c r="AG10" s="10">
        <f>_xlfn.IFNA(IF($E10="Robot",VLOOKUP(AE10,[1]Weapon!$B$1:$G$299,6,FALSE)/2,VLOOKUP(AE10,[1]Weapon!$B$1:$G$299,6,FALSE)),0)</f>
        <v>-2</v>
      </c>
      <c r="AH10" s="60" t="s">
        <v>150</v>
      </c>
      <c r="AJ10" s="10">
        <f>_xlfn.IFNA(IF($E10="Robot",VLOOKUP(AH10,[1]Weapon!$B$1:$G$299,6,FALSE)/2,VLOOKUP(AH10,[1]Weapon!$B$1:$G$299,6,FALSE)),0)</f>
        <v>-2</v>
      </c>
      <c r="AM10" s="10">
        <f>_xlfn.IFNA(IF($E10="Robot",VLOOKUP(AK10,[1]Weapon!$B$1:$G$299,6,FALSE)/2,VLOOKUP(AK10,[1]Weapon!$B$1:$G$299,6,FALSE)),0)</f>
        <v>0</v>
      </c>
      <c r="AO10" s="10">
        <v>0</v>
      </c>
      <c r="AP10" s="55">
        <f>_xlfn.IFNA(IF($E10="Robot",VLOOKUP(AN10,[1]Weapon!$B$1:$G$299,6,FALSE)/2,VLOOKUP(AN10,[1]Weapon!$B$1:$G$299,6,FALSE)),0)</f>
        <v>0</v>
      </c>
      <c r="AR10" s="33"/>
      <c r="AS10" s="1">
        <v>0</v>
      </c>
    </row>
    <row r="11" spans="1:46" x14ac:dyDescent="0.25">
      <c r="A11" s="1" t="str">
        <f t="shared" si="0"/>
        <v>Selene</v>
      </c>
      <c r="B11" s="57" t="s">
        <v>111</v>
      </c>
      <c r="C11" s="26"/>
      <c r="D11" s="57" t="s">
        <v>84</v>
      </c>
      <c r="E11" s="28" t="s">
        <v>61</v>
      </c>
      <c r="F11" s="25">
        <v>430</v>
      </c>
      <c r="G11" s="3">
        <v>430</v>
      </c>
      <c r="H11" s="6">
        <v>25</v>
      </c>
      <c r="I11" s="9">
        <f t="shared" si="1"/>
        <v>25</v>
      </c>
      <c r="J11" s="8"/>
      <c r="K11" s="3">
        <f>J11+_xlfn.IFNA(VLOOKUP($P11,[1]Weapon!$A$1:$M$300,9,FALSE),0)+_xlfn.IFNA(VLOOKUP($S11,[1]Weapon!$A$1:$M$300,9,FALSE),0)+_xlfn.IFNA(VLOOKUP($V11,[1]Weapon!$A$1:$M$300,9,FALSE),0)+_xlfn.IFNA(VLOOKUP($Y11,[1]Weapon!$A$1:$M$300,9,FALSE),0)+_xlfn.IFNA(VLOOKUP($AB11,[1]Weapon!$A$1:$M$300,9,FALSE),0)+_xlfn.IFNA(VLOOKUP($AE11,[1]Weapon!$A$1:$M$300,9,FALSE),0)+_xlfn.IFNA(VLOOKUP($AH11,[1]Weapon!$A$1:$M$300,9,FALSE),0)+_xlfn.IFNA(VLOOKUP($AK11,[1]Weapon!$A$1:$M$300,9,FALSE),0)</f>
        <v>22</v>
      </c>
      <c r="L11" s="6">
        <v>29</v>
      </c>
      <c r="M11" s="9">
        <f t="shared" si="3"/>
        <v>29</v>
      </c>
      <c r="N11" s="8">
        <v>59</v>
      </c>
      <c r="O11" s="3">
        <f t="shared" si="2"/>
        <v>59</v>
      </c>
      <c r="P11" s="60" t="s">
        <v>185</v>
      </c>
      <c r="Q11" s="10">
        <v>3</v>
      </c>
      <c r="R11" s="10">
        <f>_xlfn.IFNA(IF($E11="Robot",VLOOKUP(P11,[1]Weapon!$B$1:$G$299,6,FALSE)/2,VLOOKUP(P11,[1]Weapon!$B$1:$G$299,6,FALSE)),0)</f>
        <v>15</v>
      </c>
      <c r="S11" s="60" t="s">
        <v>186</v>
      </c>
      <c r="T11" s="10">
        <v>10</v>
      </c>
      <c r="U11" s="10">
        <f>_xlfn.IFNA(IF($E11="Robot",VLOOKUP(S11,[1]Weapon!$B$1:$G$299,6,FALSE)/2,VLOOKUP(S11,[1]Weapon!$B$1:$G$299,6,FALSE)),0)</f>
        <v>10</v>
      </c>
      <c r="V11" s="60" t="s">
        <v>188</v>
      </c>
      <c r="W11" s="21">
        <v>30</v>
      </c>
      <c r="X11" s="10">
        <f>_xlfn.IFNA(IF($E11="Robot",VLOOKUP(V11,[1]Weapon!$B$1:$G$299,6,FALSE)/2,VLOOKUP(V11,[1]Weapon!$B$1:$G$299,6,FALSE)),0)</f>
        <v>30</v>
      </c>
      <c r="Y11" s="60" t="s">
        <v>187</v>
      </c>
      <c r="Z11" s="10">
        <v>40</v>
      </c>
      <c r="AA11" s="10">
        <f>_xlfn.IFNA(IF($E11="Robot",VLOOKUP(Y11,[1]Weapon!$B$1:$G$299,6,FALSE)/2,VLOOKUP(Y11,[1]Weapon!$B$1:$G$299,6,FALSE)),0)</f>
        <v>40</v>
      </c>
      <c r="AB11" s="60" t="s">
        <v>134</v>
      </c>
      <c r="AD11" s="10">
        <f>_xlfn.IFNA(IF($E11="Robot",VLOOKUP(AB11,[1]Weapon!$B$1:$G$299,6,FALSE)/2,VLOOKUP(AB11,[1]Weapon!$B$1:$G$299,6,FALSE)),0)</f>
        <v>-2</v>
      </c>
      <c r="AE11" s="60" t="s">
        <v>143</v>
      </c>
      <c r="AG11" s="10">
        <f>_xlfn.IFNA(IF($E11="Robot",VLOOKUP(AE11,[1]Weapon!$B$1:$G$299,6,FALSE)/2,VLOOKUP(AE11,[1]Weapon!$B$1:$G$299,6,FALSE)),0)</f>
        <v>-2</v>
      </c>
      <c r="AH11" s="61" t="s">
        <v>196</v>
      </c>
      <c r="AJ11" s="10">
        <f>_xlfn.IFNA(IF($E11="Robot",VLOOKUP(AH11,[1]Weapon!$B$1:$G$299,6,FALSE)/2,VLOOKUP(AH11,[1]Weapon!$B$1:$G$299,6,FALSE)),0)</f>
        <v>-2</v>
      </c>
      <c r="AM11" s="10">
        <f>_xlfn.IFNA(IF($E11="Robot",VLOOKUP(AK11,[1]Weapon!$B$1:$G$299,6,FALSE)/2,VLOOKUP(AK11,[1]Weapon!$B$1:$G$299,6,FALSE)),0)</f>
        <v>0</v>
      </c>
      <c r="AO11" s="10">
        <v>0</v>
      </c>
      <c r="AP11" s="55">
        <f>_xlfn.IFNA(IF($E11="Robot",VLOOKUP(AN11,[1]Weapon!$B$1:$G$299,6,FALSE)/2,VLOOKUP(AN11,[1]Weapon!$B$1:$G$299,6,FALSE)),0)</f>
        <v>0</v>
      </c>
      <c r="AS11" s="1">
        <v>0</v>
      </c>
    </row>
    <row r="12" spans="1:46" x14ac:dyDescent="0.25">
      <c r="A12" s="1" t="str">
        <f t="shared" si="0"/>
        <v>Jack</v>
      </c>
      <c r="B12" s="57" t="s">
        <v>112</v>
      </c>
      <c r="C12" s="26"/>
      <c r="D12" s="57" t="s">
        <v>89</v>
      </c>
      <c r="E12" s="28" t="s">
        <v>61</v>
      </c>
      <c r="F12" s="25">
        <v>408</v>
      </c>
      <c r="G12" s="3">
        <v>408</v>
      </c>
      <c r="H12" s="6">
        <v>30</v>
      </c>
      <c r="I12" s="9">
        <f t="shared" si="1"/>
        <v>30</v>
      </c>
      <c r="J12" s="8"/>
      <c r="K12" s="3">
        <f>J12+_xlfn.IFNA(VLOOKUP($P12,[1]Weapon!$A$1:$M$300,9,FALSE),0)+_xlfn.IFNA(VLOOKUP($S12,[1]Weapon!$A$1:$M$300,9,FALSE),0)+_xlfn.IFNA(VLOOKUP($V12,[1]Weapon!$A$1:$M$300,9,FALSE),0)+_xlfn.IFNA(VLOOKUP($Y12,[1]Weapon!$A$1:$M$300,9,FALSE),0)+_xlfn.IFNA(VLOOKUP($AB12,[1]Weapon!$A$1:$M$300,9,FALSE),0)+_xlfn.IFNA(VLOOKUP($AE12,[1]Weapon!$A$1:$M$300,9,FALSE),0)+_xlfn.IFNA(VLOOKUP($AH12,[1]Weapon!$A$1:$M$300,9,FALSE),0)+_xlfn.IFNA(VLOOKUP($AK12,[1]Weapon!$A$1:$M$300,9,FALSE),0)</f>
        <v>22</v>
      </c>
      <c r="L12" s="6">
        <v>33</v>
      </c>
      <c r="M12" s="9">
        <f t="shared" si="3"/>
        <v>33</v>
      </c>
      <c r="N12" s="8">
        <v>54</v>
      </c>
      <c r="O12" s="3">
        <f t="shared" si="2"/>
        <v>54</v>
      </c>
      <c r="P12" s="60" t="s">
        <v>169</v>
      </c>
      <c r="Q12" s="16">
        <v>40</v>
      </c>
      <c r="R12" s="10">
        <f>_xlfn.IFNA(IF($E12="Robot",VLOOKUP(P12,[1]Weapon!$B$1:$G$299,6,FALSE)/2,VLOOKUP(P12,[1]Weapon!$B$1:$G$299,6,FALSE)),0)</f>
        <v>40</v>
      </c>
      <c r="S12" s="60" t="s">
        <v>160</v>
      </c>
      <c r="T12" s="16">
        <v>15</v>
      </c>
      <c r="U12" s="10">
        <f>_xlfn.IFNA(IF($E12="Robot",VLOOKUP(S12,[1]Weapon!$B$1:$G$299,6,FALSE)/2,VLOOKUP(S12,[1]Weapon!$B$1:$G$299,6,FALSE)),0)</f>
        <v>15</v>
      </c>
      <c r="V12" s="60" t="s">
        <v>175</v>
      </c>
      <c r="W12" s="20">
        <v>2</v>
      </c>
      <c r="X12" s="10">
        <f>_xlfn.IFNA(IF($E12="Robot",VLOOKUP(V12,[1]Weapon!$B$1:$G$299,6,FALSE)/2,VLOOKUP(V12,[1]Weapon!$B$1:$G$299,6,FALSE)),0)</f>
        <v>15</v>
      </c>
      <c r="Y12" s="61" t="s">
        <v>167</v>
      </c>
      <c r="Z12" s="20">
        <v>15</v>
      </c>
      <c r="AA12" s="10">
        <f>_xlfn.IFNA(IF($E12="Robot",VLOOKUP(Y12,[1]Weapon!$B$1:$G$299,6,FALSE)/2,VLOOKUP(Y12,[1]Weapon!$B$1:$G$299,6,FALSE)),0)</f>
        <v>15</v>
      </c>
      <c r="AB12" s="60" t="s">
        <v>134</v>
      </c>
      <c r="AD12" s="10">
        <f>_xlfn.IFNA(IF($E12="Robot",VLOOKUP(AB12,[1]Weapon!$B$1:$G$299,6,FALSE)/2,VLOOKUP(AB12,[1]Weapon!$B$1:$G$299,6,FALSE)),0)</f>
        <v>-2</v>
      </c>
      <c r="AE12" s="60" t="s">
        <v>130</v>
      </c>
      <c r="AG12" s="10">
        <f>_xlfn.IFNA(IF($E12="Robot",VLOOKUP(AE12,[1]Weapon!$B$1:$G$299,6,FALSE)/2,VLOOKUP(AE12,[1]Weapon!$B$1:$G$299,6,FALSE)),0)</f>
        <v>-2</v>
      </c>
      <c r="AH12" s="61" t="s">
        <v>196</v>
      </c>
      <c r="AJ12" s="10">
        <f>_xlfn.IFNA(IF($E12="Robot",VLOOKUP(AH12,[1]Weapon!$B$1:$G$299,6,FALSE)/2,VLOOKUP(AH12,[1]Weapon!$B$1:$G$299,6,FALSE)),0)</f>
        <v>-2</v>
      </c>
      <c r="AM12" s="10">
        <f>_xlfn.IFNA(IF($E12="Robot",VLOOKUP(AK12,[1]Weapon!$B$1:$G$299,6,FALSE)/2,VLOOKUP(AK12,[1]Weapon!$B$1:$G$299,6,FALSE)),0)</f>
        <v>0</v>
      </c>
      <c r="AO12" s="10">
        <v>0</v>
      </c>
      <c r="AP12" s="55">
        <f>_xlfn.IFNA(IF($E12="Robot",VLOOKUP(AN12,[1]Weapon!$B$1:$G$299,6,FALSE)/2,VLOOKUP(AN12,[1]Weapon!$B$1:$G$299,6,FALSE)),0)</f>
        <v>0</v>
      </c>
      <c r="AS12" s="1">
        <v>0</v>
      </c>
    </row>
    <row r="13" spans="1:46" x14ac:dyDescent="0.25">
      <c r="A13" s="1" t="str">
        <f t="shared" si="0"/>
        <v>Kojak</v>
      </c>
      <c r="B13" s="57" t="s">
        <v>113</v>
      </c>
      <c r="C13" s="26"/>
      <c r="D13" s="57" t="s">
        <v>114</v>
      </c>
      <c r="E13" s="28" t="s">
        <v>61</v>
      </c>
      <c r="F13" s="5">
        <v>577</v>
      </c>
      <c r="G13" s="3">
        <v>577</v>
      </c>
      <c r="H13" s="6">
        <v>28</v>
      </c>
      <c r="I13" s="9">
        <f t="shared" si="1"/>
        <v>28</v>
      </c>
      <c r="J13" s="8"/>
      <c r="K13" s="3">
        <f>J13+_xlfn.IFNA(VLOOKUP($P13,[1]Weapon!$A$1:$M$300,9,FALSE),0)+_xlfn.IFNA(VLOOKUP($S13,[1]Weapon!$A$1:$M$300,9,FALSE),0)+_xlfn.IFNA(VLOOKUP($V13,[1]Weapon!$A$1:$M$300,9,FALSE),0)+_xlfn.IFNA(VLOOKUP($Y13,[1]Weapon!$A$1:$M$300,9,FALSE),0)+_xlfn.IFNA(VLOOKUP($AB13,[1]Weapon!$A$1:$M$300,9,FALSE),0)+_xlfn.IFNA(VLOOKUP($AE13,[1]Weapon!$A$1:$M$300,9,FALSE),0)+_xlfn.IFNA(VLOOKUP($AH13,[1]Weapon!$A$1:$M$300,9,FALSE),0)+_xlfn.IFNA(VLOOKUP($AK13,[1]Weapon!$A$1:$M$300,9,FALSE),0)</f>
        <v>32</v>
      </c>
      <c r="L13" s="6">
        <v>45</v>
      </c>
      <c r="M13" s="9">
        <f t="shared" si="3"/>
        <v>45</v>
      </c>
      <c r="N13" s="8">
        <v>32</v>
      </c>
      <c r="O13" s="3">
        <f t="shared" si="2"/>
        <v>32</v>
      </c>
      <c r="P13" s="61" t="s">
        <v>146</v>
      </c>
      <c r="Q13" s="10">
        <v>50</v>
      </c>
      <c r="R13" s="10">
        <f>_xlfn.IFNA(IF($E13="Robot",VLOOKUP(P13,[1]Weapon!$B$1:$G$299,6,FALSE)/2,VLOOKUP(P13,[1]Weapon!$B$1:$G$299,6,FALSE)),0)</f>
        <v>50</v>
      </c>
      <c r="S13" s="61" t="s">
        <v>202</v>
      </c>
      <c r="T13" s="10">
        <v>30</v>
      </c>
      <c r="U13" s="10">
        <f>_xlfn.IFNA(IF($E13="Robot",VLOOKUP(S13,[1]Weapon!$B$1:$G$299,6,FALSE)/2,VLOOKUP(S13,[1]Weapon!$B$1:$G$299,6,FALSE)),0)</f>
        <v>30</v>
      </c>
      <c r="V13" s="61" t="s">
        <v>199</v>
      </c>
      <c r="W13" s="10">
        <v>30</v>
      </c>
      <c r="X13" s="10">
        <f>_xlfn.IFNA(IF($E13="Robot",VLOOKUP(V13,[1]Weapon!$B$1:$G$299,6,FALSE)/2,VLOOKUP(V13,[1]Weapon!$B$1:$G$299,6,FALSE)),0)</f>
        <v>30</v>
      </c>
      <c r="Y13" s="60" t="s">
        <v>189</v>
      </c>
      <c r="Z13" s="10">
        <v>4</v>
      </c>
      <c r="AA13" s="10">
        <f>_xlfn.IFNA(IF($E13="Robot",VLOOKUP(Y13,[1]Weapon!$B$1:$G$299,6,FALSE)/2,VLOOKUP(Y13,[1]Weapon!$B$1:$G$299,6,FALSE)),0)</f>
        <v>4</v>
      </c>
      <c r="AB13" s="60" t="s">
        <v>136</v>
      </c>
      <c r="AD13" s="10">
        <f>_xlfn.IFNA(IF($E13="Robot",VLOOKUP(AB13,[1]Weapon!$B$1:$G$299,6,FALSE)/2,VLOOKUP(AB13,[1]Weapon!$B$1:$G$299,6,FALSE)),0)</f>
        <v>-2</v>
      </c>
      <c r="AE13" s="60" t="s">
        <v>130</v>
      </c>
      <c r="AG13" s="10">
        <f>_xlfn.IFNA(IF($E13="Robot",VLOOKUP(AE13,[1]Weapon!$B$1:$G$299,6,FALSE)/2,VLOOKUP(AE13,[1]Weapon!$B$1:$G$299,6,FALSE)),0)</f>
        <v>-2</v>
      </c>
      <c r="AH13" s="60" t="s">
        <v>150</v>
      </c>
      <c r="AJ13" s="10">
        <f>_xlfn.IFNA(IF($E13="Robot",VLOOKUP(AH13,[1]Weapon!$B$1:$G$299,6,FALSE)/2,VLOOKUP(AH13,[1]Weapon!$B$1:$G$299,6,FALSE)),0)</f>
        <v>-2</v>
      </c>
      <c r="AK13" s="50"/>
      <c r="AM13" s="10">
        <f>_xlfn.IFNA(IF($E13="Robot",VLOOKUP(AK13,[1]Weapon!$B$1:$G$299,6,FALSE)/2,VLOOKUP(AK13,[1]Weapon!$B$1:$G$299,6,FALSE)),0)</f>
        <v>0</v>
      </c>
      <c r="AO13" s="10">
        <v>0</v>
      </c>
      <c r="AP13" s="55">
        <f>_xlfn.IFNA(IF($E13="Robot",VLOOKUP(AN13,[1]Weapon!$B$1:$G$299,6,FALSE)/2,VLOOKUP(AN13,[1]Weapon!$B$1:$G$299,6,FALSE)),0)</f>
        <v>0</v>
      </c>
      <c r="AS13" s="1">
        <v>0</v>
      </c>
    </row>
    <row r="14" spans="1:46" x14ac:dyDescent="0.25">
      <c r="A14" s="1" t="str">
        <f t="shared" si="0"/>
        <v>Romulus</v>
      </c>
      <c r="B14" s="57" t="s">
        <v>115</v>
      </c>
      <c r="C14" s="26"/>
      <c r="D14" s="57" t="s">
        <v>116</v>
      </c>
      <c r="E14" s="28" t="s">
        <v>61</v>
      </c>
      <c r="F14" s="7">
        <v>476</v>
      </c>
      <c r="G14" s="3">
        <v>476</v>
      </c>
      <c r="H14" s="6">
        <v>18</v>
      </c>
      <c r="I14" s="9">
        <f t="shared" si="1"/>
        <v>18</v>
      </c>
      <c r="J14" s="8"/>
      <c r="K14" s="3">
        <f>J14+_xlfn.IFNA(VLOOKUP($P14,[1]Weapon!$A$1:$M$300,9,FALSE),0)+_xlfn.IFNA(VLOOKUP($S14,[1]Weapon!$A$1:$M$300,9,FALSE),0)+_xlfn.IFNA(VLOOKUP($V14,[1]Weapon!$A$1:$M$300,9,FALSE),0)+_xlfn.IFNA(VLOOKUP($Y14,[1]Weapon!$A$1:$M$300,9,FALSE),0)+_xlfn.IFNA(VLOOKUP($AB14,[1]Weapon!$A$1:$M$300,9,FALSE),0)+_xlfn.IFNA(VLOOKUP($AE14,[1]Weapon!$A$1:$M$300,9,FALSE),0)+_xlfn.IFNA(VLOOKUP($AH14,[1]Weapon!$A$1:$M$300,9,FALSE),0)+_xlfn.IFNA(VLOOKUP($AK14,[1]Weapon!$A$1:$M$300,9,FALSE),0)</f>
        <v>28</v>
      </c>
      <c r="L14" s="6">
        <v>23</v>
      </c>
      <c r="M14" s="9">
        <f t="shared" si="3"/>
        <v>23</v>
      </c>
      <c r="N14" s="8">
        <v>49</v>
      </c>
      <c r="O14" s="3">
        <f>N14</f>
        <v>49</v>
      </c>
      <c r="P14" s="60" t="s">
        <v>156</v>
      </c>
      <c r="Q14" s="10">
        <v>15</v>
      </c>
      <c r="R14" s="10">
        <f>_xlfn.IFNA(IF($E14="Robot",VLOOKUP(P14,[1]Weapon!$B$1:$G$299,6,FALSE)/2,VLOOKUP(P14,[1]Weapon!$B$1:$G$299,6,FALSE)),0)</f>
        <v>15</v>
      </c>
      <c r="S14" s="60" t="s">
        <v>161</v>
      </c>
      <c r="T14" s="10">
        <v>1</v>
      </c>
      <c r="U14" s="10">
        <f>_xlfn.IFNA(IF($E14="Robot",VLOOKUP(S14,[1]Weapon!$B$1:$G$299,6,FALSE)/2,VLOOKUP(S14,[1]Weapon!$B$1:$G$299,6,FALSE)),0)</f>
        <v>5</v>
      </c>
      <c r="V14" s="60" t="s">
        <v>162</v>
      </c>
      <c r="W14" s="10">
        <v>15</v>
      </c>
      <c r="X14" s="10">
        <f>_xlfn.IFNA(IF($E14="Robot",VLOOKUP(V14,[1]Weapon!$B$1:$G$299,6,FALSE)/2,VLOOKUP(V14,[1]Weapon!$B$1:$G$299,6,FALSE)),0)</f>
        <v>15</v>
      </c>
      <c r="Y14" s="61" t="s">
        <v>207</v>
      </c>
      <c r="Z14" s="10">
        <v>15</v>
      </c>
      <c r="AA14" s="10">
        <f>_xlfn.IFNA(IF($E14="Robot",VLOOKUP(Y14,[1]Weapon!$B$1:$G$299,6,FALSE)/2,VLOOKUP(Y14,[1]Weapon!$B$1:$G$299,6,FALSE)),0)</f>
        <v>15</v>
      </c>
      <c r="AB14" s="60" t="s">
        <v>135</v>
      </c>
      <c r="AD14" s="10">
        <f>_xlfn.IFNA(IF($E14="Robot",VLOOKUP(AB14,[1]Weapon!$B$1:$G$299,6,FALSE)/2,VLOOKUP(AB14,[1]Weapon!$B$1:$G$299,6,FALSE)),0)</f>
        <v>-2</v>
      </c>
      <c r="AE14" s="60" t="s">
        <v>144</v>
      </c>
      <c r="AG14" s="10">
        <f>_xlfn.IFNA(IF($E14="Robot",VLOOKUP(AE14,[1]Weapon!$B$1:$G$299,6,FALSE)/2,VLOOKUP(AE14,[1]Weapon!$B$1:$G$299,6,FALSE)),0)</f>
        <v>-2</v>
      </c>
      <c r="AH14" s="61" t="s">
        <v>196</v>
      </c>
      <c r="AJ14" s="10">
        <f>_xlfn.IFNA(IF($E14="Robot",VLOOKUP(AH14,[1]Weapon!$B$1:$G$299,6,FALSE)/2,VLOOKUP(AH14,[1]Weapon!$B$1:$G$299,6,FALSE)),0)</f>
        <v>-2</v>
      </c>
      <c r="AM14" s="10">
        <f>_xlfn.IFNA(IF($E14="Robot",VLOOKUP(AK14,[1]Weapon!$B$1:$G$299,6,FALSE)/2,VLOOKUP(AK14,[1]Weapon!$B$1:$G$299,6,FALSE)),0)</f>
        <v>0</v>
      </c>
      <c r="AO14" s="10">
        <v>0</v>
      </c>
      <c r="AP14" s="55">
        <f>_xlfn.IFNA(IF($E14="Robot",VLOOKUP(AN14,[1]Weapon!$B$1:$G$299,6,FALSE)/2,VLOOKUP(AN14,[1]Weapon!$B$1:$G$299,6,FALSE)),0)</f>
        <v>0</v>
      </c>
      <c r="AS14" s="1">
        <v>0</v>
      </c>
    </row>
    <row r="15" spans="1:46" x14ac:dyDescent="0.25">
      <c r="A15" s="1" t="str">
        <f t="shared" si="0"/>
        <v>Bubble</v>
      </c>
      <c r="B15" s="57" t="s">
        <v>77</v>
      </c>
      <c r="C15" s="26"/>
      <c r="D15" s="57" t="s">
        <v>79</v>
      </c>
      <c r="E15" s="28" t="s">
        <v>61</v>
      </c>
      <c r="F15" s="25">
        <v>524</v>
      </c>
      <c r="G15" s="3">
        <v>524</v>
      </c>
      <c r="H15" s="6">
        <v>28</v>
      </c>
      <c r="I15" s="9">
        <f t="shared" si="1"/>
        <v>28</v>
      </c>
      <c r="J15" s="8"/>
      <c r="K15" s="3">
        <f>J15+_xlfn.IFNA(VLOOKUP($P15,[1]Weapon!$A$1:$M$300,9,FALSE),0)+_xlfn.IFNA(VLOOKUP($S15,[1]Weapon!$A$1:$M$300,9,FALSE),0)+_xlfn.IFNA(VLOOKUP($V15,[1]Weapon!$A$1:$M$300,9,FALSE),0)+_xlfn.IFNA(VLOOKUP($Y15,[1]Weapon!$A$1:$M$300,9,FALSE),0)+_xlfn.IFNA(VLOOKUP($AB15,[1]Weapon!$A$1:$M$300,9,FALSE),0)+_xlfn.IFNA(VLOOKUP($AE15,[1]Weapon!$A$1:$M$300,9,FALSE),0)+_xlfn.IFNA(VLOOKUP($AH15,[1]Weapon!$A$1:$M$300,9,FALSE),0)+_xlfn.IFNA(VLOOKUP($AK15,[1]Weapon!$A$1:$M$300,9,FALSE),0)</f>
        <v>21</v>
      </c>
      <c r="L15" s="6">
        <v>37</v>
      </c>
      <c r="M15" s="9">
        <f t="shared" si="3"/>
        <v>37</v>
      </c>
      <c r="N15" s="8">
        <v>18</v>
      </c>
      <c r="O15" s="3">
        <f t="shared" si="2"/>
        <v>18</v>
      </c>
      <c r="P15" s="60" t="s">
        <v>152</v>
      </c>
      <c r="Q15" s="10">
        <v>32</v>
      </c>
      <c r="R15" s="10">
        <f>_xlfn.IFNA(IF($E15="Robot",VLOOKUP(P15,[1]Weapon!$B$1:$G$299,6,FALSE)/2,VLOOKUP(P15,[1]Weapon!$B$1:$G$299,6,FALSE)),0)</f>
        <v>40</v>
      </c>
      <c r="S15" s="60" t="s">
        <v>153</v>
      </c>
      <c r="T15" s="10">
        <v>20</v>
      </c>
      <c r="U15" s="10">
        <f>_xlfn.IFNA(IF($E15="Robot",VLOOKUP(S15,[1]Weapon!$B$1:$G$299,6,FALSE)/2,VLOOKUP(S15,[1]Weapon!$B$1:$G$299,6,FALSE)),0)</f>
        <v>40</v>
      </c>
      <c r="V15" s="60" t="s">
        <v>154</v>
      </c>
      <c r="W15" s="10">
        <v>25</v>
      </c>
      <c r="X15" s="10">
        <f>_xlfn.IFNA(IF($E15="Robot",VLOOKUP(V15,[1]Weapon!$B$1:$G$299,6,FALSE)/2,VLOOKUP(V15,[1]Weapon!$B$1:$G$299,6,FALSE)),0)</f>
        <v>50</v>
      </c>
      <c r="Y15" s="61" t="s">
        <v>189</v>
      </c>
      <c r="Z15" s="10">
        <v>4</v>
      </c>
      <c r="AA15" s="10">
        <f>_xlfn.IFNA(IF($E15="Robot",VLOOKUP(Y15,[1]Weapon!$B$1:$G$299,6,FALSE)/2,VLOOKUP(Y15,[1]Weapon!$B$1:$G$299,6,FALSE)),0)</f>
        <v>4</v>
      </c>
      <c r="AB15" s="60" t="s">
        <v>134</v>
      </c>
      <c r="AD15" s="10">
        <f>_xlfn.IFNA(IF($E15="Robot",VLOOKUP(AB15,[1]Weapon!$B$1:$G$299,6,FALSE)/2,VLOOKUP(AB15,[1]Weapon!$B$1:$G$299,6,FALSE)),0)</f>
        <v>-2</v>
      </c>
      <c r="AE15" s="60" t="s">
        <v>130</v>
      </c>
      <c r="AG15" s="10">
        <f>_xlfn.IFNA(IF($E15="Robot",VLOOKUP(AE15,[1]Weapon!$B$1:$G$299,6,FALSE)/2,VLOOKUP(AE15,[1]Weapon!$B$1:$G$299,6,FALSE)),0)</f>
        <v>-2</v>
      </c>
      <c r="AH15" s="60" t="s">
        <v>131</v>
      </c>
      <c r="AJ15" s="10">
        <f>_xlfn.IFNA(IF($E15="Robot",VLOOKUP(AH15,[1]Weapon!$B$1:$G$299,6,FALSE)/2,VLOOKUP(AH15,[1]Weapon!$B$1:$G$299,6,FALSE)),0)</f>
        <v>-2</v>
      </c>
      <c r="AM15" s="10">
        <f>_xlfn.IFNA(IF($E15="Robot",VLOOKUP(AK15,[1]Weapon!$B$1:$G$299,6,FALSE)/2,VLOOKUP(AK15,[1]Weapon!$B$1:$G$299,6,FALSE)),0)</f>
        <v>0</v>
      </c>
      <c r="AO15" s="10">
        <v>0</v>
      </c>
      <c r="AP15" s="55">
        <f>_xlfn.IFNA(IF($E15="Robot",VLOOKUP(AN15,[1]Weapon!$B$1:$G$299,6,FALSE)/2,VLOOKUP(AN15,[1]Weapon!$B$1:$G$299,6,FALSE)),0)</f>
        <v>0</v>
      </c>
      <c r="AR15" s="33"/>
      <c r="AS15" s="1">
        <v>0</v>
      </c>
    </row>
    <row r="16" spans="1:46" x14ac:dyDescent="0.25">
      <c r="A16" s="1" t="str">
        <f t="shared" si="0"/>
        <v>Keelan</v>
      </c>
      <c r="B16" s="57" t="s">
        <v>117</v>
      </c>
      <c r="C16" s="29"/>
      <c r="D16" s="57" t="s">
        <v>85</v>
      </c>
      <c r="E16" s="28" t="s">
        <v>61</v>
      </c>
      <c r="F16" s="25">
        <v>346</v>
      </c>
      <c r="G16" s="3">
        <v>346</v>
      </c>
      <c r="H16" s="6">
        <v>24</v>
      </c>
      <c r="I16" s="9">
        <f t="shared" si="1"/>
        <v>24</v>
      </c>
      <c r="J16" s="8"/>
      <c r="K16" s="3">
        <f>J16+_xlfn.IFNA(VLOOKUP($P16,[1]Weapon!$A$1:$M$300,9,FALSE),0)+_xlfn.IFNA(VLOOKUP($S16,[1]Weapon!$A$1:$M$300,9,FALSE),0)+_xlfn.IFNA(VLOOKUP($V16,[1]Weapon!$A$1:$M$300,9,FALSE),0)+_xlfn.IFNA(VLOOKUP($Y16,[1]Weapon!$A$1:$M$300,9,FALSE),0)+_xlfn.IFNA(VLOOKUP($AB16,[1]Weapon!$A$1:$M$300,9,FALSE),0)+_xlfn.IFNA(VLOOKUP($AE16,[1]Weapon!$A$1:$M$300,9,FALSE),0)+_xlfn.IFNA(VLOOKUP($AH16,[1]Weapon!$A$1:$M$300,9,FALSE),0)+_xlfn.IFNA(VLOOKUP($AK16,[1]Weapon!$A$1:$M$300,9,FALSE),0)</f>
        <v>20</v>
      </c>
      <c r="L16" s="6">
        <v>36</v>
      </c>
      <c r="M16" s="9">
        <f t="shared" si="3"/>
        <v>36</v>
      </c>
      <c r="N16" s="8">
        <v>51</v>
      </c>
      <c r="O16" s="3">
        <f t="shared" si="2"/>
        <v>51</v>
      </c>
      <c r="P16" s="61" t="s">
        <v>203</v>
      </c>
      <c r="Q16" s="10">
        <v>40</v>
      </c>
      <c r="R16" s="10">
        <f>_xlfn.IFNA(IF($E16="Robot",VLOOKUP(P16,[1]Weapon!$B$1:$G$299,6,FALSE)/2,VLOOKUP(P16,[1]Weapon!$B$1:$G$299,6,FALSE)),0)</f>
        <v>40</v>
      </c>
      <c r="S16" s="60" t="s">
        <v>178</v>
      </c>
      <c r="T16" s="10">
        <v>15</v>
      </c>
      <c r="U16" s="10">
        <f>_xlfn.IFNA(IF($E16="Robot",VLOOKUP(S16,[1]Weapon!$B$1:$G$299,6,FALSE)/2,VLOOKUP(S16,[1]Weapon!$B$1:$G$299,6,FALSE)),0)</f>
        <v>15</v>
      </c>
      <c r="V16" s="61" t="s">
        <v>208</v>
      </c>
      <c r="W16" s="21">
        <v>15</v>
      </c>
      <c r="X16" s="10">
        <f>_xlfn.IFNA(IF($E16="Robot",VLOOKUP(V16,[1]Weapon!$B$1:$G$299,6,FALSE)/2,VLOOKUP(V16,[1]Weapon!$B$1:$G$299,6,FALSE)),0)</f>
        <v>15</v>
      </c>
      <c r="Y16" s="61" t="s">
        <v>167</v>
      </c>
      <c r="Z16" s="10">
        <v>15</v>
      </c>
      <c r="AA16" s="10">
        <f>_xlfn.IFNA(IF($E16="Robot",VLOOKUP(Y16,[1]Weapon!$B$1:$G$299,6,FALSE)/2,VLOOKUP(Y16,[1]Weapon!$B$1:$G$299,6,FALSE)),0)</f>
        <v>15</v>
      </c>
      <c r="AB16" s="60" t="s">
        <v>134</v>
      </c>
      <c r="AD16" s="10">
        <f>_xlfn.IFNA(IF($E16="Robot",VLOOKUP(AB16,[1]Weapon!$B$1:$G$299,6,FALSE)/2,VLOOKUP(AB16,[1]Weapon!$B$1:$G$299,6,FALSE)),0)</f>
        <v>-2</v>
      </c>
      <c r="AE16" s="60" t="s">
        <v>132</v>
      </c>
      <c r="AG16" s="10">
        <f>_xlfn.IFNA(IF($E16="Robot",VLOOKUP(AE16,[1]Weapon!$B$1:$G$299,6,FALSE)/2,VLOOKUP(AE16,[1]Weapon!$B$1:$G$299,6,FALSE)),0)</f>
        <v>-2</v>
      </c>
      <c r="AH16" s="61" t="s">
        <v>195</v>
      </c>
      <c r="AJ16" s="10">
        <f>_xlfn.IFNA(IF($E16="Robot",VLOOKUP(AH16,[1]Weapon!$B$1:$G$299,6,FALSE)/2,VLOOKUP(AH16,[1]Weapon!$B$1:$G$299,6,FALSE)),0)</f>
        <v>-2</v>
      </c>
      <c r="AK16" s="48" t="str">
        <f>IF(ISBLANK(VLOOKUP($E16,[1]Monster!$A$2:$X$257,23,FALSE)),"",VLOOKUP($E16,[1]Monster!$A$2:$X$257,23,FALSE))</f>
        <v/>
      </c>
      <c r="AM16" s="10">
        <f>_xlfn.IFNA(IF($E16="Robot",VLOOKUP(AK16,[1]Weapon!$B$1:$G$299,6,FALSE)/2,VLOOKUP(AK16,[1]Weapon!$B$1:$G$299,6,FALSE)),0)</f>
        <v>0</v>
      </c>
      <c r="AO16" s="10">
        <v>0</v>
      </c>
      <c r="AP16" s="55">
        <f>_xlfn.IFNA(IF($E16="Robot",VLOOKUP(AN16,[1]Weapon!$B$1:$G$299,6,FALSE)/2,VLOOKUP(AN16,[1]Weapon!$B$1:$G$299,6,FALSE)),0)</f>
        <v>0</v>
      </c>
      <c r="AS16" s="1">
        <v>0</v>
      </c>
    </row>
    <row r="17" spans="1:45" x14ac:dyDescent="0.25">
      <c r="A17" s="1" t="str">
        <f t="shared" ref="A17:A23" si="4">B17</f>
        <v>Nielic</v>
      </c>
      <c r="B17" s="57" t="s">
        <v>118</v>
      </c>
      <c r="C17" s="26"/>
      <c r="D17" s="57" t="s">
        <v>119</v>
      </c>
      <c r="E17" s="28" t="s">
        <v>61</v>
      </c>
      <c r="F17" s="25">
        <v>576</v>
      </c>
      <c r="G17" s="3">
        <v>576</v>
      </c>
      <c r="H17" s="6">
        <v>40</v>
      </c>
      <c r="I17" s="9">
        <f t="shared" si="1"/>
        <v>40</v>
      </c>
      <c r="J17" s="8"/>
      <c r="K17" s="3">
        <f>J17+_xlfn.IFNA(VLOOKUP($P17,[1]Weapon!$A$1:$M$300,9,FALSE),0)+_xlfn.IFNA(VLOOKUP($S17,[1]Weapon!$A$1:$M$300,9,FALSE),0)+_xlfn.IFNA(VLOOKUP($V17,[1]Weapon!$A$1:$M$300,9,FALSE),0)+_xlfn.IFNA(VLOOKUP($Y17,[1]Weapon!$A$1:$M$300,9,FALSE),0)+_xlfn.IFNA(VLOOKUP($AB17,[1]Weapon!$A$1:$M$300,9,FALSE),0)+_xlfn.IFNA(VLOOKUP($AE17,[1]Weapon!$A$1:$M$300,9,FALSE),0)+_xlfn.IFNA(VLOOKUP($AH17,[1]Weapon!$A$1:$M$300,9,FALSE),0)+_xlfn.IFNA(VLOOKUP($AK17,[1]Weapon!$A$1:$M$300,9,FALSE),0)</f>
        <v>32</v>
      </c>
      <c r="L17" s="6">
        <v>34</v>
      </c>
      <c r="M17" s="9">
        <f t="shared" si="3"/>
        <v>34</v>
      </c>
      <c r="N17" s="8">
        <v>39</v>
      </c>
      <c r="O17" s="3">
        <f t="shared" si="2"/>
        <v>39</v>
      </c>
      <c r="P17" s="62" t="s">
        <v>268</v>
      </c>
      <c r="Q17" s="10">
        <v>40</v>
      </c>
      <c r="R17" s="10">
        <f>_xlfn.IFNA(IF($E17="Robot",VLOOKUP(P17,[1]Weapon!$B$1:$G$299,6,FALSE)/2,VLOOKUP(P17,[1]Weapon!$B$1:$G$299,6,FALSE)),0)</f>
        <v>40</v>
      </c>
      <c r="S17" s="60" t="s">
        <v>142</v>
      </c>
      <c r="T17" s="10">
        <v>50</v>
      </c>
      <c r="U17" s="10">
        <f>_xlfn.IFNA(IF($E17="Robot",VLOOKUP(S17,[1]Weapon!$B$1:$G$299,6,FALSE)/2,VLOOKUP(S17,[1]Weapon!$B$1:$G$299,6,FALSE)),0)</f>
        <v>50</v>
      </c>
      <c r="V17" s="61" t="s">
        <v>167</v>
      </c>
      <c r="W17" s="10">
        <v>15</v>
      </c>
      <c r="X17" s="10">
        <f>_xlfn.IFNA(IF($E17="Robot",VLOOKUP(V17,[1]Weapon!$B$1:$G$299,6,FALSE)/2,VLOOKUP(V17,[1]Weapon!$B$1:$G$299,6,FALSE)),0)</f>
        <v>15</v>
      </c>
      <c r="Y17" s="61" t="s">
        <v>209</v>
      </c>
      <c r="Z17" s="10">
        <v>30</v>
      </c>
      <c r="AA17" s="10">
        <f>_xlfn.IFNA(IF($E17="Robot",VLOOKUP(Y17,[1]Weapon!$B$1:$G$299,6,FALSE)/2,VLOOKUP(Y17,[1]Weapon!$B$1:$G$299,6,FALSE)),0)</f>
        <v>30</v>
      </c>
      <c r="AB17" s="60" t="s">
        <v>145</v>
      </c>
      <c r="AD17" s="10">
        <f>_xlfn.IFNA(IF($E17="Robot",VLOOKUP(AB17,[1]Weapon!$B$1:$G$299,6,FALSE)/2,VLOOKUP(AB17,[1]Weapon!$B$1:$G$299,6,FALSE)),0)</f>
        <v>-2</v>
      </c>
      <c r="AE17" s="60" t="s">
        <v>130</v>
      </c>
      <c r="AG17" s="10">
        <f>_xlfn.IFNA(IF($E17="Robot",VLOOKUP(AE17,[1]Weapon!$B$1:$G$299,6,FALSE)/2,VLOOKUP(AE17,[1]Weapon!$B$1:$G$299,6,FALSE)),0)</f>
        <v>-2</v>
      </c>
      <c r="AH17" s="60" t="s">
        <v>150</v>
      </c>
      <c r="AJ17" s="10">
        <f>_xlfn.IFNA(IF($E17="Robot",VLOOKUP(AH17,[1]Weapon!$B$1:$G$299,6,FALSE)/2,VLOOKUP(AH17,[1]Weapon!$B$1:$G$299,6,FALSE)),0)</f>
        <v>-2</v>
      </c>
      <c r="AM17" s="10">
        <f>_xlfn.IFNA(IF($E17="Robot",VLOOKUP(AK17,[1]Weapon!$B$1:$G$299,6,FALSE)/2,VLOOKUP(AK17,[1]Weapon!$B$1:$G$299,6,FALSE)),0)</f>
        <v>0</v>
      </c>
      <c r="AO17" s="10">
        <v>0</v>
      </c>
      <c r="AP17" s="55">
        <f>_xlfn.IFNA(IF($E17="Robot",VLOOKUP(AN17,[1]Weapon!$B$1:$G$299,6,FALSE)/2,VLOOKUP(AN17,[1]Weapon!$B$1:$G$299,6,FALSE)),0)</f>
        <v>0</v>
      </c>
      <c r="AR17" s="33"/>
      <c r="AS17" s="1">
        <v>0</v>
      </c>
    </row>
    <row r="18" spans="1:45" x14ac:dyDescent="0.25">
      <c r="A18" s="1" t="str">
        <f t="shared" si="4"/>
        <v>Waylon</v>
      </c>
      <c r="B18" s="57" t="s">
        <v>120</v>
      </c>
      <c r="C18" s="26"/>
      <c r="D18" s="57" t="s">
        <v>121</v>
      </c>
      <c r="E18" s="28" t="s">
        <v>61</v>
      </c>
      <c r="F18" s="25">
        <v>589</v>
      </c>
      <c r="G18" s="3">
        <v>589</v>
      </c>
      <c r="H18" s="6">
        <v>49</v>
      </c>
      <c r="I18" s="9">
        <f t="shared" si="1"/>
        <v>49</v>
      </c>
      <c r="J18" s="8"/>
      <c r="K18" s="3">
        <f>J18+_xlfn.IFNA(VLOOKUP($P18,[1]Weapon!$A$1:$M$300,9,FALSE),0)+_xlfn.IFNA(VLOOKUP($S18,[1]Weapon!$A$1:$M$300,9,FALSE),0)+_xlfn.IFNA(VLOOKUP($V18,[1]Weapon!$A$1:$M$300,9,FALSE),0)+_xlfn.IFNA(VLOOKUP($Y18,[1]Weapon!$A$1:$M$300,9,FALSE),0)+_xlfn.IFNA(VLOOKUP($AB18,[1]Weapon!$A$1:$M$300,9,FALSE),0)+_xlfn.IFNA(VLOOKUP($AE18,[1]Weapon!$A$1:$M$300,9,FALSE),0)+_xlfn.IFNA(VLOOKUP($AH18,[1]Weapon!$A$1:$M$300,9,FALSE),0)+_xlfn.IFNA(VLOOKUP($AK18,[1]Weapon!$A$1:$M$300,9,FALSE),0)</f>
        <v>38</v>
      </c>
      <c r="L18" s="6">
        <v>56</v>
      </c>
      <c r="M18" s="9">
        <f>L18-5</f>
        <v>51</v>
      </c>
      <c r="N18" s="8">
        <v>20</v>
      </c>
      <c r="O18" s="3">
        <f t="shared" si="2"/>
        <v>20</v>
      </c>
      <c r="P18" s="60" t="s">
        <v>158</v>
      </c>
      <c r="Q18" s="10">
        <v>40</v>
      </c>
      <c r="R18" s="10">
        <f>_xlfn.IFNA(IF($E18="Robot",VLOOKUP(P18,[1]Weapon!$B$1:$G$299,6,FALSE)/2,VLOOKUP(P18,[1]Weapon!$B$1:$G$299,6,FALSE)),0)</f>
        <v>40</v>
      </c>
      <c r="S18" s="60" t="s">
        <v>142</v>
      </c>
      <c r="T18" s="10">
        <v>50</v>
      </c>
      <c r="U18" s="10">
        <f>_xlfn.IFNA(IF($E18="Robot",VLOOKUP(S18,[1]Weapon!$B$1:$G$299,6,FALSE)/2,VLOOKUP(S18,[1]Weapon!$B$1:$G$299,6,FALSE)),0)</f>
        <v>50</v>
      </c>
      <c r="V18" s="60" t="s">
        <v>182</v>
      </c>
      <c r="W18" s="10">
        <v>15</v>
      </c>
      <c r="X18" s="10">
        <f>_xlfn.IFNA(IF($E18="Robot",VLOOKUP(V18,[1]Weapon!$B$1:$G$299,6,FALSE)/2,VLOOKUP(V18,[1]Weapon!$B$1:$G$299,6,FALSE)),0)</f>
        <v>15</v>
      </c>
      <c r="Y18" s="61" t="s">
        <v>88</v>
      </c>
      <c r="Z18" s="10">
        <v>15</v>
      </c>
      <c r="AA18" s="10">
        <f>_xlfn.IFNA(IF($E18="Robot",VLOOKUP(Y18,[1]Weapon!$B$1:$G$299,6,FALSE)/2,VLOOKUP(Y18,[1]Weapon!$B$1:$G$299,6,FALSE)),0)</f>
        <v>15</v>
      </c>
      <c r="AB18" s="60" t="s">
        <v>147</v>
      </c>
      <c r="AD18" s="10">
        <f>_xlfn.IFNA(IF($E18="Robot",VLOOKUP(AB18,[1]Weapon!$B$1:$G$299,6,FALSE)/2,VLOOKUP(AB18,[1]Weapon!$B$1:$G$299,6,FALSE)),0)</f>
        <v>-2</v>
      </c>
      <c r="AE18" s="60" t="s">
        <v>130</v>
      </c>
      <c r="AG18" s="10">
        <f>_xlfn.IFNA(IF($E18="Robot",VLOOKUP(AE18,[1]Weapon!$B$1:$G$299,6,FALSE)/2,VLOOKUP(AE18,[1]Weapon!$B$1:$G$299,6,FALSE)),0)</f>
        <v>-2</v>
      </c>
      <c r="AH18" s="60" t="s">
        <v>150</v>
      </c>
      <c r="AJ18" s="10">
        <f>_xlfn.IFNA(IF($E18="Robot",VLOOKUP(AH18,[1]Weapon!$B$1:$G$299,6,FALSE)/2,VLOOKUP(AH18,[1]Weapon!$B$1:$G$299,6,FALSE)),0)</f>
        <v>-2</v>
      </c>
      <c r="AM18" s="10">
        <f>_xlfn.IFNA(IF($E18="Robot",VLOOKUP(AK18,[1]Weapon!$B$1:$G$299,6,FALSE)/2,VLOOKUP(AK18,[1]Weapon!$B$1:$G$299,6,FALSE)),0)</f>
        <v>0</v>
      </c>
      <c r="AO18" s="10">
        <v>0</v>
      </c>
      <c r="AP18" s="55">
        <f>_xlfn.IFNA(IF($E18="Robot",VLOOKUP(AN18,[1]Weapon!$B$1:$G$299,6,FALSE)/2,VLOOKUP(AN18,[1]Weapon!$B$1:$G$299,6,FALSE)),0)</f>
        <v>0</v>
      </c>
      <c r="AR18" s="33"/>
      <c r="AS18" s="1">
        <v>0</v>
      </c>
    </row>
    <row r="19" spans="1:45" x14ac:dyDescent="0.25">
      <c r="A19" s="1" t="str">
        <f t="shared" si="4"/>
        <v>Kronoan</v>
      </c>
      <c r="B19" s="57" t="s">
        <v>122</v>
      </c>
      <c r="C19" s="26"/>
      <c r="D19" s="57" t="s">
        <v>122</v>
      </c>
      <c r="E19" s="28" t="s">
        <v>61</v>
      </c>
      <c r="F19" s="25">
        <v>553</v>
      </c>
      <c r="G19" s="3">
        <v>553</v>
      </c>
      <c r="H19" s="6">
        <v>64</v>
      </c>
      <c r="I19" s="9">
        <f>H19-5</f>
        <v>59</v>
      </c>
      <c r="J19" s="8"/>
      <c r="K19" s="3">
        <f>J19+_xlfn.IFNA(VLOOKUP($P19,[1]Weapon!$A$1:$M$300,9,FALSE),0)+_xlfn.IFNA(VLOOKUP($S19,[1]Weapon!$A$1:$M$300,9,FALSE),0)+_xlfn.IFNA(VLOOKUP($V19,[1]Weapon!$A$1:$M$300,9,FALSE),0)+_xlfn.IFNA(VLOOKUP($Y19,[1]Weapon!$A$1:$M$300,9,FALSE),0)+_xlfn.IFNA(VLOOKUP($AB19,[1]Weapon!$A$1:$M$300,9,FALSE),0)+_xlfn.IFNA(VLOOKUP($AE19,[1]Weapon!$A$1:$M$300,9,FALSE),0)+_xlfn.IFNA(VLOOKUP($AH19,[1]Weapon!$A$1:$M$300,9,FALSE),0)+_xlfn.IFNA(VLOOKUP($AK19,[1]Weapon!$A$1:$M$300,9,FALSE),0)</f>
        <v>32</v>
      </c>
      <c r="L19" s="6">
        <v>38</v>
      </c>
      <c r="M19" s="9">
        <f t="shared" si="3"/>
        <v>38</v>
      </c>
      <c r="N19" s="8">
        <v>14</v>
      </c>
      <c r="O19" s="3">
        <f t="shared" si="2"/>
        <v>14</v>
      </c>
      <c r="P19" s="60" t="s">
        <v>180</v>
      </c>
      <c r="Q19" s="10">
        <v>40</v>
      </c>
      <c r="R19" s="10">
        <f>_xlfn.IFNA(IF($E19="Robot",VLOOKUP(P19,[1]Weapon!$B$1:$G$299,6,FALSE)/2,VLOOKUP(P19,[1]Weapon!$B$1:$G$299,6,FALSE)),0)</f>
        <v>40</v>
      </c>
      <c r="S19" s="61" t="s">
        <v>137</v>
      </c>
      <c r="T19" s="10">
        <v>50</v>
      </c>
      <c r="U19" s="10">
        <f>_xlfn.IFNA(IF($E19="Robot",VLOOKUP(S19,[1]Weapon!$B$1:$G$299,6,FALSE)/2,VLOOKUP(S19,[1]Weapon!$B$1:$G$299,6,FALSE)),0)</f>
        <v>30</v>
      </c>
      <c r="V19" s="61" t="s">
        <v>181</v>
      </c>
      <c r="W19" s="10">
        <v>15</v>
      </c>
      <c r="X19" s="10">
        <f>_xlfn.IFNA(IF($E19="Robot",VLOOKUP(V19,[1]Weapon!$B$1:$G$299,6,FALSE)/2,VLOOKUP(V19,[1]Weapon!$B$1:$G$299,6,FALSE)),0)</f>
        <v>15</v>
      </c>
      <c r="Y19" s="61" t="s">
        <v>205</v>
      </c>
      <c r="Z19" s="10">
        <v>15</v>
      </c>
      <c r="AA19" s="10">
        <f>_xlfn.IFNA(IF($E19="Robot",VLOOKUP(Y19,[1]Weapon!$B$1:$G$299,6,FALSE)/2,VLOOKUP(Y19,[1]Weapon!$B$1:$G$299,6,FALSE)),0)</f>
        <v>15</v>
      </c>
      <c r="AB19" s="60" t="s">
        <v>145</v>
      </c>
      <c r="AD19" s="10">
        <f>_xlfn.IFNA(IF($E19="Robot",VLOOKUP(AB19,[1]Weapon!$B$1:$G$299,6,FALSE)/2,VLOOKUP(AB19,[1]Weapon!$B$1:$G$299,6,FALSE)),0)</f>
        <v>-2</v>
      </c>
      <c r="AE19" s="60" t="s">
        <v>130</v>
      </c>
      <c r="AG19" s="10">
        <f>_xlfn.IFNA(IF($E19="Robot",VLOOKUP(AE19,[1]Weapon!$B$1:$G$299,6,FALSE)/2,VLOOKUP(AE19,[1]Weapon!$B$1:$G$299,6,FALSE)),0)</f>
        <v>-2</v>
      </c>
      <c r="AH19" s="60" t="s">
        <v>150</v>
      </c>
      <c r="AJ19" s="10">
        <f>_xlfn.IFNA(IF($E19="Robot",VLOOKUP(AH19,[1]Weapon!$B$1:$G$299,6,FALSE)/2,VLOOKUP(AH19,[1]Weapon!$B$1:$G$299,6,FALSE)),0)</f>
        <v>-2</v>
      </c>
      <c r="AM19" s="10">
        <f>_xlfn.IFNA(IF($E19="Robot",VLOOKUP(AK19,[1]Weapon!$B$1:$G$299,6,FALSE)/2,VLOOKUP(AK19,[1]Weapon!$B$1:$G$299,6,FALSE)),0)</f>
        <v>0</v>
      </c>
      <c r="AO19" s="10">
        <v>0</v>
      </c>
      <c r="AP19" s="55">
        <f>_xlfn.IFNA(IF($E19="Robot",VLOOKUP(AN19,[1]Weapon!$B$1:$G$299,6,FALSE)/2,VLOOKUP(AN19,[1]Weapon!$B$1:$G$299,6,FALSE)),0)</f>
        <v>0</v>
      </c>
      <c r="AR19" s="33"/>
      <c r="AS19" s="1">
        <v>0</v>
      </c>
    </row>
    <row r="20" spans="1:45" x14ac:dyDescent="0.25">
      <c r="A20" s="1" t="str">
        <f t="shared" si="4"/>
        <v>Sorrell</v>
      </c>
      <c r="B20" s="57" t="s">
        <v>123</v>
      </c>
      <c r="C20" s="26"/>
      <c r="D20" s="57" t="s">
        <v>82</v>
      </c>
      <c r="E20" s="28" t="s">
        <v>61</v>
      </c>
      <c r="F20" s="25">
        <v>325</v>
      </c>
      <c r="G20" s="3">
        <v>325</v>
      </c>
      <c r="H20" s="6">
        <v>16</v>
      </c>
      <c r="I20" s="9">
        <f t="shared" si="1"/>
        <v>16</v>
      </c>
      <c r="J20" s="8"/>
      <c r="K20" s="3">
        <f>J20+_xlfn.IFNA(VLOOKUP($P20,[1]Weapon!$A$1:$M$300,9,FALSE),0)+_xlfn.IFNA(VLOOKUP($S20,[1]Weapon!$A$1:$M$300,9,FALSE),0)+_xlfn.IFNA(VLOOKUP($V20,[1]Weapon!$A$1:$M$300,9,FALSE),0)+_xlfn.IFNA(VLOOKUP($Y20,[1]Weapon!$A$1:$M$300,9,FALSE),0)+_xlfn.IFNA(VLOOKUP($AB20,[1]Weapon!$A$1:$M$300,9,FALSE),0)+_xlfn.IFNA(VLOOKUP($AE20,[1]Weapon!$A$1:$M$300,9,FALSE),0)+_xlfn.IFNA(VLOOKUP($AH20,[1]Weapon!$A$1:$M$300,9,FALSE),0)+_xlfn.IFNA(VLOOKUP($AK20,[1]Weapon!$A$1:$M$300,9,FALSE),0)</f>
        <v>30</v>
      </c>
      <c r="L20" s="6">
        <v>27</v>
      </c>
      <c r="M20" s="9">
        <f t="shared" si="3"/>
        <v>27</v>
      </c>
      <c r="N20" s="8">
        <v>43</v>
      </c>
      <c r="O20" s="3">
        <f t="shared" si="2"/>
        <v>43</v>
      </c>
      <c r="P20" s="61" t="s">
        <v>162</v>
      </c>
      <c r="Q20" s="10">
        <v>15</v>
      </c>
      <c r="R20" s="10">
        <f>_xlfn.IFNA(IF($E20="Robot",VLOOKUP(P20,[1]Weapon!$B$1:$G$299,6,FALSE)/2,VLOOKUP(P20,[1]Weapon!$B$1:$G$299,6,FALSE)),0)</f>
        <v>15</v>
      </c>
      <c r="S20" s="61" t="s">
        <v>206</v>
      </c>
      <c r="T20" s="10">
        <v>5</v>
      </c>
      <c r="U20" s="10">
        <f>_xlfn.IFNA(IF($E20="Robot",VLOOKUP(S20,[1]Weapon!$B$1:$G$299,6,FALSE)/2,VLOOKUP(S20,[1]Weapon!$B$1:$G$299,6,FALSE)),0)</f>
        <v>5</v>
      </c>
      <c r="V20" s="61" t="s">
        <v>176</v>
      </c>
      <c r="W20" s="10">
        <v>15</v>
      </c>
      <c r="X20" s="10">
        <f>_xlfn.IFNA(IF($E20="Robot",VLOOKUP(V20,[1]Weapon!$B$1:$G$299,6,FALSE)/2,VLOOKUP(V20,[1]Weapon!$B$1:$G$299,6,FALSE)),0)</f>
        <v>15</v>
      </c>
      <c r="Y20" s="60" t="s">
        <v>183</v>
      </c>
      <c r="Z20" s="10">
        <v>1</v>
      </c>
      <c r="AA20" s="10">
        <f>_xlfn.IFNA(IF($E20="Robot",VLOOKUP(Y20,[1]Weapon!$B$1:$G$299,6,FALSE)/2,VLOOKUP(Y20,[1]Weapon!$B$1:$G$299,6,FALSE)),0)</f>
        <v>1</v>
      </c>
      <c r="AB20" s="60" t="s">
        <v>149</v>
      </c>
      <c r="AD20" s="10">
        <f>_xlfn.IFNA(IF($E20="Robot",VLOOKUP(AB20,[1]Weapon!$B$1:$G$299,6,FALSE)/2,VLOOKUP(AB20,[1]Weapon!$B$1:$G$299,6,FALSE)),0)</f>
        <v>-2</v>
      </c>
      <c r="AE20" s="60" t="s">
        <v>130</v>
      </c>
      <c r="AG20" s="10">
        <f>_xlfn.IFNA(IF($E20="Robot",VLOOKUP(AE20,[1]Weapon!$B$1:$G$299,6,FALSE)/2,VLOOKUP(AE20,[1]Weapon!$B$1:$G$299,6,FALSE)),0)</f>
        <v>-2</v>
      </c>
      <c r="AH20" s="61" t="s">
        <v>196</v>
      </c>
      <c r="AJ20" s="10">
        <f>_xlfn.IFNA(IF($E20="Robot",VLOOKUP(AH20,[1]Weapon!$B$1:$G$299,6,FALSE)/2,VLOOKUP(AH20,[1]Weapon!$B$1:$G$299,6,FALSE)),0)</f>
        <v>-2</v>
      </c>
      <c r="AM20" s="10">
        <f>_xlfn.IFNA(IF($E20="Robot",VLOOKUP(AK20,[1]Weapon!$B$1:$G$299,6,FALSE)/2,VLOOKUP(AK20,[1]Weapon!$B$1:$G$299,6,FALSE)),0)</f>
        <v>0</v>
      </c>
      <c r="AO20" s="10">
        <v>0</v>
      </c>
      <c r="AP20" s="55">
        <f>_xlfn.IFNA(IF($E20="Robot",VLOOKUP(AN20,[1]Weapon!$B$1:$G$299,6,FALSE)/2,VLOOKUP(AN20,[1]Weapon!$B$1:$G$299,6,FALSE)),0)</f>
        <v>0</v>
      </c>
      <c r="AR20" s="33"/>
      <c r="AS20" s="1">
        <v>0</v>
      </c>
    </row>
    <row r="21" spans="1:45" x14ac:dyDescent="0.25">
      <c r="A21" s="1" t="str">
        <f t="shared" si="4"/>
        <v>Ramza</v>
      </c>
      <c r="B21" s="57" t="s">
        <v>124</v>
      </c>
      <c r="C21" s="26"/>
      <c r="D21" s="57" t="s">
        <v>125</v>
      </c>
      <c r="E21" s="28" t="s">
        <v>61</v>
      </c>
      <c r="F21" s="25">
        <v>572</v>
      </c>
      <c r="G21" s="3">
        <v>572</v>
      </c>
      <c r="H21" s="6">
        <v>43</v>
      </c>
      <c r="I21" s="9">
        <f t="shared" si="1"/>
        <v>43</v>
      </c>
      <c r="J21" s="8"/>
      <c r="K21" s="3">
        <f>J21+_xlfn.IFNA(VLOOKUP($P21,[1]Weapon!$A$1:$M$300,9,FALSE),0)+_xlfn.IFNA(VLOOKUP($S21,[1]Weapon!$A$1:$M$300,9,FALSE),0)+_xlfn.IFNA(VLOOKUP($V21,[1]Weapon!$A$1:$M$300,9,FALSE),0)+_xlfn.IFNA(VLOOKUP($Y21,[1]Weapon!$A$1:$M$300,9,FALSE),0)+_xlfn.IFNA(VLOOKUP($AB21,[1]Weapon!$A$1:$M$300,9,FALSE),0)+_xlfn.IFNA(VLOOKUP($AE21,[1]Weapon!$A$1:$M$300,9,FALSE),0)+_xlfn.IFNA(VLOOKUP($AH21,[1]Weapon!$A$1:$M$300,9,FALSE),0)+_xlfn.IFNA(VLOOKUP($AK21,[1]Weapon!$A$1:$M$300,9,FALSE),0)</f>
        <v>32</v>
      </c>
      <c r="L21" s="6">
        <v>28</v>
      </c>
      <c r="M21" s="9">
        <f t="shared" si="3"/>
        <v>28</v>
      </c>
      <c r="N21" s="8">
        <v>16</v>
      </c>
      <c r="O21" s="3">
        <f t="shared" si="2"/>
        <v>16</v>
      </c>
      <c r="P21" s="60" t="s">
        <v>148</v>
      </c>
      <c r="Q21" s="10">
        <v>40</v>
      </c>
      <c r="R21" s="10">
        <f>_xlfn.IFNA(IF($E21="Robot",VLOOKUP(P21,[1]Weapon!$B$1:$G$299,6,FALSE)/2,VLOOKUP(P21,[1]Weapon!$B$1:$G$299,6,FALSE)),0)</f>
        <v>40</v>
      </c>
      <c r="S21" s="60" t="s">
        <v>181</v>
      </c>
      <c r="T21" s="10">
        <v>15</v>
      </c>
      <c r="U21" s="10">
        <f>_xlfn.IFNA(IF($E21="Robot",VLOOKUP(S21,[1]Weapon!$B$1:$G$299,6,FALSE)/2,VLOOKUP(S21,[1]Weapon!$B$1:$G$299,6,FALSE)),0)</f>
        <v>15</v>
      </c>
      <c r="V21" s="60" t="s">
        <v>184</v>
      </c>
      <c r="W21" s="10">
        <v>15</v>
      </c>
      <c r="X21" s="10">
        <f>_xlfn.IFNA(IF($E21="Robot",VLOOKUP(V21,[1]Weapon!$B$1:$G$299,6,FALSE)/2,VLOOKUP(V21,[1]Weapon!$B$1:$G$299,6,FALSE)),0)</f>
        <v>15</v>
      </c>
      <c r="Y21" s="61" t="s">
        <v>157</v>
      </c>
      <c r="Z21" s="10">
        <v>30</v>
      </c>
      <c r="AA21" s="10">
        <f>_xlfn.IFNA(IF($E21="Robot",VLOOKUP(Y21,[1]Weapon!$B$1:$G$299,6,FALSE)/2,VLOOKUP(Y21,[1]Weapon!$B$1:$G$299,6,FALSE)),0)</f>
        <v>30</v>
      </c>
      <c r="AB21" s="60" t="s">
        <v>145</v>
      </c>
      <c r="AD21" s="10">
        <f>_xlfn.IFNA(IF($E21="Robot",VLOOKUP(AB21,[1]Weapon!$B$1:$G$299,6,FALSE)/2,VLOOKUP(AB21,[1]Weapon!$B$1:$G$299,6,FALSE)),0)</f>
        <v>-2</v>
      </c>
      <c r="AE21" s="60" t="s">
        <v>143</v>
      </c>
      <c r="AG21" s="10">
        <f>_xlfn.IFNA(IF($E21="Robot",VLOOKUP(AE21,[1]Weapon!$B$1:$G$299,6,FALSE)/2,VLOOKUP(AE21,[1]Weapon!$B$1:$G$299,6,FALSE)),0)</f>
        <v>-2</v>
      </c>
      <c r="AH21" s="60" t="s">
        <v>150</v>
      </c>
      <c r="AJ21" s="10">
        <f>_xlfn.IFNA(IF($E21="Robot",VLOOKUP(AH21,[1]Weapon!$B$1:$G$299,6,FALSE)/2,VLOOKUP(AH21,[1]Weapon!$B$1:$G$299,6,FALSE)),0)</f>
        <v>-2</v>
      </c>
      <c r="AM21" s="10">
        <f>_xlfn.IFNA(IF($E21="Robot",VLOOKUP(AK21,[1]Weapon!$B$1:$G$299,6,FALSE)/2,VLOOKUP(AK21,[1]Weapon!$B$1:$G$299,6,FALSE)),0)</f>
        <v>0</v>
      </c>
      <c r="AO21" s="10">
        <v>0</v>
      </c>
      <c r="AP21" s="55">
        <f>_xlfn.IFNA(IF($E21="Robot",VLOOKUP(AN21,[1]Weapon!$B$1:$G$299,6,FALSE)/2,VLOOKUP(AN21,[1]Weapon!$B$1:$G$299,6,FALSE)),0)</f>
        <v>0</v>
      </c>
      <c r="AR21" s="33"/>
      <c r="AS21" s="1">
        <v>0</v>
      </c>
    </row>
    <row r="22" spans="1:45" x14ac:dyDescent="0.25">
      <c r="A22" s="1" t="str">
        <f t="shared" si="4"/>
        <v>Falx</v>
      </c>
      <c r="B22" s="57" t="s">
        <v>126</v>
      </c>
      <c r="C22" s="26"/>
      <c r="D22" s="57" t="s">
        <v>127</v>
      </c>
      <c r="E22" s="28" t="s">
        <v>61</v>
      </c>
      <c r="F22" s="25">
        <v>407</v>
      </c>
      <c r="G22" s="3">
        <v>407</v>
      </c>
      <c r="H22" s="6">
        <v>25</v>
      </c>
      <c r="I22" s="9">
        <f t="shared" si="1"/>
        <v>25</v>
      </c>
      <c r="J22" s="8"/>
      <c r="K22" s="3">
        <f>J22+_xlfn.IFNA(VLOOKUP($P22,[1]Weapon!$A$1:$M$300,9,FALSE),0)+_xlfn.IFNA(VLOOKUP($S22,[1]Weapon!$A$1:$M$300,9,FALSE),0)+_xlfn.IFNA(VLOOKUP($V22,[1]Weapon!$A$1:$M$300,9,FALSE),0)+_xlfn.IFNA(VLOOKUP($Y22,[1]Weapon!$A$1:$M$300,9,FALSE),0)+_xlfn.IFNA(VLOOKUP($AB22,[1]Weapon!$A$1:$M$300,9,FALSE),0)+_xlfn.IFNA(VLOOKUP($AE22,[1]Weapon!$A$1:$M$300,9,FALSE),0)+_xlfn.IFNA(VLOOKUP($AH22,[1]Weapon!$A$1:$M$300,9,FALSE),0)+_xlfn.IFNA(VLOOKUP($AK22,[1]Weapon!$A$1:$M$300,9,FALSE),0)</f>
        <v>22</v>
      </c>
      <c r="L22" s="6">
        <v>32</v>
      </c>
      <c r="M22" s="9">
        <f t="shared" si="3"/>
        <v>32</v>
      </c>
      <c r="N22" s="8">
        <v>26</v>
      </c>
      <c r="O22" s="3">
        <f t="shared" si="2"/>
        <v>26</v>
      </c>
      <c r="P22" s="60" t="s">
        <v>87</v>
      </c>
      <c r="Q22" s="10">
        <v>25</v>
      </c>
      <c r="R22" s="10">
        <f>_xlfn.IFNA(IF($E22="Robot",VLOOKUP(P22,[1]Weapon!$B$1:$G$299,6,FALSE)/2,VLOOKUP(P22,[1]Weapon!$B$1:$G$299,6,FALSE)),0)</f>
        <v>50</v>
      </c>
      <c r="S22" s="60" t="s">
        <v>155</v>
      </c>
      <c r="T22" s="10">
        <v>30</v>
      </c>
      <c r="U22" s="10">
        <f>_xlfn.IFNA(IF($E22="Robot",VLOOKUP(S22,[1]Weapon!$B$1:$G$299,6,FALSE)/2,VLOOKUP(S22,[1]Weapon!$B$1:$G$299,6,FALSE)),0)</f>
        <v>30</v>
      </c>
      <c r="V22" s="60" t="s">
        <v>163</v>
      </c>
      <c r="W22" s="10">
        <v>50</v>
      </c>
      <c r="X22" s="10">
        <f>_xlfn.IFNA(IF($E22="Robot",VLOOKUP(V22,[1]Weapon!$B$1:$G$299,6,FALSE)/2,VLOOKUP(V22,[1]Weapon!$B$1:$G$299,6,FALSE)),0)</f>
        <v>50</v>
      </c>
      <c r="Y22" s="60" t="s">
        <v>189</v>
      </c>
      <c r="Z22" s="10">
        <v>4</v>
      </c>
      <c r="AA22" s="10">
        <f>_xlfn.IFNA(IF($E22="Robot",VLOOKUP(Y22,[1]Weapon!$B$1:$G$299,6,FALSE)/2,VLOOKUP(Y22,[1]Weapon!$B$1:$G$299,6,FALSE)),0)</f>
        <v>4</v>
      </c>
      <c r="AB22" s="60" t="s">
        <v>134</v>
      </c>
      <c r="AD22" s="10">
        <f>_xlfn.IFNA(IF($E22="Robot",VLOOKUP(AB22,[1]Weapon!$B$1:$G$299,6,FALSE)/2,VLOOKUP(AB22,[1]Weapon!$B$1:$G$299,6,FALSE)),0)</f>
        <v>-2</v>
      </c>
      <c r="AE22" s="60" t="s">
        <v>130</v>
      </c>
      <c r="AG22" s="10">
        <f>_xlfn.IFNA(IF($E22="Robot",VLOOKUP(AE22,[1]Weapon!$B$1:$G$299,6,FALSE)/2,VLOOKUP(AE22,[1]Weapon!$B$1:$G$299,6,FALSE)),0)</f>
        <v>-2</v>
      </c>
      <c r="AH22" s="61" t="s">
        <v>196</v>
      </c>
      <c r="AJ22" s="10">
        <f>_xlfn.IFNA(IF($E22="Robot",VLOOKUP(AH22,[1]Weapon!$B$1:$G$299,6,FALSE)/2,VLOOKUP(AH22,[1]Weapon!$B$1:$G$299,6,FALSE)),0)</f>
        <v>-2</v>
      </c>
      <c r="AM22" s="10">
        <f>_xlfn.IFNA(IF($E22="Robot",VLOOKUP(AK22,[1]Weapon!$B$1:$G$299,6,FALSE)/2,VLOOKUP(AK22,[1]Weapon!$B$1:$G$299,6,FALSE)),0)</f>
        <v>0</v>
      </c>
      <c r="AO22" s="10">
        <v>0</v>
      </c>
      <c r="AP22" s="55">
        <f>_xlfn.IFNA(IF($E22="Robot",VLOOKUP(AN22,[1]Weapon!$B$1:$G$299,6,FALSE)/2,VLOOKUP(AN22,[1]Weapon!$B$1:$G$299,6,FALSE)),0)</f>
        <v>0</v>
      </c>
      <c r="AR22" s="33"/>
      <c r="AS22" s="1">
        <v>0</v>
      </c>
    </row>
    <row r="23" spans="1:45" x14ac:dyDescent="0.25">
      <c r="A23" s="1" t="str">
        <f t="shared" si="4"/>
        <v>Slade</v>
      </c>
      <c r="B23" s="57" t="s">
        <v>128</v>
      </c>
      <c r="C23" s="26"/>
      <c r="D23" s="57" t="s">
        <v>129</v>
      </c>
      <c r="E23" s="56" t="s">
        <v>151</v>
      </c>
      <c r="F23" s="25">
        <v>373</v>
      </c>
      <c r="G23" s="3">
        <v>373</v>
      </c>
      <c r="H23" s="6">
        <v>38</v>
      </c>
      <c r="I23" s="9">
        <f t="shared" si="1"/>
        <v>38</v>
      </c>
      <c r="J23" s="8">
        <v>32</v>
      </c>
      <c r="K23" s="3">
        <f>J23+_xlfn.IFNA(VLOOKUP($P23,[1]Weapon!$A$1:$M$300,9,FALSE),0)+_xlfn.IFNA(VLOOKUP($S23,[1]Weapon!$A$1:$M$300,9,FALSE),0)+_xlfn.IFNA(VLOOKUP($V23,[1]Weapon!$A$1:$M$300,9,FALSE),0)+_xlfn.IFNA(VLOOKUP($Y23,[1]Weapon!$A$1:$M$300,9,FALSE),0)+_xlfn.IFNA(VLOOKUP($AB23,[1]Weapon!$A$1:$M$300,9,FALSE),0)+_xlfn.IFNA(VLOOKUP($AE23,[1]Weapon!$A$1:$M$300,9,FALSE),0)+_xlfn.IFNA(VLOOKUP($AH23,[1]Weapon!$A$1:$M$300,9,FALSE),0)+_xlfn.IFNA(VLOOKUP($AK23,[1]Weapon!$A$1:$M$300,9,FALSE),0)</f>
        <v>32</v>
      </c>
      <c r="L23" s="6">
        <v>31</v>
      </c>
      <c r="M23" s="9">
        <f t="shared" si="3"/>
        <v>31</v>
      </c>
      <c r="N23" s="8">
        <v>41</v>
      </c>
      <c r="O23" s="3">
        <f t="shared" si="2"/>
        <v>41</v>
      </c>
      <c r="P23" s="61" t="s">
        <v>200</v>
      </c>
      <c r="Q23" s="10">
        <v>15</v>
      </c>
      <c r="R23" s="10">
        <f>_xlfn.IFNA(IF($E23="Robot",VLOOKUP(P23,[1]Weapon!$B$1:$G$299,6,FALSE)/2,VLOOKUP(P23,[1]Weapon!$B$1:$G$299,6,FALSE)),0)</f>
        <v>15</v>
      </c>
      <c r="S23" s="61" t="s">
        <v>211</v>
      </c>
      <c r="T23" s="10">
        <v>30</v>
      </c>
      <c r="U23" s="10">
        <f>_xlfn.IFNA(IF($E23="Robot",VLOOKUP(S23,[1]Weapon!$B$1:$G$299,6,FALSE)/2,VLOOKUP(S23,[1]Weapon!$B$1:$G$299,6,FALSE)),0)</f>
        <v>30</v>
      </c>
      <c r="V23" s="61" t="s">
        <v>167</v>
      </c>
      <c r="W23" s="10">
        <v>15</v>
      </c>
      <c r="X23" s="10">
        <f>_xlfn.IFNA(IF($E23="Robot",VLOOKUP(V23,[1]Weapon!$B$1:$G$299,6,FALSE)/2,VLOOKUP(V23,[1]Weapon!$B$1:$G$299,6,FALSE)),0)</f>
        <v>15</v>
      </c>
      <c r="Y23" s="61" t="s">
        <v>201</v>
      </c>
      <c r="Z23" s="10">
        <v>3</v>
      </c>
      <c r="AA23" s="10">
        <f>_xlfn.IFNA(IF($E23="Robot",VLOOKUP(Y23,[1]Weapon!$B$1:$G$299,6,FALSE)/2,VLOOKUP(Y23,[1]Weapon!$B$1:$G$299,6,FALSE)),0)</f>
        <v>10</v>
      </c>
      <c r="AB23" s="61"/>
      <c r="AD23" s="10">
        <f>_xlfn.IFNA(IF($E23="Robot",VLOOKUP(AB23,[1]Weapon!$B$1:$G$299,6,FALSE)/2,VLOOKUP(AB23,[1]Weapon!$B$1:$G$299,6,FALSE)),0)</f>
        <v>0</v>
      </c>
      <c r="AG23" s="10">
        <f>_xlfn.IFNA(IF($E23="Robot",VLOOKUP(AE23,[1]Weapon!$B$1:$G$299,6,FALSE)/2,VLOOKUP(AE23,[1]Weapon!$B$1:$G$299,6,FALSE)),0)</f>
        <v>0</v>
      </c>
      <c r="AJ23" s="10">
        <f>_xlfn.IFNA(IF($E23="Robot",VLOOKUP(AH23,[1]Weapon!$B$1:$G$299,6,FALSE)/2,VLOOKUP(AH23,[1]Weapon!$B$1:$G$299,6,FALSE)),0)</f>
        <v>0</v>
      </c>
      <c r="AM23" s="10">
        <f>_xlfn.IFNA(IF($E23="Robot",VLOOKUP(AK23,[1]Weapon!$B$1:$G$299,6,FALSE)/2,VLOOKUP(AK23,[1]Weapon!$B$1:$G$299,6,FALSE)),0)</f>
        <v>0</v>
      </c>
      <c r="AO23" s="10">
        <v>0</v>
      </c>
      <c r="AP23" s="55">
        <f>_xlfn.IFNA(IF($E23="Robot",VLOOKUP(AN23,[1]Weapon!$B$1:$G$299,6,FALSE)/2,VLOOKUP(AN23,[1]Weapon!$B$1:$G$299,6,FALSE)),0)</f>
        <v>0</v>
      </c>
      <c r="AR23" s="33"/>
      <c r="AS23" s="1">
        <v>0</v>
      </c>
    </row>
    <row r="24" spans="1:45" x14ac:dyDescent="0.25">
      <c r="A24" s="1">
        <f t="shared" si="0"/>
        <v>0</v>
      </c>
      <c r="B24" s="27"/>
      <c r="E24" s="27"/>
      <c r="I24" s="9">
        <f t="shared" ref="I24" si="5">H24</f>
        <v>0</v>
      </c>
      <c r="K24" s="3">
        <f>J24+_xlfn.IFNA(VLOOKUP(P24,[1]Weapon!$A$1:$M$259,9,FALSE),0)+_xlfn.IFNA(VLOOKUP(S24,[1]Weapon!$A$1:$M$259,9,FALSE),0)+_xlfn.IFNA(VLOOKUP(V24,[1]Weapon!$A$1:$M$259,9,FALSE),0)+_xlfn.IFNA(VLOOKUP(Y24,[1]Weapon!$A$1:$M$259,9,FALSE),0)+_xlfn.IFNA(VLOOKUP(AB24,[1]Weapon!$A$1:$M$259,9,FALSE),0)+_xlfn.IFNA(VLOOKUP(AE24,[1]Weapon!$A$1:$M$259,9,FALSE),0)+_xlfn.IFNA(VLOOKUP(AH24,[1]Weapon!$A$1:$M$259,9,FALSE),0)+_xlfn.IFNA(VLOOKUP(AK24,[1]Weapon!$A$1:$M$259,9,FALSE),0)</f>
        <v>0</v>
      </c>
      <c r="M24" s="9">
        <f t="shared" ref="M24" si="6">L24</f>
        <v>0</v>
      </c>
      <c r="O24" s="3">
        <f t="shared" ref="O24" si="7">N24</f>
        <v>0</v>
      </c>
      <c r="P24" s="49"/>
      <c r="R24" s="10">
        <f>_xlfn.IFNA(IF($E24="Robot",VLOOKUP(P24,[1]Weapon!$B$1:$G$299,6,FALSE)/2,VLOOKUP(P24,[1]Weapon!$B$1:$G$299,6,FALSE)),0)</f>
        <v>0</v>
      </c>
      <c r="S24" s="49"/>
      <c r="U24" s="10">
        <f>_xlfn.IFNA(IF($E24="Robot",VLOOKUP(S24,[1]Weapon!$B$1:$G$299,6,FALSE)/2,VLOOKUP(S24,[1]Weapon!$B$1:$G$299,6,FALSE)),0)</f>
        <v>0</v>
      </c>
      <c r="V24" s="49"/>
      <c r="X24" s="10">
        <f>_xlfn.IFNA(IF($E24="Robot",VLOOKUP(V24,[1]Weapon!$B$1:$G$299,6,FALSE)/2,VLOOKUP(V24,[1]Weapon!$B$1:$G$299,6,FALSE)),0)</f>
        <v>0</v>
      </c>
      <c r="Y24" s="49"/>
      <c r="AA24" s="10">
        <f>_xlfn.IFNA(IF($E24="Robot",VLOOKUP(Y24,[1]Weapon!$B$1:$G$299,6,FALSE)/2,VLOOKUP(Y24,[1]Weapon!$B$1:$G$299,6,FALSE)),0)</f>
        <v>0</v>
      </c>
      <c r="AD24" s="10">
        <f>_xlfn.IFNA(IF($E24="Robot",VLOOKUP(AB24,[1]Weapon!$B$1:$G$299,6,FALSE)/2,VLOOKUP(AB24,[1]Weapon!$B$1:$G$299,6,FALSE)),0)</f>
        <v>0</v>
      </c>
      <c r="AG24" s="10">
        <f>_xlfn.IFNA(IF($E24="Robot",VLOOKUP(AE24,[1]Weapon!$B$1:$G$299,6,FALSE)/2,VLOOKUP(AE24,[1]Weapon!$B$1:$G$299,6,FALSE)),0)</f>
        <v>0</v>
      </c>
      <c r="AH24" s="49"/>
      <c r="AJ24" s="10">
        <f>_xlfn.IFNA(IF($E24="Robot",VLOOKUP(AH24,[1]Weapon!$B$1:$G$299,6,FALSE)/2,VLOOKUP(AH24,[1]Weapon!$B$1:$G$299,6,FALSE)),0)</f>
        <v>0</v>
      </c>
      <c r="AK24" s="49"/>
      <c r="AM24" s="10">
        <f>_xlfn.IFNA(IF($E24="Robot",VLOOKUP(AK24,[1]Weapon!$B$1:$G$299,6,FALSE)/2,VLOOKUP(AK24,[1]Weapon!$B$1:$G$299,6,FALSE)),0)</f>
        <v>0</v>
      </c>
      <c r="AO24" s="10">
        <v>0</v>
      </c>
      <c r="AP24" s="55">
        <f>_xlfn.IFNA(IF($E24="Robot",VLOOKUP(AN24,[1]Weapon!$B$1:$G$299,6,FALSE)/2,VLOOKUP(AN24,[1]Weapon!$B$1:$G$299,6,FALSE)),0)</f>
        <v>0</v>
      </c>
    </row>
  </sheetData>
  <conditionalFormatting sqref="A24:A1048576 A1:A16">
    <cfRule type="notContainsBlanks" dxfId="8" priority="18">
      <formula>LEN(TRIM(A1))&gt;0</formula>
    </cfRule>
  </conditionalFormatting>
  <conditionalFormatting sqref="Q24:AP24 Q2:AP5 Q14:AP16 Q13:X13 AI13:AP13 Q10:AG10 AI10:AP10 Q8:AP9 Q7:AG7 AI7:AP7 Q11:AP12 Z13:AG13 Q6:X6 Z6:AP6">
    <cfRule type="cellIs" dxfId="7" priority="16" operator="lessThan">
      <formula>0</formula>
    </cfRule>
  </conditionalFormatting>
  <conditionalFormatting sqref="A17:A23">
    <cfRule type="notContainsBlanks" dxfId="6" priority="7">
      <formula>LEN(TRIM(A17))&gt;0</formula>
    </cfRule>
  </conditionalFormatting>
  <conditionalFormatting sqref="Q17:AP23">
    <cfRule type="cellIs" dxfId="5" priority="6" operator="lessThan">
      <formula>0</formula>
    </cfRule>
  </conditionalFormatting>
  <conditionalFormatting sqref="AH13">
    <cfRule type="cellIs" dxfId="4" priority="5" operator="lessThan">
      <formula>0</formula>
    </cfRule>
  </conditionalFormatting>
  <conditionalFormatting sqref="AH10">
    <cfRule type="cellIs" dxfId="3" priority="4" operator="lessThan">
      <formula>0</formula>
    </cfRule>
  </conditionalFormatting>
  <conditionalFormatting sqref="AH7">
    <cfRule type="cellIs" dxfId="2" priority="3" operator="lessThan">
      <formula>0</formula>
    </cfRule>
  </conditionalFormatting>
  <conditionalFormatting sqref="Y13">
    <cfRule type="cellIs" dxfId="1" priority="2" operator="lessThan">
      <formula>0</formula>
    </cfRule>
  </conditionalFormatting>
  <conditionalFormatting sqref="Y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25</xdr:row>
                    <xdr:rowOff>66675</xdr:rowOff>
                  </from>
                  <to>
                    <xdr:col>3</xdr:col>
                    <xdr:colOff>295275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"/>
  <sheetViews>
    <sheetView workbookViewId="0">
      <selection activeCell="I2" sqref="I2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</cols>
  <sheetData>
    <row r="1" spans="1:9" x14ac:dyDescent="0.2">
      <c r="A1" s="30" t="s">
        <v>41</v>
      </c>
      <c r="B1" t="s">
        <v>9</v>
      </c>
      <c r="C1" t="s">
        <v>97</v>
      </c>
      <c r="D1" t="s">
        <v>94</v>
      </c>
      <c r="E1" s="30" t="s">
        <v>91</v>
      </c>
      <c r="F1" s="30" t="s">
        <v>92</v>
      </c>
      <c r="G1" t="s">
        <v>95</v>
      </c>
      <c r="H1" t="s">
        <v>93</v>
      </c>
      <c r="I1" s="34" t="s">
        <v>98</v>
      </c>
    </row>
    <row r="2" spans="1:9" x14ac:dyDescent="0.2">
      <c r="A2" t="s">
        <v>75</v>
      </c>
      <c r="B2" t="e">
        <f>VLOOKUP(A2,Players!$B$2:$O$24,5,FALSE)</f>
        <v>#N/A</v>
      </c>
      <c r="C2" t="e">
        <f>VLOOKUP(A2,Players!$B$2:$O$24,6,FALSE)</f>
        <v>#N/A</v>
      </c>
      <c r="D2" t="e">
        <f>VLOOKUP(A2,Players!$B$2:$O$24,14,FALSE)</f>
        <v>#N/A</v>
      </c>
      <c r="E2" t="s">
        <v>96</v>
      </c>
      <c r="F2" t="s">
        <v>81</v>
      </c>
      <c r="G2" t="e">
        <f>VLOOKUP(F2,Players!$B$2:$O$24,14,FALSE)</f>
        <v>#N/A</v>
      </c>
      <c r="H2" t="e">
        <f>IF(E2="Cure Potion",30,IF(E2="Spell",PRODUCT(4,D2+G2),0))</f>
        <v>#N/A</v>
      </c>
      <c r="I2" t="e">
        <f>IF(SUM(H2+B2)&lt;C2,SUM(H2+B2),C2)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V4"/>
  <sheetViews>
    <sheetView topLeftCell="F1" workbookViewId="0">
      <selection activeCell="T1" sqref="T1:T104857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191</v>
      </c>
      <c r="U1" t="s">
        <v>16</v>
      </c>
      <c r="V1" t="s">
        <v>60</v>
      </c>
    </row>
    <row r="2" spans="1:22" x14ac:dyDescent="0.2">
      <c r="A2" t="s">
        <v>1</v>
      </c>
      <c r="B2" t="s">
        <v>17</v>
      </c>
      <c r="C2">
        <v>1</v>
      </c>
      <c r="D2">
        <v>2</v>
      </c>
      <c r="K2" t="s">
        <v>42</v>
      </c>
    </row>
    <row r="3" spans="1:22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2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A840-290B-4CCF-8D1E-3452DFE05685}">
  <sheetPr codeName="Sheet2"/>
  <dimension ref="A1:V10"/>
  <sheetViews>
    <sheetView workbookViewId="0">
      <selection activeCell="K12" sqref="K12"/>
    </sheetView>
  </sheetViews>
  <sheetFormatPr defaultRowHeight="12.75" x14ac:dyDescent="0.2"/>
  <cols>
    <col min="1" max="1" width="12.85546875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191</v>
      </c>
      <c r="U1" t="s">
        <v>16</v>
      </c>
      <c r="V1" t="s">
        <v>60</v>
      </c>
    </row>
    <row r="2" spans="1:22" x14ac:dyDescent="0.2">
      <c r="A2" t="s">
        <v>212</v>
      </c>
      <c r="B2" t="s">
        <v>18</v>
      </c>
      <c r="C2">
        <v>1</v>
      </c>
      <c r="D2">
        <v>1</v>
      </c>
      <c r="E2">
        <v>55.500000000000007</v>
      </c>
      <c r="F2">
        <v>640</v>
      </c>
      <c r="G2">
        <v>45</v>
      </c>
      <c r="H2">
        <v>50</v>
      </c>
      <c r="I2">
        <v>45</v>
      </c>
      <c r="J2">
        <v>45</v>
      </c>
      <c r="K2" t="s">
        <v>217</v>
      </c>
      <c r="L2" t="s">
        <v>256</v>
      </c>
      <c r="U2" t="s">
        <v>257</v>
      </c>
      <c r="V2" t="s">
        <v>258</v>
      </c>
    </row>
    <row r="3" spans="1:22" x14ac:dyDescent="0.2">
      <c r="A3" t="s">
        <v>229</v>
      </c>
      <c r="B3" t="s">
        <v>18</v>
      </c>
      <c r="C3">
        <v>0</v>
      </c>
      <c r="D3">
        <v>1</v>
      </c>
      <c r="E3">
        <v>48.8</v>
      </c>
      <c r="F3">
        <v>0</v>
      </c>
      <c r="G3">
        <v>45</v>
      </c>
      <c r="H3">
        <v>40</v>
      </c>
      <c r="I3">
        <v>40</v>
      </c>
      <c r="J3">
        <v>40</v>
      </c>
      <c r="K3" t="s">
        <v>217</v>
      </c>
      <c r="L3" t="s">
        <v>230</v>
      </c>
      <c r="N3" t="s">
        <v>219</v>
      </c>
      <c r="O3" t="s">
        <v>219</v>
      </c>
      <c r="P3" t="s">
        <v>219</v>
      </c>
      <c r="Q3" t="s">
        <v>219</v>
      </c>
      <c r="R3" t="s">
        <v>219</v>
      </c>
      <c r="S3" t="s">
        <v>219</v>
      </c>
      <c r="U3" t="s">
        <v>259</v>
      </c>
      <c r="V3" t="s">
        <v>252</v>
      </c>
    </row>
    <row r="4" spans="1:22" x14ac:dyDescent="0.2">
      <c r="A4" t="s">
        <v>228</v>
      </c>
      <c r="B4" t="s">
        <v>18</v>
      </c>
      <c r="C4">
        <v>0</v>
      </c>
      <c r="D4">
        <v>1</v>
      </c>
      <c r="E4">
        <v>43.6</v>
      </c>
      <c r="F4">
        <v>0</v>
      </c>
      <c r="G4">
        <v>40</v>
      </c>
      <c r="H4">
        <v>40</v>
      </c>
      <c r="I4">
        <v>40</v>
      </c>
      <c r="J4">
        <v>40</v>
      </c>
      <c r="K4" t="s">
        <v>217</v>
      </c>
      <c r="L4" t="s">
        <v>230</v>
      </c>
      <c r="N4" t="s">
        <v>219</v>
      </c>
      <c r="O4" t="s">
        <v>219</v>
      </c>
      <c r="P4" t="s">
        <v>219</v>
      </c>
      <c r="Q4" t="s">
        <v>219</v>
      </c>
      <c r="R4" t="s">
        <v>219</v>
      </c>
      <c r="S4" t="s">
        <v>219</v>
      </c>
      <c r="U4" t="s">
        <v>260</v>
      </c>
      <c r="V4" t="s">
        <v>252</v>
      </c>
    </row>
    <row r="5" spans="1:22" x14ac:dyDescent="0.2">
      <c r="A5" t="s">
        <v>122</v>
      </c>
      <c r="B5" t="s">
        <v>17</v>
      </c>
      <c r="C5">
        <v>1</v>
      </c>
      <c r="D5">
        <v>2</v>
      </c>
      <c r="E5">
        <v>42.94</v>
      </c>
      <c r="F5">
        <v>553</v>
      </c>
      <c r="G5">
        <v>59</v>
      </c>
      <c r="H5">
        <v>38</v>
      </c>
      <c r="I5">
        <v>14</v>
      </c>
      <c r="J5">
        <v>32</v>
      </c>
      <c r="K5" t="s">
        <v>180</v>
      </c>
      <c r="L5" t="s">
        <v>212</v>
      </c>
      <c r="P5" t="s">
        <v>219</v>
      </c>
      <c r="R5" t="s">
        <v>219</v>
      </c>
      <c r="U5" t="s">
        <v>261</v>
      </c>
      <c r="V5" t="s">
        <v>262</v>
      </c>
    </row>
    <row r="6" spans="1:22" x14ac:dyDescent="0.2">
      <c r="A6" t="s">
        <v>106</v>
      </c>
      <c r="B6" t="s">
        <v>17</v>
      </c>
      <c r="C6">
        <v>1</v>
      </c>
      <c r="D6">
        <v>4</v>
      </c>
      <c r="E6">
        <v>37.82</v>
      </c>
      <c r="F6">
        <v>207</v>
      </c>
      <c r="G6">
        <v>20</v>
      </c>
      <c r="H6">
        <v>35</v>
      </c>
      <c r="I6">
        <v>58</v>
      </c>
      <c r="J6">
        <v>24</v>
      </c>
      <c r="K6" t="s">
        <v>192</v>
      </c>
      <c r="L6" t="s">
        <v>212</v>
      </c>
      <c r="U6" t="s">
        <v>263</v>
      </c>
      <c r="V6" t="s">
        <v>240</v>
      </c>
    </row>
    <row r="7" spans="1:22" x14ac:dyDescent="0.2">
      <c r="A7" t="s">
        <v>101</v>
      </c>
      <c r="B7" t="s">
        <v>17</v>
      </c>
      <c r="C7">
        <v>1</v>
      </c>
      <c r="D7">
        <v>5</v>
      </c>
      <c r="E7">
        <v>34.340000000000003</v>
      </c>
      <c r="F7">
        <v>114</v>
      </c>
      <c r="G7">
        <v>30</v>
      </c>
      <c r="H7">
        <v>34</v>
      </c>
      <c r="I7">
        <v>42</v>
      </c>
      <c r="J7">
        <v>21</v>
      </c>
      <c r="K7" t="s">
        <v>172</v>
      </c>
      <c r="L7" t="s">
        <v>123</v>
      </c>
      <c r="U7" t="s">
        <v>264</v>
      </c>
      <c r="V7" t="s">
        <v>265</v>
      </c>
    </row>
    <row r="8" spans="1:22" x14ac:dyDescent="0.2">
      <c r="A8" t="s">
        <v>227</v>
      </c>
      <c r="B8" t="s">
        <v>18</v>
      </c>
      <c r="C8">
        <v>0</v>
      </c>
      <c r="D8">
        <v>1</v>
      </c>
      <c r="E8">
        <v>32.400000000000013</v>
      </c>
      <c r="F8">
        <v>0</v>
      </c>
      <c r="G8">
        <v>40</v>
      </c>
      <c r="H8">
        <v>40</v>
      </c>
      <c r="I8">
        <v>40</v>
      </c>
      <c r="J8">
        <v>50</v>
      </c>
      <c r="K8" t="s">
        <v>217</v>
      </c>
      <c r="L8" t="s">
        <v>218</v>
      </c>
      <c r="N8" t="s">
        <v>219</v>
      </c>
      <c r="O8" t="s">
        <v>219</v>
      </c>
      <c r="P8" t="s">
        <v>219</v>
      </c>
      <c r="Q8" t="s">
        <v>219</v>
      </c>
      <c r="R8" t="s">
        <v>219</v>
      </c>
      <c r="S8" t="s">
        <v>219</v>
      </c>
      <c r="U8" t="s">
        <v>266</v>
      </c>
      <c r="V8" t="s">
        <v>220</v>
      </c>
    </row>
    <row r="9" spans="1:22" x14ac:dyDescent="0.2">
      <c r="A9" t="s">
        <v>124</v>
      </c>
      <c r="B9" t="s">
        <v>17</v>
      </c>
      <c r="C9">
        <v>1</v>
      </c>
      <c r="D9">
        <v>1</v>
      </c>
      <c r="E9">
        <v>29.4</v>
      </c>
      <c r="F9">
        <v>386</v>
      </c>
      <c r="G9">
        <v>43</v>
      </c>
      <c r="H9">
        <v>28</v>
      </c>
      <c r="I9">
        <v>16</v>
      </c>
      <c r="J9">
        <v>32</v>
      </c>
      <c r="K9" t="s">
        <v>148</v>
      </c>
      <c r="L9" t="s">
        <v>212</v>
      </c>
      <c r="P9" t="s">
        <v>219</v>
      </c>
      <c r="Q9" t="s">
        <v>222</v>
      </c>
      <c r="R9" t="s">
        <v>219</v>
      </c>
      <c r="U9" t="s">
        <v>226</v>
      </c>
      <c r="V9" t="s">
        <v>224</v>
      </c>
    </row>
    <row r="10" spans="1:22" x14ac:dyDescent="0.2">
      <c r="A10" t="s">
        <v>123</v>
      </c>
      <c r="B10" t="s">
        <v>17</v>
      </c>
      <c r="C10">
        <v>0</v>
      </c>
      <c r="D10">
        <v>3</v>
      </c>
      <c r="E10">
        <v>15.21</v>
      </c>
      <c r="F10">
        <v>0</v>
      </c>
      <c r="G10">
        <v>16</v>
      </c>
      <c r="H10">
        <v>27</v>
      </c>
      <c r="I10">
        <v>43</v>
      </c>
      <c r="J10">
        <v>30</v>
      </c>
      <c r="K10" t="s">
        <v>217</v>
      </c>
      <c r="N10" t="s">
        <v>219</v>
      </c>
      <c r="O10" t="s">
        <v>219</v>
      </c>
      <c r="P10" t="s">
        <v>219</v>
      </c>
      <c r="Q10" t="s">
        <v>219</v>
      </c>
      <c r="R10" t="s">
        <v>219</v>
      </c>
      <c r="S10" t="s">
        <v>219</v>
      </c>
      <c r="U10" t="s">
        <v>267</v>
      </c>
      <c r="V10" t="s">
        <v>223</v>
      </c>
    </row>
  </sheetData>
  <dataValidations count="1">
    <dataValidation type="list" allowBlank="1" showInputMessage="1" showErrorMessage="1" sqref="L2:L30" xr:uid="{BF4089BB-F654-4312-AE6B-6ED9A4E7B0A4}">
      <formula1>$A$2:$A$30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4E8A-F5AA-4947-BCB4-DBD44DB57A93}">
  <sheetPr codeName="Sheet4"/>
  <dimension ref="A1:V9"/>
  <sheetViews>
    <sheetView workbookViewId="0">
      <selection activeCell="K7" sqref="K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1.710937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191</v>
      </c>
      <c r="U1" t="s">
        <v>16</v>
      </c>
      <c r="V1" t="s">
        <v>60</v>
      </c>
    </row>
    <row r="2" spans="1:22" x14ac:dyDescent="0.2">
      <c r="A2" t="s">
        <v>213</v>
      </c>
      <c r="B2" t="s">
        <v>18</v>
      </c>
      <c r="C2">
        <v>1</v>
      </c>
      <c r="D2">
        <v>1</v>
      </c>
      <c r="E2">
        <v>55.8</v>
      </c>
      <c r="F2">
        <v>1006</v>
      </c>
      <c r="G2">
        <v>50</v>
      </c>
      <c r="H2">
        <v>45</v>
      </c>
      <c r="I2">
        <v>45</v>
      </c>
      <c r="J2">
        <v>50</v>
      </c>
      <c r="K2" t="s">
        <v>217</v>
      </c>
      <c r="L2" t="s">
        <v>230</v>
      </c>
      <c r="U2" t="s">
        <v>235</v>
      </c>
      <c r="V2" t="s">
        <v>236</v>
      </c>
    </row>
    <row r="3" spans="1:22" x14ac:dyDescent="0.2">
      <c r="A3" t="s">
        <v>120</v>
      </c>
      <c r="B3" t="s">
        <v>17</v>
      </c>
      <c r="C3">
        <v>1</v>
      </c>
      <c r="D3">
        <v>1</v>
      </c>
      <c r="E3">
        <v>52.02</v>
      </c>
      <c r="F3">
        <v>501</v>
      </c>
      <c r="G3">
        <v>49</v>
      </c>
      <c r="H3">
        <v>61</v>
      </c>
      <c r="I3">
        <v>20</v>
      </c>
      <c r="J3">
        <v>38</v>
      </c>
      <c r="K3" t="s">
        <v>158</v>
      </c>
      <c r="L3" t="s">
        <v>213</v>
      </c>
      <c r="R3" t="s">
        <v>219</v>
      </c>
      <c r="U3" t="s">
        <v>237</v>
      </c>
      <c r="V3" t="s">
        <v>238</v>
      </c>
    </row>
    <row r="4" spans="1:22" x14ac:dyDescent="0.2">
      <c r="A4" t="s">
        <v>113</v>
      </c>
      <c r="B4" t="s">
        <v>17</v>
      </c>
      <c r="C4">
        <v>0</v>
      </c>
      <c r="D4">
        <v>2</v>
      </c>
      <c r="E4">
        <v>50.84</v>
      </c>
      <c r="F4">
        <v>0</v>
      </c>
      <c r="G4">
        <v>28</v>
      </c>
      <c r="H4">
        <v>45</v>
      </c>
      <c r="I4">
        <v>32</v>
      </c>
      <c r="J4">
        <v>32</v>
      </c>
      <c r="K4" t="s">
        <v>189</v>
      </c>
      <c r="L4" t="s">
        <v>113</v>
      </c>
      <c r="N4" t="s">
        <v>219</v>
      </c>
      <c r="O4" t="s">
        <v>219</v>
      </c>
      <c r="P4" t="s">
        <v>219</v>
      </c>
      <c r="Q4" t="s">
        <v>219</v>
      </c>
      <c r="R4" t="s">
        <v>219</v>
      </c>
      <c r="S4" t="s">
        <v>219</v>
      </c>
      <c r="U4" t="s">
        <v>231</v>
      </c>
      <c r="V4" t="s">
        <v>225</v>
      </c>
    </row>
    <row r="5" spans="1:22" x14ac:dyDescent="0.2">
      <c r="A5" t="s">
        <v>103</v>
      </c>
      <c r="B5" t="s">
        <v>17</v>
      </c>
      <c r="C5">
        <v>1</v>
      </c>
      <c r="D5">
        <v>3</v>
      </c>
      <c r="E5">
        <v>47.5</v>
      </c>
      <c r="F5">
        <v>372</v>
      </c>
      <c r="G5">
        <v>27</v>
      </c>
      <c r="H5">
        <v>38</v>
      </c>
      <c r="I5">
        <v>46</v>
      </c>
      <c r="J5">
        <v>22</v>
      </c>
      <c r="K5" t="s">
        <v>157</v>
      </c>
      <c r="L5" t="s">
        <v>213</v>
      </c>
      <c r="U5" t="s">
        <v>239</v>
      </c>
      <c r="V5" t="s">
        <v>240</v>
      </c>
    </row>
    <row r="6" spans="1:22" x14ac:dyDescent="0.2">
      <c r="A6" t="s">
        <v>117</v>
      </c>
      <c r="B6" t="s">
        <v>17</v>
      </c>
      <c r="C6">
        <v>1</v>
      </c>
      <c r="D6">
        <v>6</v>
      </c>
      <c r="E6">
        <v>43.2</v>
      </c>
      <c r="F6">
        <v>346</v>
      </c>
      <c r="G6">
        <v>24</v>
      </c>
      <c r="H6">
        <v>36</v>
      </c>
      <c r="I6">
        <v>51</v>
      </c>
      <c r="J6">
        <v>20</v>
      </c>
      <c r="K6" t="s">
        <v>178</v>
      </c>
      <c r="L6" t="s">
        <v>213</v>
      </c>
      <c r="U6" t="s">
        <v>241</v>
      </c>
      <c r="V6" t="s">
        <v>242</v>
      </c>
    </row>
    <row r="7" spans="1:22" x14ac:dyDescent="0.2">
      <c r="A7" t="s">
        <v>112</v>
      </c>
      <c r="B7" t="s">
        <v>17</v>
      </c>
      <c r="C7">
        <v>1</v>
      </c>
      <c r="D7">
        <v>4</v>
      </c>
      <c r="E7">
        <v>38.279999999999987</v>
      </c>
      <c r="F7">
        <v>408</v>
      </c>
      <c r="G7">
        <v>30</v>
      </c>
      <c r="H7">
        <v>33</v>
      </c>
      <c r="I7">
        <v>54</v>
      </c>
      <c r="J7">
        <v>22</v>
      </c>
      <c r="K7" t="s">
        <v>175</v>
      </c>
      <c r="R7" t="s">
        <v>219</v>
      </c>
      <c r="U7" t="s">
        <v>243</v>
      </c>
      <c r="V7" t="s">
        <v>238</v>
      </c>
    </row>
    <row r="8" spans="1:22" x14ac:dyDescent="0.2">
      <c r="A8" t="s">
        <v>128</v>
      </c>
      <c r="B8" t="s">
        <v>17</v>
      </c>
      <c r="C8">
        <v>1</v>
      </c>
      <c r="D8">
        <v>5</v>
      </c>
      <c r="E8">
        <v>37.82</v>
      </c>
      <c r="F8">
        <v>367</v>
      </c>
      <c r="G8">
        <v>38</v>
      </c>
      <c r="H8">
        <v>31</v>
      </c>
      <c r="I8">
        <v>41</v>
      </c>
      <c r="J8">
        <v>32</v>
      </c>
      <c r="K8" t="s">
        <v>211</v>
      </c>
      <c r="U8" t="s">
        <v>244</v>
      </c>
      <c r="V8" t="s">
        <v>245</v>
      </c>
    </row>
    <row r="9" spans="1:22" x14ac:dyDescent="0.2">
      <c r="A9" t="s">
        <v>213</v>
      </c>
      <c r="B9" t="s">
        <v>18</v>
      </c>
      <c r="C9">
        <v>1</v>
      </c>
      <c r="D9">
        <v>1</v>
      </c>
      <c r="E9">
        <v>30.9</v>
      </c>
      <c r="F9">
        <v>2500</v>
      </c>
      <c r="G9">
        <v>34</v>
      </c>
      <c r="H9">
        <v>30</v>
      </c>
      <c r="I9">
        <v>30</v>
      </c>
      <c r="J9">
        <v>34</v>
      </c>
      <c r="K9" t="s">
        <v>217</v>
      </c>
      <c r="L9" t="s">
        <v>218</v>
      </c>
      <c r="T9" t="s">
        <v>222</v>
      </c>
      <c r="U9" t="s">
        <v>160</v>
      </c>
      <c r="V9" t="s">
        <v>220</v>
      </c>
    </row>
  </sheetData>
  <dataValidations count="1">
    <dataValidation type="list" allowBlank="1" showInputMessage="1" showErrorMessage="1" sqref="L2:L30" xr:uid="{F643E4C3-C739-40E5-98CF-177CD0150A63}">
      <formula1>$A$2:$A$30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B862C-48B9-4723-9B98-0E7164485E5E}">
  <sheetPr codeName="Sheet5"/>
  <dimension ref="A1:V11"/>
  <sheetViews>
    <sheetView workbookViewId="0">
      <selection activeCell="L16" sqref="L1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191</v>
      </c>
      <c r="U1" t="s">
        <v>16</v>
      </c>
      <c r="V1" t="s">
        <v>60</v>
      </c>
    </row>
    <row r="2" spans="1:22" x14ac:dyDescent="0.2">
      <c r="A2" t="s">
        <v>78</v>
      </c>
      <c r="B2" t="s">
        <v>17</v>
      </c>
      <c r="C2">
        <v>1</v>
      </c>
      <c r="D2">
        <v>2</v>
      </c>
      <c r="E2">
        <v>66.08</v>
      </c>
      <c r="F2">
        <v>490</v>
      </c>
      <c r="G2">
        <v>41</v>
      </c>
      <c r="H2">
        <v>56</v>
      </c>
      <c r="I2">
        <v>28</v>
      </c>
      <c r="J2">
        <v>29</v>
      </c>
      <c r="K2" t="s">
        <v>217</v>
      </c>
      <c r="N2" t="s">
        <v>219</v>
      </c>
      <c r="O2" t="s">
        <v>219</v>
      </c>
      <c r="P2" t="s">
        <v>219</v>
      </c>
      <c r="Q2" t="s">
        <v>219</v>
      </c>
      <c r="R2" t="s">
        <v>219</v>
      </c>
      <c r="S2" t="s">
        <v>219</v>
      </c>
      <c r="U2" t="s">
        <v>231</v>
      </c>
      <c r="V2" t="s">
        <v>225</v>
      </c>
    </row>
    <row r="3" spans="1:22" x14ac:dyDescent="0.2">
      <c r="A3" t="s">
        <v>214</v>
      </c>
      <c r="B3" t="s">
        <v>18</v>
      </c>
      <c r="C3">
        <v>1</v>
      </c>
      <c r="D3">
        <v>1</v>
      </c>
      <c r="E3">
        <v>51.749999999999993</v>
      </c>
      <c r="F3">
        <v>200</v>
      </c>
      <c r="G3">
        <v>50</v>
      </c>
      <c r="H3">
        <v>45</v>
      </c>
      <c r="I3">
        <v>50</v>
      </c>
      <c r="J3">
        <v>50</v>
      </c>
      <c r="K3" t="s">
        <v>217</v>
      </c>
      <c r="L3" t="s">
        <v>246</v>
      </c>
      <c r="N3" t="s">
        <v>219</v>
      </c>
      <c r="O3" t="s">
        <v>219</v>
      </c>
      <c r="P3" t="s">
        <v>219</v>
      </c>
      <c r="Q3" t="s">
        <v>219</v>
      </c>
      <c r="R3" t="s">
        <v>219</v>
      </c>
      <c r="S3" t="s">
        <v>219</v>
      </c>
      <c r="U3" t="s">
        <v>247</v>
      </c>
      <c r="V3" t="s">
        <v>238</v>
      </c>
    </row>
    <row r="4" spans="1:22" x14ac:dyDescent="0.2">
      <c r="A4" t="s">
        <v>102</v>
      </c>
      <c r="B4" t="s">
        <v>17</v>
      </c>
      <c r="C4">
        <v>0</v>
      </c>
      <c r="D4">
        <v>4</v>
      </c>
      <c r="E4">
        <v>47.97</v>
      </c>
      <c r="F4">
        <v>0</v>
      </c>
      <c r="G4">
        <v>39</v>
      </c>
      <c r="H4">
        <v>39</v>
      </c>
      <c r="I4">
        <v>53</v>
      </c>
      <c r="J4">
        <v>23</v>
      </c>
      <c r="K4" t="s">
        <v>174</v>
      </c>
      <c r="N4" t="s">
        <v>219</v>
      </c>
      <c r="O4" t="s">
        <v>219</v>
      </c>
      <c r="P4" t="s">
        <v>219</v>
      </c>
      <c r="Q4" t="s">
        <v>219</v>
      </c>
      <c r="R4" t="s">
        <v>219</v>
      </c>
      <c r="S4" t="s">
        <v>219</v>
      </c>
      <c r="U4" t="s">
        <v>248</v>
      </c>
      <c r="V4" t="s">
        <v>238</v>
      </c>
    </row>
    <row r="5" spans="1:22" x14ac:dyDescent="0.2">
      <c r="A5" t="s">
        <v>233</v>
      </c>
      <c r="B5" t="s">
        <v>18</v>
      </c>
      <c r="C5">
        <v>0</v>
      </c>
      <c r="D5">
        <v>2</v>
      </c>
      <c r="E5">
        <v>45.88</v>
      </c>
      <c r="F5">
        <v>0</v>
      </c>
      <c r="G5">
        <v>26</v>
      </c>
      <c r="H5">
        <v>38</v>
      </c>
      <c r="I5">
        <v>39</v>
      </c>
      <c r="J5">
        <v>27</v>
      </c>
      <c r="K5" t="s">
        <v>217</v>
      </c>
      <c r="L5" t="s">
        <v>246</v>
      </c>
      <c r="N5" t="s">
        <v>219</v>
      </c>
      <c r="O5" t="s">
        <v>219</v>
      </c>
      <c r="P5" t="s">
        <v>219</v>
      </c>
      <c r="Q5" t="s">
        <v>219</v>
      </c>
      <c r="R5" t="s">
        <v>219</v>
      </c>
      <c r="S5" t="s">
        <v>219</v>
      </c>
      <c r="U5" t="s">
        <v>249</v>
      </c>
      <c r="V5" t="s">
        <v>220</v>
      </c>
    </row>
    <row r="6" spans="1:22" x14ac:dyDescent="0.2">
      <c r="A6" t="s">
        <v>233</v>
      </c>
      <c r="B6" t="s">
        <v>18</v>
      </c>
      <c r="C6">
        <v>0</v>
      </c>
      <c r="D6">
        <v>1</v>
      </c>
      <c r="E6">
        <v>39.96</v>
      </c>
      <c r="F6">
        <v>0</v>
      </c>
      <c r="G6">
        <v>26</v>
      </c>
      <c r="H6">
        <v>38</v>
      </c>
      <c r="I6">
        <v>39</v>
      </c>
      <c r="J6">
        <v>27</v>
      </c>
      <c r="K6" t="s">
        <v>217</v>
      </c>
      <c r="L6" t="s">
        <v>246</v>
      </c>
      <c r="N6" t="s">
        <v>219</v>
      </c>
      <c r="O6" t="s">
        <v>219</v>
      </c>
      <c r="P6" t="s">
        <v>219</v>
      </c>
      <c r="Q6" t="s">
        <v>219</v>
      </c>
      <c r="R6" t="s">
        <v>219</v>
      </c>
      <c r="S6" t="s">
        <v>219</v>
      </c>
      <c r="U6" t="s">
        <v>250</v>
      </c>
      <c r="V6" t="s">
        <v>220</v>
      </c>
    </row>
    <row r="7" spans="1:22" x14ac:dyDescent="0.2">
      <c r="A7" t="s">
        <v>109</v>
      </c>
      <c r="B7" t="s">
        <v>17</v>
      </c>
      <c r="C7">
        <v>0</v>
      </c>
      <c r="D7">
        <v>1</v>
      </c>
      <c r="E7">
        <v>37.400000000000013</v>
      </c>
      <c r="F7">
        <v>0</v>
      </c>
      <c r="G7">
        <v>41</v>
      </c>
      <c r="H7">
        <v>34</v>
      </c>
      <c r="I7">
        <v>35</v>
      </c>
      <c r="J7">
        <v>34</v>
      </c>
      <c r="K7" t="s">
        <v>167</v>
      </c>
      <c r="L7" t="s">
        <v>99</v>
      </c>
      <c r="N7" t="s">
        <v>219</v>
      </c>
      <c r="O7" t="s">
        <v>219</v>
      </c>
      <c r="P7" t="s">
        <v>219</v>
      </c>
      <c r="Q7" t="s">
        <v>219</v>
      </c>
      <c r="R7" t="s">
        <v>219</v>
      </c>
      <c r="S7" t="s">
        <v>219</v>
      </c>
      <c r="U7" t="s">
        <v>251</v>
      </c>
      <c r="V7" t="s">
        <v>238</v>
      </c>
    </row>
    <row r="8" spans="1:22" x14ac:dyDescent="0.2">
      <c r="A8" t="s">
        <v>232</v>
      </c>
      <c r="B8" t="s">
        <v>18</v>
      </c>
      <c r="C8">
        <v>0</v>
      </c>
      <c r="D8">
        <v>1</v>
      </c>
      <c r="E8">
        <v>37.200000000000003</v>
      </c>
      <c r="F8">
        <v>0</v>
      </c>
      <c r="G8">
        <v>41</v>
      </c>
      <c r="H8">
        <v>37</v>
      </c>
      <c r="I8">
        <v>37</v>
      </c>
      <c r="J8">
        <v>47</v>
      </c>
      <c r="K8" t="s">
        <v>217</v>
      </c>
      <c r="L8" t="s">
        <v>230</v>
      </c>
      <c r="N8" t="s">
        <v>219</v>
      </c>
      <c r="O8" t="s">
        <v>219</v>
      </c>
      <c r="P8" t="s">
        <v>219</v>
      </c>
      <c r="Q8" t="s">
        <v>219</v>
      </c>
      <c r="R8" t="s">
        <v>219</v>
      </c>
      <c r="S8" t="s">
        <v>219</v>
      </c>
      <c r="U8" t="s">
        <v>173</v>
      </c>
      <c r="V8" t="s">
        <v>252</v>
      </c>
    </row>
    <row r="9" spans="1:22" x14ac:dyDescent="0.2">
      <c r="A9" t="s">
        <v>232</v>
      </c>
      <c r="B9" t="s">
        <v>18</v>
      </c>
      <c r="C9">
        <v>0</v>
      </c>
      <c r="D9">
        <v>2</v>
      </c>
      <c r="E9">
        <v>34.1</v>
      </c>
      <c r="F9">
        <v>0</v>
      </c>
      <c r="G9">
        <v>41</v>
      </c>
      <c r="H9">
        <v>37</v>
      </c>
      <c r="I9">
        <v>37</v>
      </c>
      <c r="J9">
        <v>47</v>
      </c>
      <c r="K9" t="s">
        <v>217</v>
      </c>
      <c r="L9" t="s">
        <v>230</v>
      </c>
      <c r="N9" t="s">
        <v>219</v>
      </c>
      <c r="O9" t="s">
        <v>219</v>
      </c>
      <c r="P9" t="s">
        <v>219</v>
      </c>
      <c r="Q9" t="s">
        <v>219</v>
      </c>
      <c r="R9" t="s">
        <v>219</v>
      </c>
      <c r="S9" t="s">
        <v>219</v>
      </c>
      <c r="U9" t="s">
        <v>173</v>
      </c>
      <c r="V9" t="s">
        <v>252</v>
      </c>
    </row>
    <row r="10" spans="1:22" x14ac:dyDescent="0.2">
      <c r="A10" t="s">
        <v>99</v>
      </c>
      <c r="B10" t="s">
        <v>17</v>
      </c>
      <c r="C10">
        <v>1</v>
      </c>
      <c r="D10">
        <v>5</v>
      </c>
      <c r="E10">
        <v>22.8</v>
      </c>
      <c r="F10">
        <v>384</v>
      </c>
      <c r="G10">
        <v>27</v>
      </c>
      <c r="H10">
        <v>19</v>
      </c>
      <c r="I10">
        <v>55</v>
      </c>
      <c r="J10">
        <v>22</v>
      </c>
      <c r="K10" t="s">
        <v>172</v>
      </c>
      <c r="L10" t="s">
        <v>78</v>
      </c>
      <c r="U10" t="s">
        <v>253</v>
      </c>
      <c r="V10" t="s">
        <v>254</v>
      </c>
    </row>
    <row r="11" spans="1:22" x14ac:dyDescent="0.2">
      <c r="A11" t="s">
        <v>115</v>
      </c>
      <c r="B11" t="s">
        <v>17</v>
      </c>
      <c r="C11">
        <v>1</v>
      </c>
      <c r="D11">
        <v>3</v>
      </c>
      <c r="E11">
        <v>13.78</v>
      </c>
      <c r="F11">
        <v>310</v>
      </c>
      <c r="G11">
        <v>18</v>
      </c>
      <c r="H11">
        <v>23</v>
      </c>
      <c r="I11">
        <v>49</v>
      </c>
      <c r="J11">
        <v>28</v>
      </c>
      <c r="K11" t="s">
        <v>161</v>
      </c>
      <c r="U11" t="s">
        <v>255</v>
      </c>
      <c r="V11" t="s">
        <v>240</v>
      </c>
    </row>
  </sheetData>
  <dataValidations count="1">
    <dataValidation type="list" allowBlank="1" showInputMessage="1" showErrorMessage="1" sqref="L2:L30" xr:uid="{11EB0BE7-3D4A-426D-A0A7-38E3E08C16D6}">
      <formula1>$A$2:$A$30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ACA4-88E4-4288-B6AE-21B0AC6383A4}">
  <sheetPr codeName="Sheet6"/>
  <dimension ref="A1:V9"/>
  <sheetViews>
    <sheetView workbookViewId="0">
      <selection activeCell="G9" sqref="G9"/>
    </sheetView>
  </sheetViews>
  <sheetFormatPr defaultRowHeight="12.75" x14ac:dyDescent="0.2"/>
  <cols>
    <col min="1" max="1" width="12" bestFit="1" customWidth="1"/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12" max="12" width="12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191</v>
      </c>
      <c r="U1" t="s">
        <v>16</v>
      </c>
      <c r="V1" t="s">
        <v>60</v>
      </c>
    </row>
    <row r="2" spans="1:22" x14ac:dyDescent="0.2">
      <c r="A2" t="s">
        <v>108</v>
      </c>
      <c r="B2" t="s">
        <v>17</v>
      </c>
      <c r="C2">
        <v>1</v>
      </c>
      <c r="D2">
        <v>1</v>
      </c>
      <c r="E2">
        <v>63.72</v>
      </c>
      <c r="F2">
        <v>592</v>
      </c>
      <c r="G2">
        <v>48</v>
      </c>
      <c r="H2">
        <v>54</v>
      </c>
      <c r="I2">
        <v>22</v>
      </c>
      <c r="J2">
        <v>38</v>
      </c>
      <c r="K2" t="s">
        <v>159</v>
      </c>
      <c r="L2" t="s">
        <v>215</v>
      </c>
      <c r="U2" t="s">
        <v>269</v>
      </c>
      <c r="V2" t="s">
        <v>262</v>
      </c>
    </row>
    <row r="3" spans="1:22" x14ac:dyDescent="0.2">
      <c r="A3" t="s">
        <v>215</v>
      </c>
      <c r="B3" t="s">
        <v>18</v>
      </c>
      <c r="C3">
        <v>1</v>
      </c>
      <c r="D3">
        <v>1</v>
      </c>
      <c r="E3">
        <v>57.499999999999993</v>
      </c>
      <c r="F3">
        <v>1130</v>
      </c>
      <c r="G3">
        <v>50</v>
      </c>
      <c r="H3">
        <v>50</v>
      </c>
      <c r="I3">
        <v>50</v>
      </c>
      <c r="J3">
        <v>50</v>
      </c>
      <c r="K3" t="s">
        <v>217</v>
      </c>
      <c r="L3" t="s">
        <v>270</v>
      </c>
      <c r="Q3" t="s">
        <v>219</v>
      </c>
      <c r="U3" t="s">
        <v>271</v>
      </c>
      <c r="V3" t="s">
        <v>240</v>
      </c>
    </row>
    <row r="4" spans="1:22" x14ac:dyDescent="0.2">
      <c r="A4" t="s">
        <v>77</v>
      </c>
      <c r="B4" t="s">
        <v>17</v>
      </c>
      <c r="C4">
        <v>1</v>
      </c>
      <c r="D4">
        <v>4</v>
      </c>
      <c r="E4">
        <v>37.369999999999997</v>
      </c>
      <c r="F4">
        <v>516</v>
      </c>
      <c r="G4">
        <v>24</v>
      </c>
      <c r="H4">
        <v>37</v>
      </c>
      <c r="I4">
        <v>18</v>
      </c>
      <c r="J4">
        <v>21</v>
      </c>
      <c r="K4" t="s">
        <v>152</v>
      </c>
      <c r="L4" t="s">
        <v>215</v>
      </c>
      <c r="U4" t="s">
        <v>272</v>
      </c>
      <c r="V4" t="s">
        <v>273</v>
      </c>
    </row>
    <row r="5" spans="1:22" x14ac:dyDescent="0.2">
      <c r="A5" t="s">
        <v>118</v>
      </c>
      <c r="B5" t="s">
        <v>17</v>
      </c>
      <c r="C5">
        <v>1</v>
      </c>
      <c r="D5">
        <v>2</v>
      </c>
      <c r="E5">
        <v>35.36</v>
      </c>
      <c r="F5">
        <v>383</v>
      </c>
      <c r="G5">
        <v>36</v>
      </c>
      <c r="H5">
        <v>34</v>
      </c>
      <c r="I5">
        <v>39</v>
      </c>
      <c r="J5">
        <v>32</v>
      </c>
      <c r="K5" t="s">
        <v>268</v>
      </c>
      <c r="L5" t="s">
        <v>215</v>
      </c>
      <c r="U5" t="s">
        <v>274</v>
      </c>
      <c r="V5" t="s">
        <v>262</v>
      </c>
    </row>
    <row r="6" spans="1:22" x14ac:dyDescent="0.2">
      <c r="A6" t="s">
        <v>104</v>
      </c>
      <c r="B6" t="s">
        <v>17</v>
      </c>
      <c r="C6">
        <v>1</v>
      </c>
      <c r="D6">
        <v>3</v>
      </c>
      <c r="E6">
        <v>35.36</v>
      </c>
      <c r="F6">
        <v>521</v>
      </c>
      <c r="G6">
        <v>47</v>
      </c>
      <c r="H6">
        <v>34</v>
      </c>
      <c r="I6">
        <v>35</v>
      </c>
      <c r="J6">
        <v>32</v>
      </c>
      <c r="K6" t="s">
        <v>159</v>
      </c>
      <c r="L6" t="s">
        <v>215</v>
      </c>
      <c r="U6" t="s">
        <v>275</v>
      </c>
      <c r="V6" t="s">
        <v>276</v>
      </c>
    </row>
    <row r="7" spans="1:22" x14ac:dyDescent="0.2">
      <c r="A7" t="s">
        <v>126</v>
      </c>
      <c r="B7" t="s">
        <v>17</v>
      </c>
      <c r="C7">
        <v>0</v>
      </c>
      <c r="D7">
        <v>6</v>
      </c>
      <c r="E7">
        <v>32.64</v>
      </c>
      <c r="F7">
        <v>0</v>
      </c>
      <c r="G7">
        <v>25</v>
      </c>
      <c r="H7">
        <v>32</v>
      </c>
      <c r="I7">
        <v>26</v>
      </c>
      <c r="J7">
        <v>22</v>
      </c>
      <c r="K7" t="s">
        <v>217</v>
      </c>
      <c r="L7" t="s">
        <v>215</v>
      </c>
      <c r="N7" t="s">
        <v>219</v>
      </c>
      <c r="O7" t="s">
        <v>219</v>
      </c>
      <c r="P7" t="s">
        <v>219</v>
      </c>
      <c r="Q7" t="s">
        <v>219</v>
      </c>
      <c r="R7" t="s">
        <v>219</v>
      </c>
      <c r="S7" t="s">
        <v>219</v>
      </c>
      <c r="U7" t="s">
        <v>155</v>
      </c>
      <c r="V7" t="s">
        <v>221</v>
      </c>
    </row>
    <row r="8" spans="1:22" x14ac:dyDescent="0.2">
      <c r="A8" t="s">
        <v>111</v>
      </c>
      <c r="B8" t="s">
        <v>17</v>
      </c>
      <c r="C8">
        <v>1</v>
      </c>
      <c r="D8">
        <v>5</v>
      </c>
      <c r="E8">
        <v>30.45</v>
      </c>
      <c r="F8">
        <v>430</v>
      </c>
      <c r="G8">
        <v>22</v>
      </c>
      <c r="H8">
        <v>29</v>
      </c>
      <c r="I8">
        <v>59</v>
      </c>
      <c r="J8">
        <v>22</v>
      </c>
      <c r="K8" t="s">
        <v>186</v>
      </c>
      <c r="L8" t="s">
        <v>77</v>
      </c>
      <c r="U8" t="s">
        <v>277</v>
      </c>
      <c r="V8" t="s">
        <v>254</v>
      </c>
    </row>
    <row r="9" spans="1:22" x14ac:dyDescent="0.2">
      <c r="A9" t="s">
        <v>234</v>
      </c>
      <c r="B9" t="s">
        <v>18</v>
      </c>
      <c r="C9">
        <v>1</v>
      </c>
      <c r="D9">
        <v>1</v>
      </c>
      <c r="E9">
        <v>-24.38</v>
      </c>
      <c r="F9">
        <v>999</v>
      </c>
      <c r="G9">
        <v>1</v>
      </c>
      <c r="H9">
        <v>1</v>
      </c>
      <c r="I9">
        <v>1</v>
      </c>
      <c r="J9">
        <v>25</v>
      </c>
      <c r="K9" t="s">
        <v>217</v>
      </c>
      <c r="L9" t="s">
        <v>218</v>
      </c>
      <c r="T9" t="s">
        <v>222</v>
      </c>
      <c r="U9" t="s">
        <v>278</v>
      </c>
      <c r="V9" t="s">
        <v>220</v>
      </c>
    </row>
  </sheetData>
  <dataValidations count="1">
    <dataValidation type="list" allowBlank="1" showInputMessage="1" showErrorMessage="1" sqref="L2:L30" xr:uid="{9763E570-F335-48CA-AE16-EFDBAE69284F}">
      <formula1>$A$2:$A$30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Heal</vt:lpstr>
      <vt:lpstr>Template</vt:lpstr>
      <vt:lpstr>Black Tortoise</vt:lpstr>
      <vt:lpstr>Azure Dragon</vt:lpstr>
      <vt:lpstr>White Tiger</vt:lpstr>
      <vt:lpstr>Vermillion Bird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2019-08-20T15:17:47Z</dcterms:modified>
</cp:coreProperties>
</file>